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6" documentId="8_{21511603-A870-4D4C-809B-4C28D285AF8F}" xr6:coauthVersionLast="47" xr6:coauthVersionMax="47" xr10:uidLastSave="{1BE7F00F-3EDC-4E70-8B3A-A938AEEE873C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B890" i="1" s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B877" i="1" s="1"/>
  <c r="D877" i="1"/>
  <c r="E877" i="1"/>
  <c r="S877" i="1"/>
  <c r="C876" i="1"/>
  <c r="B876" i="1" s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75" i="1" l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<sst xmlns="http://schemas.openxmlformats.org/spreadsheetml/2006/main" count="8429" uniqueCount="3642">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</sst>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19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19</v>
          </cell>
        </row>
        <row r="6">
          <cell r="A6">
            <v>13</v>
          </cell>
          <cell r="B6" t="str">
            <v>Dominique De Clercq</v>
          </cell>
          <cell r="D6">
            <v>30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27" bestFit="1" customWidth="1"/>
    <col min="2" max="2" width="9.5546875" style="27" bestFit="1" customWidth="1"/>
    <col min="3" max="3" width="39.6640625" style="27" bestFit="1" customWidth="1"/>
    <col min="4" max="4" width="16.33203125" style="27" bestFit="1" customWidth="1"/>
    <col min="5" max="5" width="8.88671875" style="27"/>
    <col min="6" max="6" width="30.109375" style="27" bestFit="1" customWidth="1"/>
    <col min="7" max="7" width="16.33203125" style="27" bestFit="1" customWidth="1"/>
    <col min="8" max="8" width="5.44140625" style="27" bestFit="1" customWidth="1"/>
    <col min="9" max="9" width="19.44140625" style="27" bestFit="1" customWidth="1"/>
    <col min="10" max="10" width="16.33203125" style="27" bestFit="1" customWidth="1"/>
    <col min="11" max="11" width="5.5546875" style="27" bestFit="1" customWidth="1"/>
    <col min="12" max="12" width="10.109375" style="27" bestFit="1" customWidth="1"/>
    <col min="13" max="13" width="18.88671875" style="27" bestFit="1" customWidth="1"/>
    <col min="14" max="16384" width="8.88671875" style="27"/>
  </cols>
  <sheetData>
    <row r="2" spans="3:19" ht="15" customHeight="1" x14ac:dyDescent="0.3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3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3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3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3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3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3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3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3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1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1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1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4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4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1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3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4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1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4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2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1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4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1" t="s">
        <v>45</v>
      </c>
      <c r="D26">
        <v>3</v>
      </c>
      <c r="F26" s="2" t="s">
        <v>46</v>
      </c>
      <c r="G26">
        <v>5</v>
      </c>
    </row>
    <row r="27" spans="2:11" x14ac:dyDescent="0.3">
      <c r="C27" s="34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1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4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1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0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3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1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1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4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1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1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1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4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1" t="s">
        <v>85</v>
      </c>
      <c r="D40">
        <v>2</v>
      </c>
      <c r="F40" s="2" t="s">
        <v>86</v>
      </c>
      <c r="G40">
        <v>2</v>
      </c>
    </row>
    <row r="41" spans="3:15" x14ac:dyDescent="0.3">
      <c r="C41" s="34" t="s">
        <v>87</v>
      </c>
      <c r="D41">
        <v>2</v>
      </c>
      <c r="F41" s="2" t="s">
        <v>88</v>
      </c>
      <c r="G41">
        <v>2</v>
      </c>
      <c r="I41" s="36" t="s">
        <v>89</v>
      </c>
      <c r="J41" s="36"/>
      <c r="K41" s="36"/>
      <c r="L41" s="25"/>
      <c r="M41" s="36" t="s">
        <v>90</v>
      </c>
      <c r="N41" s="36"/>
      <c r="O41" s="36"/>
    </row>
    <row r="42" spans="3:15" x14ac:dyDescent="0.3">
      <c r="C42" s="31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1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19</v>
      </c>
      <c r="N43" s="13" t="str">
        <f>'[1]Ingeplande per TC'!$B$3</f>
        <v>Bart Van der Beken</v>
      </c>
      <c r="O43" s="13"/>
    </row>
    <row r="44" spans="3:15" x14ac:dyDescent="0.3">
      <c r="C44" s="34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1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19</v>
      </c>
      <c r="N45" s="13" t="str">
        <f>'[1]Ingeplande per TC'!$B$5</f>
        <v>Els Vanhoe</v>
      </c>
      <c r="O45" s="13"/>
    </row>
    <row r="46" spans="3:15" x14ac:dyDescent="0.3">
      <c r="C46" s="34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30</v>
      </c>
      <c r="N46" s="13" t="str">
        <f>'[1]Ingeplande per TC'!$B$6</f>
        <v>Dominique De Clercq</v>
      </c>
      <c r="O46" s="13"/>
    </row>
    <row r="47" spans="3:15" x14ac:dyDescent="0.3">
      <c r="C47" s="34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4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3">
      <c r="C49" s="34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22</v>
      </c>
      <c r="N49" s="13" t="str">
        <f>'[1]Ingeplande per TC'!$B$9</f>
        <v>Kenneth De Rick</v>
      </c>
      <c r="O49" s="13"/>
    </row>
    <row r="50" spans="3:15" x14ac:dyDescent="0.3">
      <c r="C50" s="31" t="s">
        <v>107</v>
      </c>
      <c r="D50">
        <v>2</v>
      </c>
      <c r="F50" s="2" t="s">
        <v>108</v>
      </c>
      <c r="G50">
        <v>2</v>
      </c>
      <c r="I50" s="14">
        <f>SUM(I42:I49)</f>
        <v>86</v>
      </c>
      <c r="J50" s="14" t="s">
        <v>109</v>
      </c>
      <c r="K50" s="14"/>
      <c r="L50" s="25"/>
      <c r="M50" s="14">
        <f>SUM(M42:M49)</f>
        <v>168</v>
      </c>
      <c r="N50" s="14" t="s">
        <v>109</v>
      </c>
      <c r="O50" s="14"/>
    </row>
    <row r="51" spans="3:15" x14ac:dyDescent="0.3">
      <c r="C51" s="31" t="s">
        <v>110</v>
      </c>
      <c r="D51">
        <v>2</v>
      </c>
      <c r="F51" s="2" t="s">
        <v>111</v>
      </c>
      <c r="G51">
        <v>2</v>
      </c>
    </row>
    <row r="52" spans="3:15" x14ac:dyDescent="0.3">
      <c r="C52" s="34" t="s">
        <v>112</v>
      </c>
      <c r="D52">
        <v>2</v>
      </c>
      <c r="F52" s="2" t="s">
        <v>113</v>
      </c>
      <c r="G52">
        <v>2</v>
      </c>
    </row>
    <row r="53" spans="3:15" x14ac:dyDescent="0.3">
      <c r="C53" s="31" t="s">
        <v>114</v>
      </c>
      <c r="D53">
        <v>2</v>
      </c>
      <c r="F53" s="2" t="s">
        <v>115</v>
      </c>
      <c r="G53">
        <v>2</v>
      </c>
    </row>
    <row r="54" spans="3:15" x14ac:dyDescent="0.3">
      <c r="C54" s="34" t="s">
        <v>116</v>
      </c>
      <c r="D54">
        <v>2</v>
      </c>
      <c r="F54" s="2" t="s">
        <v>117</v>
      </c>
      <c r="G54">
        <v>2</v>
      </c>
    </row>
    <row r="55" spans="3:15" x14ac:dyDescent="0.3">
      <c r="C55" s="34" t="s">
        <v>118</v>
      </c>
      <c r="D55">
        <v>2</v>
      </c>
      <c r="F55" s="2" t="s">
        <v>119</v>
      </c>
      <c r="G55">
        <v>2</v>
      </c>
    </row>
    <row r="56" spans="3:15" x14ac:dyDescent="0.3">
      <c r="C56" s="34" t="s">
        <v>120</v>
      </c>
      <c r="D56">
        <v>2</v>
      </c>
      <c r="F56" s="2" t="s">
        <v>121</v>
      </c>
      <c r="G56">
        <v>2</v>
      </c>
    </row>
    <row r="57" spans="3:15" x14ac:dyDescent="0.3">
      <c r="C57" s="31" t="s">
        <v>122</v>
      </c>
      <c r="D57">
        <v>2</v>
      </c>
      <c r="F57" s="2" t="s">
        <v>123</v>
      </c>
      <c r="G57">
        <v>2</v>
      </c>
    </row>
    <row r="58" spans="3:15" x14ac:dyDescent="0.3">
      <c r="C58" s="31" t="s">
        <v>124</v>
      </c>
      <c r="D58">
        <v>2</v>
      </c>
      <c r="F58" s="2" t="s">
        <v>125</v>
      </c>
      <c r="G58">
        <v>2</v>
      </c>
    </row>
    <row r="59" spans="3:15" x14ac:dyDescent="0.3">
      <c r="C59" s="34" t="s">
        <v>126</v>
      </c>
      <c r="D59">
        <v>2</v>
      </c>
      <c r="F59" s="2" t="s">
        <v>127</v>
      </c>
      <c r="G59">
        <v>2</v>
      </c>
    </row>
    <row r="60" spans="3:15" x14ac:dyDescent="0.3">
      <c r="C60" s="31" t="s">
        <v>128</v>
      </c>
      <c r="D60">
        <v>2</v>
      </c>
      <c r="F60" s="2" t="s">
        <v>129</v>
      </c>
      <c r="G60">
        <v>2</v>
      </c>
    </row>
    <row r="61" spans="3:15" x14ac:dyDescent="0.3">
      <c r="C61" s="31" t="s">
        <v>130</v>
      </c>
      <c r="D61">
        <v>2</v>
      </c>
      <c r="F61" s="2" t="s">
        <v>131</v>
      </c>
      <c r="G61">
        <v>2</v>
      </c>
    </row>
    <row r="62" spans="3:15" x14ac:dyDescent="0.3">
      <c r="C62" s="34" t="s">
        <v>132</v>
      </c>
      <c r="D62">
        <v>2</v>
      </c>
      <c r="F62" s="2" t="s">
        <v>133</v>
      </c>
      <c r="G62">
        <v>2</v>
      </c>
    </row>
    <row r="63" spans="3:15" x14ac:dyDescent="0.3">
      <c r="C63" s="34" t="s">
        <v>134</v>
      </c>
      <c r="D63">
        <v>2</v>
      </c>
      <c r="F63" s="2" t="s">
        <v>135</v>
      </c>
      <c r="G63">
        <v>2</v>
      </c>
    </row>
    <row r="64" spans="3:15" x14ac:dyDescent="0.3">
      <c r="C64" s="31" t="s">
        <v>136</v>
      </c>
      <c r="D64">
        <v>2</v>
      </c>
      <c r="F64" s="2" t="s">
        <v>137</v>
      </c>
      <c r="G64">
        <v>1</v>
      </c>
    </row>
    <row r="65" spans="3:7" x14ac:dyDescent="0.3">
      <c r="C65" s="34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383" activePane="bottomLeft" state="frozen"/>
      <selection activeCell="F1" sqref="F1"/>
      <selection pane="bottomLeft" activeCell="X1" sqref="X1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77734375" style="2" customWidth="1"/>
    <col min="6" max="6" width="20.33203125" style="39" hidden="1" customWidth="1"/>
    <col min="7" max="7" width="11.5546875" style="37" hidden="1" customWidth="1"/>
    <col min="8" max="8" width="14.5546875" style="37" hidden="1" customWidth="1"/>
    <col min="9" max="9" width="9.5546875" style="37" hidden="1" customWidth="1"/>
    <col min="10" max="10" width="8.33203125" style="37" hidden="1" customWidth="1"/>
    <col min="11" max="11" width="10.88671875" style="37" hidden="1" customWidth="1"/>
    <col min="12" max="13" width="9.109375" style="37" hidden="1" customWidth="1"/>
    <col min="14" max="14" width="11.44140625" style="37" hidden="1" customWidth="1"/>
    <col min="15" max="15" width="13" style="37" hidden="1" customWidth="1"/>
    <col min="16" max="16" width="10.44140625" style="37" hidden="1" customWidth="1"/>
    <col min="17" max="19" width="12.5546875" style="37" hidden="1" customWidth="1"/>
    <col min="20" max="20" width="11.88671875" style="42" bestFit="1" customWidth="1"/>
    <col min="21" max="21" width="50.109375" style="5" customWidth="1"/>
    <col min="22" max="22" width="9.33203125" style="37" hidden="1" customWidth="1"/>
    <col min="23" max="23" width="6.77734375" style="37" hidden="1" customWidth="1"/>
    <col min="24" max="24" width="22" customWidth="1"/>
    <col min="25" max="25" width="31.5546875" bestFit="1" customWidth="1"/>
    <col min="26" max="26" width="16.109375" style="2" customWidth="1"/>
    <col min="27" max="27" width="12.21875" style="44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s="2" t="s">
        <v>372</v>
      </c>
      <c r="F1" s="39" t="s">
        <v>373</v>
      </c>
      <c r="G1" s="40" t="s">
        <v>374</v>
      </c>
      <c r="H1" s="40" t="s">
        <v>375</v>
      </c>
      <c r="I1" s="40" t="s">
        <v>376</v>
      </c>
      <c r="J1" s="37" t="s">
        <v>377</v>
      </c>
      <c r="K1" s="37" t="s">
        <v>378</v>
      </c>
      <c r="L1" s="37" t="s">
        <v>379</v>
      </c>
      <c r="M1" s="37" t="s">
        <v>380</v>
      </c>
      <c r="N1" s="37" t="s">
        <v>381</v>
      </c>
      <c r="O1" s="37" t="s">
        <v>382</v>
      </c>
      <c r="P1" s="37" t="s">
        <v>383</v>
      </c>
      <c r="Q1" s="37" t="s">
        <v>384</v>
      </c>
      <c r="R1" s="37" t="s">
        <v>385</v>
      </c>
      <c r="S1" s="37" t="s">
        <v>386</v>
      </c>
      <c r="T1" s="41" t="s">
        <v>387</v>
      </c>
      <c r="U1" s="26" t="s">
        <v>388</v>
      </c>
      <c r="V1" s="37" t="s">
        <v>7</v>
      </c>
      <c r="W1" s="37" t="s">
        <v>8</v>
      </c>
      <c r="X1" t="s">
        <v>389</v>
      </c>
      <c r="Y1" t="s">
        <v>390</v>
      </c>
      <c r="Z1" s="2" t="s">
        <v>3556</v>
      </c>
      <c r="AA1" s="43" t="s">
        <v>3633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 t="s">
        <v>3633</v>
      </c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 t="s">
        <v>3633</v>
      </c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Z4"/>
      <c r="AA4" t="s">
        <v>3633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Z5"/>
      <c r="AA5" t="s">
        <v>3633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Z6"/>
      <c r="AA6" t="s">
        <v>3633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Z7"/>
      <c r="AA7" t="s">
        <v>3633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Z8"/>
      <c r="AA8" t="s">
        <v>3633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Z9"/>
      <c r="AA9" t="s">
        <v>3633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Z10"/>
      <c r="AA10" t="s">
        <v>3633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Z11"/>
      <c r="AA11" t="s">
        <v>3633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Z12"/>
      <c r="AA12" t="s">
        <v>3633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Z13"/>
      <c r="AA13" t="s">
        <v>3633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Z14"/>
      <c r="AA14" t="s">
        <v>3633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Z15"/>
      <c r="AA15" t="s">
        <v>3633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Z16"/>
      <c r="AA16" t="s">
        <v>3633</v>
      </c>
    </row>
    <row r="17" spans="1:27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Z17"/>
      <c r="AA17" t="s">
        <v>3633</v>
      </c>
    </row>
    <row r="18" spans="1:27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Z18"/>
      <c r="AA18" t="s">
        <v>3633</v>
      </c>
    </row>
    <row r="19" spans="1:27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Z19"/>
      <c r="AA19" t="s">
        <v>3633</v>
      </c>
    </row>
    <row r="20" spans="1:27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Z20"/>
      <c r="AA20" t="s">
        <v>3633</v>
      </c>
    </row>
    <row r="21" spans="1:27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Z21"/>
      <c r="AA21" t="s">
        <v>3633</v>
      </c>
    </row>
    <row r="22" spans="1:27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Z22"/>
      <c r="AA22" t="s">
        <v>3633</v>
      </c>
    </row>
    <row r="23" spans="1:27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Z23"/>
      <c r="AA23" t="s">
        <v>3633</v>
      </c>
    </row>
    <row r="24" spans="1:27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Z24"/>
      <c r="AA24" t="s">
        <v>3633</v>
      </c>
    </row>
    <row r="25" spans="1:27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Z25"/>
      <c r="AA25" t="s">
        <v>3633</v>
      </c>
    </row>
    <row r="26" spans="1:27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Z26"/>
      <c r="AA26" t="s">
        <v>3633</v>
      </c>
    </row>
    <row r="27" spans="1:27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Z27"/>
      <c r="AA27" t="s">
        <v>3633</v>
      </c>
    </row>
    <row r="28" spans="1:27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Z28"/>
      <c r="AA28" t="s">
        <v>3633</v>
      </c>
    </row>
    <row r="29" spans="1:27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Z29"/>
      <c r="AA29" t="s">
        <v>3633</v>
      </c>
    </row>
    <row r="30" spans="1:27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Z30"/>
      <c r="AA30" t="s">
        <v>3633</v>
      </c>
    </row>
    <row r="31" spans="1:27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Z31"/>
      <c r="AA31" t="s">
        <v>3633</v>
      </c>
    </row>
    <row r="32" spans="1:27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Z32"/>
      <c r="AA32" t="s">
        <v>3633</v>
      </c>
    </row>
    <row r="33" spans="1:27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Z33"/>
      <c r="AA33" t="s">
        <v>3633</v>
      </c>
    </row>
    <row r="34" spans="1:27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Z34"/>
      <c r="AA34" t="s">
        <v>3633</v>
      </c>
    </row>
    <row r="35" spans="1:27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Z35"/>
      <c r="AA35" t="s">
        <v>3633</v>
      </c>
    </row>
    <row r="36" spans="1:27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Z36"/>
      <c r="AA36" t="s">
        <v>3633</v>
      </c>
    </row>
    <row r="37" spans="1:27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Z37"/>
      <c r="AA37" t="s">
        <v>3633</v>
      </c>
    </row>
    <row r="38" spans="1:27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Z38"/>
      <c r="AA38" t="s">
        <v>3633</v>
      </c>
    </row>
    <row r="39" spans="1:27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Z39"/>
      <c r="AA39" t="s">
        <v>3633</v>
      </c>
    </row>
    <row r="40" spans="1:27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Z40"/>
      <c r="AA40" t="s">
        <v>3633</v>
      </c>
    </row>
    <row r="41" spans="1:27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Z41"/>
      <c r="AA41" t="s">
        <v>3633</v>
      </c>
    </row>
    <row r="42" spans="1:27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Z42"/>
      <c r="AA42" t="s">
        <v>3633</v>
      </c>
    </row>
    <row r="43" spans="1:27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Z43"/>
      <c r="AA43" t="s">
        <v>3633</v>
      </c>
    </row>
    <row r="44" spans="1:27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Z44"/>
      <c r="AA44" t="s">
        <v>3633</v>
      </c>
    </row>
    <row r="45" spans="1:27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Z45"/>
      <c r="AA45" t="s">
        <v>3633</v>
      </c>
    </row>
    <row r="46" spans="1:27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Z46"/>
      <c r="AA46" t="s">
        <v>3633</v>
      </c>
    </row>
    <row r="47" spans="1:27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Z47"/>
      <c r="AA47" t="s">
        <v>3633</v>
      </c>
    </row>
    <row r="48" spans="1:27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Z48"/>
      <c r="AA48" t="s">
        <v>3633</v>
      </c>
    </row>
    <row r="49" spans="1:27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Z49"/>
      <c r="AA49" t="s">
        <v>3633</v>
      </c>
    </row>
    <row r="50" spans="1:27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Z50"/>
      <c r="AA50" t="s">
        <v>3633</v>
      </c>
    </row>
    <row r="51" spans="1:27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Z51"/>
      <c r="AA51" t="s">
        <v>3633</v>
      </c>
    </row>
    <row r="52" spans="1:27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Z52"/>
      <c r="AA52" t="s">
        <v>3633</v>
      </c>
    </row>
    <row r="53" spans="1:27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Z53"/>
      <c r="AA53" t="s">
        <v>3633</v>
      </c>
    </row>
    <row r="54" spans="1:27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Z54"/>
      <c r="AA54" t="s">
        <v>3633</v>
      </c>
    </row>
    <row r="55" spans="1:27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Z55"/>
      <c r="AA55" t="s">
        <v>3633</v>
      </c>
    </row>
    <row r="56" spans="1:27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Z56"/>
      <c r="AA56" t="s">
        <v>3633</v>
      </c>
    </row>
    <row r="57" spans="1:27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Z57"/>
      <c r="AA57" t="s">
        <v>3633</v>
      </c>
    </row>
    <row r="58" spans="1:27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Z58"/>
      <c r="AA58" t="s">
        <v>3633</v>
      </c>
    </row>
    <row r="59" spans="1:27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Z59"/>
      <c r="AA59" t="s">
        <v>3633</v>
      </c>
    </row>
    <row r="60" spans="1:27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Z60"/>
      <c r="AA60" t="s">
        <v>3633</v>
      </c>
    </row>
    <row r="61" spans="1:27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Z61"/>
      <c r="AA61" t="s">
        <v>3633</v>
      </c>
    </row>
    <row r="62" spans="1:27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Z62"/>
      <c r="AA62" t="s">
        <v>3633</v>
      </c>
    </row>
    <row r="63" spans="1:27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Z63"/>
      <c r="AA63" t="s">
        <v>3633</v>
      </c>
    </row>
    <row r="64" spans="1:27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Z64"/>
      <c r="AA64" t="s">
        <v>3633</v>
      </c>
    </row>
    <row r="65" spans="1:27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Z65"/>
      <c r="AA65" t="s">
        <v>3633</v>
      </c>
    </row>
    <row r="66" spans="1:27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Z66"/>
      <c r="AA66" t="s">
        <v>3633</v>
      </c>
    </row>
    <row r="67" spans="1:27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Z67"/>
      <c r="AA67" t="s">
        <v>3633</v>
      </c>
    </row>
    <row r="68" spans="1:27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Z68"/>
      <c r="AA68" t="s">
        <v>3633</v>
      </c>
    </row>
    <row r="69" spans="1:27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Z69"/>
      <c r="AA69" t="s">
        <v>3633</v>
      </c>
    </row>
    <row r="70" spans="1:27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Z70"/>
      <c r="AA70" t="s">
        <v>3633</v>
      </c>
    </row>
    <row r="71" spans="1:27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Z71"/>
      <c r="AA71" t="s">
        <v>3633</v>
      </c>
    </row>
    <row r="72" spans="1:27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Z72"/>
      <c r="AA72" t="s">
        <v>3633</v>
      </c>
    </row>
    <row r="73" spans="1:27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Z73"/>
      <c r="AA73" t="s">
        <v>3633</v>
      </c>
    </row>
    <row r="74" spans="1:27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Z74"/>
      <c r="AA74" t="s">
        <v>3633</v>
      </c>
    </row>
    <row r="75" spans="1:27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Z75"/>
      <c r="AA75" t="s">
        <v>3633</v>
      </c>
    </row>
    <row r="76" spans="1:27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Z76"/>
      <c r="AA76" t="s">
        <v>3633</v>
      </c>
    </row>
    <row r="77" spans="1:27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Z77"/>
      <c r="AA77" t="s">
        <v>3633</v>
      </c>
    </row>
    <row r="78" spans="1:27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Z78"/>
      <c r="AA78" t="s">
        <v>3633</v>
      </c>
    </row>
    <row r="79" spans="1:27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Z79"/>
      <c r="AA79" t="s">
        <v>3633</v>
      </c>
    </row>
    <row r="80" spans="1:27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Z80"/>
      <c r="AA80" t="s">
        <v>3633</v>
      </c>
    </row>
    <row r="81" spans="1:27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Z81"/>
      <c r="AA81" t="s">
        <v>3633</v>
      </c>
    </row>
    <row r="82" spans="1:27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Z82"/>
      <c r="AA82" t="s">
        <v>3633</v>
      </c>
    </row>
    <row r="83" spans="1:27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Z83"/>
      <c r="AA83" t="s">
        <v>3633</v>
      </c>
    </row>
    <row r="84" spans="1:27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Z84"/>
      <c r="AA84" t="s">
        <v>3633</v>
      </c>
    </row>
    <row r="85" spans="1:27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Z85"/>
      <c r="AA85" t="s">
        <v>3633</v>
      </c>
    </row>
    <row r="86" spans="1:27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Z86"/>
      <c r="AA86" t="s">
        <v>3633</v>
      </c>
    </row>
    <row r="87" spans="1:27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Z87"/>
      <c r="AA87" t="s">
        <v>3633</v>
      </c>
    </row>
    <row r="88" spans="1:27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Z88"/>
      <c r="AA88" t="s">
        <v>3633</v>
      </c>
    </row>
    <row r="89" spans="1:27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Z89"/>
      <c r="AA89" t="s">
        <v>3633</v>
      </c>
    </row>
    <row r="90" spans="1:27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Z90"/>
      <c r="AA90" t="s">
        <v>3633</v>
      </c>
    </row>
    <row r="91" spans="1:27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Z91"/>
      <c r="AA91" t="s">
        <v>3633</v>
      </c>
    </row>
    <row r="92" spans="1:27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Z92"/>
      <c r="AA92" t="s">
        <v>3633</v>
      </c>
    </row>
    <row r="93" spans="1:27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Z93"/>
      <c r="AA93" t="s">
        <v>3633</v>
      </c>
    </row>
    <row r="94" spans="1:27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Z94"/>
      <c r="AA94" t="s">
        <v>3633</v>
      </c>
    </row>
    <row r="95" spans="1:27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Z95"/>
      <c r="AA95" t="s">
        <v>3633</v>
      </c>
    </row>
    <row r="96" spans="1:27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Z96"/>
      <c r="AA96" t="s">
        <v>3633</v>
      </c>
    </row>
    <row r="97" spans="1:27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Z97"/>
      <c r="AA97" t="s">
        <v>3633</v>
      </c>
    </row>
    <row r="98" spans="1:27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Z98"/>
      <c r="AA98" t="s">
        <v>3633</v>
      </c>
    </row>
    <row r="99" spans="1:27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Z99"/>
      <c r="AA99" t="s">
        <v>3633</v>
      </c>
    </row>
    <row r="100" spans="1:27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Z100"/>
      <c r="AA100" t="s">
        <v>3633</v>
      </c>
    </row>
    <row r="101" spans="1:27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Z101"/>
      <c r="AA101" t="s">
        <v>3633</v>
      </c>
    </row>
    <row r="102" spans="1:27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Z102"/>
      <c r="AA102" t="s">
        <v>3633</v>
      </c>
    </row>
    <row r="103" spans="1:27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Z103"/>
      <c r="AA103" t="s">
        <v>3633</v>
      </c>
    </row>
    <row r="104" spans="1:27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Z104"/>
      <c r="AA104" t="s">
        <v>3633</v>
      </c>
    </row>
    <row r="105" spans="1:27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Z105"/>
      <c r="AA105" t="s">
        <v>3633</v>
      </c>
    </row>
    <row r="106" spans="1:27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Z106"/>
      <c r="AA106" t="s">
        <v>3633</v>
      </c>
    </row>
    <row r="107" spans="1:27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Z107"/>
      <c r="AA107" t="s">
        <v>3633</v>
      </c>
    </row>
    <row r="108" spans="1:27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Z108"/>
      <c r="AA108" t="s">
        <v>3633</v>
      </c>
    </row>
    <row r="109" spans="1:27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Z109"/>
      <c r="AA109" t="s">
        <v>3633</v>
      </c>
    </row>
    <row r="110" spans="1:27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Z110"/>
      <c r="AA110" t="s">
        <v>3633</v>
      </c>
    </row>
    <row r="111" spans="1:27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Z111"/>
      <c r="AA111" t="s">
        <v>3633</v>
      </c>
    </row>
    <row r="112" spans="1:27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Z112"/>
      <c r="AA112" t="s">
        <v>3633</v>
      </c>
    </row>
    <row r="113" spans="1:27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Z113"/>
      <c r="AA113" t="s">
        <v>3633</v>
      </c>
    </row>
    <row r="114" spans="1:27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Z114"/>
      <c r="AA114" t="s">
        <v>3633</v>
      </c>
    </row>
    <row r="115" spans="1:27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Z115"/>
      <c r="AA115" t="s">
        <v>3633</v>
      </c>
    </row>
    <row r="116" spans="1:27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Z116"/>
      <c r="AA116" t="s">
        <v>3633</v>
      </c>
    </row>
    <row r="117" spans="1:27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Z117"/>
      <c r="AA117" t="s">
        <v>3633</v>
      </c>
    </row>
    <row r="118" spans="1:27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Z118"/>
      <c r="AA118" t="s">
        <v>3633</v>
      </c>
    </row>
    <row r="119" spans="1:27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Z119"/>
      <c r="AA119" t="s">
        <v>3633</v>
      </c>
    </row>
    <row r="120" spans="1:27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Z120"/>
      <c r="AA120" t="s">
        <v>3633</v>
      </c>
    </row>
    <row r="121" spans="1:27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Z121"/>
      <c r="AA121" t="s">
        <v>3633</v>
      </c>
    </row>
    <row r="122" spans="1:27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Z122"/>
      <c r="AA122" t="s">
        <v>3633</v>
      </c>
    </row>
    <row r="123" spans="1:27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Z123"/>
      <c r="AA123" t="s">
        <v>3633</v>
      </c>
    </row>
    <row r="124" spans="1:27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Z124"/>
      <c r="AA124" t="s">
        <v>3633</v>
      </c>
    </row>
    <row r="125" spans="1:27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Z125"/>
      <c r="AA125" t="s">
        <v>3633</v>
      </c>
    </row>
    <row r="126" spans="1:27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Z126"/>
      <c r="AA126" t="s">
        <v>3633</v>
      </c>
    </row>
    <row r="127" spans="1:27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Z127"/>
      <c r="AA127" t="s">
        <v>3633</v>
      </c>
    </row>
    <row r="128" spans="1:27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Z128"/>
      <c r="AA128" t="s">
        <v>3633</v>
      </c>
    </row>
    <row r="129" spans="1:27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Z129"/>
      <c r="AA129" t="s">
        <v>3633</v>
      </c>
    </row>
    <row r="130" spans="1:27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Z130"/>
      <c r="AA130" t="s">
        <v>3633</v>
      </c>
    </row>
    <row r="131" spans="1:27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Z131"/>
      <c r="AA131" t="s">
        <v>3633</v>
      </c>
    </row>
    <row r="132" spans="1:27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Z132"/>
      <c r="AA132" t="s">
        <v>3633</v>
      </c>
    </row>
    <row r="133" spans="1:27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Z133"/>
      <c r="AA133" t="s">
        <v>3633</v>
      </c>
    </row>
    <row r="134" spans="1:27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Z134"/>
      <c r="AA134" t="s">
        <v>3633</v>
      </c>
    </row>
    <row r="135" spans="1:27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Z135"/>
      <c r="AA135" t="s">
        <v>3633</v>
      </c>
    </row>
    <row r="136" spans="1:27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Z136"/>
      <c r="AA136" t="s">
        <v>3633</v>
      </c>
    </row>
    <row r="137" spans="1:27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Z137"/>
      <c r="AA137" t="s">
        <v>3633</v>
      </c>
    </row>
    <row r="138" spans="1:27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Z138"/>
      <c r="AA138" t="s">
        <v>3633</v>
      </c>
    </row>
    <row r="139" spans="1:27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Z139"/>
      <c r="AA139" t="s">
        <v>3633</v>
      </c>
    </row>
    <row r="140" spans="1:27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Z140"/>
      <c r="AA140" t="s">
        <v>3633</v>
      </c>
    </row>
    <row r="141" spans="1:27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Z141"/>
      <c r="AA141" t="s">
        <v>3633</v>
      </c>
    </row>
    <row r="142" spans="1:27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Z142"/>
      <c r="AA142" t="s">
        <v>3633</v>
      </c>
    </row>
    <row r="143" spans="1:27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Z143"/>
      <c r="AA143" t="s">
        <v>3633</v>
      </c>
    </row>
    <row r="144" spans="1:27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Z144"/>
      <c r="AA144" t="s">
        <v>3633</v>
      </c>
    </row>
    <row r="145" spans="1:27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Z145"/>
      <c r="AA145" t="s">
        <v>3633</v>
      </c>
    </row>
    <row r="146" spans="1:27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Z146"/>
      <c r="AA146" t="s">
        <v>3633</v>
      </c>
    </row>
    <row r="147" spans="1:27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Z147"/>
      <c r="AA147" t="s">
        <v>3633</v>
      </c>
    </row>
    <row r="148" spans="1:27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Z148"/>
      <c r="AA148" t="s">
        <v>3633</v>
      </c>
    </row>
    <row r="149" spans="1:27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Z149"/>
      <c r="AA149" t="s">
        <v>3633</v>
      </c>
    </row>
    <row r="150" spans="1:27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Z150"/>
      <c r="AA150" t="s">
        <v>3633</v>
      </c>
    </row>
    <row r="151" spans="1:27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Z151"/>
      <c r="AA151" t="s">
        <v>3633</v>
      </c>
    </row>
    <row r="152" spans="1:27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Z152"/>
      <c r="AA152" t="s">
        <v>3633</v>
      </c>
    </row>
    <row r="153" spans="1:27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Z153"/>
      <c r="AA153" t="s">
        <v>3633</v>
      </c>
    </row>
    <row r="154" spans="1:27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Z154"/>
      <c r="AA154" t="s">
        <v>3633</v>
      </c>
    </row>
    <row r="155" spans="1:27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Z155"/>
      <c r="AA155" t="s">
        <v>3633</v>
      </c>
    </row>
    <row r="156" spans="1:27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Z156"/>
      <c r="AA156" t="s">
        <v>3633</v>
      </c>
    </row>
    <row r="157" spans="1:27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Z157"/>
      <c r="AA157" t="s">
        <v>3633</v>
      </c>
    </row>
    <row r="158" spans="1:27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Z158"/>
      <c r="AA158" t="s">
        <v>3633</v>
      </c>
    </row>
    <row r="159" spans="1:27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Z159"/>
      <c r="AA159" t="s">
        <v>3633</v>
      </c>
    </row>
    <row r="160" spans="1:27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Z160"/>
      <c r="AA160" t="s">
        <v>3633</v>
      </c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Z161"/>
      <c r="AA161" t="s">
        <v>3633</v>
      </c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Z162"/>
      <c r="AA162" t="s">
        <v>3633</v>
      </c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Z163"/>
      <c r="AA163" t="s">
        <v>3633</v>
      </c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Z164"/>
      <c r="AA164" t="s">
        <v>3633</v>
      </c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Z165"/>
      <c r="AA165" t="s">
        <v>3633</v>
      </c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Z166"/>
      <c r="AA166" t="s">
        <v>3633</v>
      </c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Z167"/>
      <c r="AA167" t="s">
        <v>3633</v>
      </c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Z168"/>
      <c r="AA168" t="s">
        <v>3633</v>
      </c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Z169"/>
      <c r="AA169" t="s">
        <v>3633</v>
      </c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Z170"/>
      <c r="AA170" t="s">
        <v>3633</v>
      </c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Z171"/>
      <c r="AA171" t="s">
        <v>3633</v>
      </c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Z172"/>
      <c r="AA172" t="s">
        <v>3633</v>
      </c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Z173"/>
      <c r="AA173" t="s">
        <v>3633</v>
      </c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Z174"/>
      <c r="AA174" t="s">
        <v>3633</v>
      </c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Z175"/>
      <c r="AA175" t="s">
        <v>3633</v>
      </c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Z176"/>
      <c r="AA176" t="s">
        <v>3633</v>
      </c>
    </row>
    <row r="177" spans="1:27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Z177"/>
      <c r="AA177" t="s">
        <v>3633</v>
      </c>
    </row>
    <row r="178" spans="1:27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Z178"/>
      <c r="AA178" t="s">
        <v>3633</v>
      </c>
    </row>
    <row r="179" spans="1:27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Z179"/>
      <c r="AA179" t="s">
        <v>3633</v>
      </c>
    </row>
    <row r="180" spans="1:27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Z180"/>
      <c r="AA180" t="s">
        <v>3633</v>
      </c>
    </row>
    <row r="181" spans="1:27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Z181"/>
      <c r="AA181" t="s">
        <v>3633</v>
      </c>
    </row>
    <row r="182" spans="1:27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Z182"/>
      <c r="AA182" t="s">
        <v>3633</v>
      </c>
    </row>
    <row r="183" spans="1:27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Z183"/>
      <c r="AA183" t="s">
        <v>3633</v>
      </c>
    </row>
    <row r="184" spans="1:27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Z184"/>
      <c r="AA184" t="s">
        <v>3633</v>
      </c>
    </row>
    <row r="185" spans="1:27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Z185"/>
      <c r="AA185" t="s">
        <v>3633</v>
      </c>
    </row>
    <row r="186" spans="1:27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Z186"/>
      <c r="AA186" t="s">
        <v>3633</v>
      </c>
    </row>
    <row r="187" spans="1:27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Z187"/>
      <c r="AA187" t="s">
        <v>3633</v>
      </c>
    </row>
    <row r="188" spans="1:27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Z188"/>
      <c r="AA188" t="s">
        <v>3633</v>
      </c>
    </row>
    <row r="189" spans="1:27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Z189"/>
      <c r="AA189" t="s">
        <v>3633</v>
      </c>
    </row>
    <row r="190" spans="1:27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Z190"/>
      <c r="AA190" t="s">
        <v>3633</v>
      </c>
    </row>
    <row r="191" spans="1:27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Z191"/>
      <c r="AA191" t="s">
        <v>3633</v>
      </c>
    </row>
    <row r="192" spans="1:27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Z192"/>
      <c r="AA192" t="s">
        <v>3633</v>
      </c>
    </row>
    <row r="193" spans="1:27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Z193"/>
      <c r="AA193" t="s">
        <v>3633</v>
      </c>
    </row>
    <row r="194" spans="1:27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Z194"/>
      <c r="AA194" t="s">
        <v>3633</v>
      </c>
    </row>
    <row r="195" spans="1:27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Z195"/>
      <c r="AA195" t="s">
        <v>3633</v>
      </c>
    </row>
    <row r="196" spans="1:27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Z196"/>
      <c r="AA196" t="s">
        <v>3633</v>
      </c>
    </row>
    <row r="197" spans="1:27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Z197"/>
      <c r="AA197" t="s">
        <v>3633</v>
      </c>
    </row>
    <row r="198" spans="1:27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Z198"/>
      <c r="AA198" t="s">
        <v>3633</v>
      </c>
    </row>
    <row r="199" spans="1:27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Z199"/>
      <c r="AA199" t="s">
        <v>3633</v>
      </c>
    </row>
    <row r="200" spans="1:27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Z200"/>
      <c r="AA200" t="s">
        <v>3633</v>
      </c>
    </row>
    <row r="201" spans="1:27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Z201"/>
      <c r="AA201" t="s">
        <v>3633</v>
      </c>
    </row>
    <row r="202" spans="1:27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Z202"/>
      <c r="AA202" t="s">
        <v>3633</v>
      </c>
    </row>
    <row r="203" spans="1:27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Z203"/>
      <c r="AA203" t="s">
        <v>3633</v>
      </c>
    </row>
    <row r="204" spans="1:27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Z204"/>
      <c r="AA204" t="s">
        <v>3633</v>
      </c>
    </row>
    <row r="205" spans="1:27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Z205"/>
      <c r="AA205" t="s">
        <v>3633</v>
      </c>
    </row>
    <row r="206" spans="1:27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Z206"/>
      <c r="AA206" t="s">
        <v>3633</v>
      </c>
    </row>
    <row r="207" spans="1:27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Z207"/>
      <c r="AA207" t="s">
        <v>3633</v>
      </c>
    </row>
    <row r="208" spans="1:27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Z208"/>
      <c r="AA208" t="s">
        <v>3633</v>
      </c>
    </row>
    <row r="209" spans="1:27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Z209"/>
      <c r="AA209" t="s">
        <v>3633</v>
      </c>
    </row>
    <row r="210" spans="1:27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Z210"/>
      <c r="AA210" t="s">
        <v>3633</v>
      </c>
    </row>
    <row r="211" spans="1:27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Z211"/>
      <c r="AA211" t="s">
        <v>3633</v>
      </c>
    </row>
    <row r="212" spans="1:27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Z212"/>
      <c r="AA212" t="s">
        <v>3633</v>
      </c>
    </row>
    <row r="213" spans="1:27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Z213"/>
      <c r="AA213" t="s">
        <v>3633</v>
      </c>
    </row>
    <row r="214" spans="1:27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Z214"/>
      <c r="AA214" t="s">
        <v>3633</v>
      </c>
    </row>
    <row r="215" spans="1:27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Z215"/>
      <c r="AA215" t="s">
        <v>3633</v>
      </c>
    </row>
    <row r="216" spans="1:27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Z216"/>
      <c r="AA216" t="s">
        <v>3633</v>
      </c>
    </row>
    <row r="217" spans="1:27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Z217"/>
      <c r="AA217" t="s">
        <v>3633</v>
      </c>
    </row>
    <row r="218" spans="1:27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Z218"/>
      <c r="AA218" t="s">
        <v>3633</v>
      </c>
    </row>
    <row r="219" spans="1:27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Z219"/>
      <c r="AA219" t="s">
        <v>3633</v>
      </c>
    </row>
    <row r="220" spans="1:27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Z220"/>
      <c r="AA220" t="s">
        <v>3633</v>
      </c>
    </row>
    <row r="221" spans="1:27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Z221"/>
      <c r="AA221" t="s">
        <v>3633</v>
      </c>
    </row>
    <row r="222" spans="1:27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Z222"/>
      <c r="AA222" t="s">
        <v>3633</v>
      </c>
    </row>
    <row r="223" spans="1:27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Z223"/>
      <c r="AA223" t="s">
        <v>3633</v>
      </c>
    </row>
    <row r="224" spans="1:27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Z224"/>
      <c r="AA224" t="s">
        <v>3633</v>
      </c>
    </row>
    <row r="225" spans="1:27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Z225"/>
      <c r="AA225" t="s">
        <v>3633</v>
      </c>
    </row>
    <row r="226" spans="1:27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Z226"/>
      <c r="AA226" t="s">
        <v>3633</v>
      </c>
    </row>
    <row r="227" spans="1:27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Z227"/>
      <c r="AA227" t="s">
        <v>3633</v>
      </c>
    </row>
    <row r="228" spans="1:27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Z228"/>
      <c r="AA228" t="s">
        <v>3633</v>
      </c>
    </row>
    <row r="229" spans="1:27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Z229"/>
      <c r="AA229" t="s">
        <v>3633</v>
      </c>
    </row>
    <row r="230" spans="1:27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Z230"/>
      <c r="AA230" t="s">
        <v>3633</v>
      </c>
    </row>
    <row r="231" spans="1:27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Z231"/>
      <c r="AA231" t="s">
        <v>3633</v>
      </c>
    </row>
    <row r="232" spans="1:27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Z232"/>
      <c r="AA232" t="s">
        <v>3633</v>
      </c>
    </row>
    <row r="233" spans="1:27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Z233"/>
      <c r="AA233" t="s">
        <v>3633</v>
      </c>
    </row>
    <row r="234" spans="1:27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Z234"/>
      <c r="AA234" t="s">
        <v>3633</v>
      </c>
    </row>
    <row r="235" spans="1:27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Z235"/>
      <c r="AA235" t="s">
        <v>3633</v>
      </c>
    </row>
    <row r="236" spans="1:27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Z236"/>
      <c r="AA236" t="s">
        <v>3633</v>
      </c>
    </row>
    <row r="237" spans="1:27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Z237"/>
      <c r="AA237" t="s">
        <v>3633</v>
      </c>
    </row>
    <row r="238" spans="1:27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Z238"/>
      <c r="AA238" t="s">
        <v>3633</v>
      </c>
    </row>
    <row r="239" spans="1:27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Z239"/>
      <c r="AA239" t="s">
        <v>3633</v>
      </c>
    </row>
    <row r="240" spans="1:27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Z240"/>
      <c r="AA240" t="s">
        <v>3633</v>
      </c>
    </row>
    <row r="241" spans="1:27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Z241"/>
      <c r="AA241" t="s">
        <v>3633</v>
      </c>
    </row>
    <row r="242" spans="1:27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Z242"/>
      <c r="AA242" t="s">
        <v>3633</v>
      </c>
    </row>
    <row r="243" spans="1:27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Z243"/>
      <c r="AA243" t="s">
        <v>3633</v>
      </c>
    </row>
    <row r="244" spans="1:27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Z244"/>
      <c r="AA244" t="s">
        <v>3633</v>
      </c>
    </row>
    <row r="245" spans="1:27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Z245"/>
      <c r="AA245" t="s">
        <v>3633</v>
      </c>
    </row>
    <row r="246" spans="1:27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Z246"/>
      <c r="AA246" t="s">
        <v>3633</v>
      </c>
    </row>
    <row r="247" spans="1:27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Z247"/>
      <c r="AA247" t="s">
        <v>3633</v>
      </c>
    </row>
    <row r="248" spans="1:27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Z248"/>
      <c r="AA248" t="s">
        <v>3633</v>
      </c>
    </row>
    <row r="249" spans="1:27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Z249"/>
      <c r="AA249" t="s">
        <v>3633</v>
      </c>
    </row>
    <row r="250" spans="1:27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Z250"/>
      <c r="AA250" t="s">
        <v>3633</v>
      </c>
    </row>
    <row r="251" spans="1:27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Z251"/>
      <c r="AA251" t="s">
        <v>3633</v>
      </c>
    </row>
    <row r="252" spans="1:27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Z252"/>
      <c r="AA252" t="s">
        <v>3633</v>
      </c>
    </row>
    <row r="253" spans="1:27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Z253"/>
      <c r="AA253" t="s">
        <v>3633</v>
      </c>
    </row>
    <row r="254" spans="1:27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Z254"/>
      <c r="AA254" t="s">
        <v>3633</v>
      </c>
    </row>
    <row r="255" spans="1:27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Z255"/>
      <c r="AA255" t="s">
        <v>3633</v>
      </c>
    </row>
    <row r="256" spans="1:27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Z256"/>
      <c r="AA256" t="s">
        <v>3633</v>
      </c>
    </row>
    <row r="257" spans="1:27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Z257"/>
      <c r="AA257" t="s">
        <v>3633</v>
      </c>
    </row>
    <row r="258" spans="1:27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Z258"/>
      <c r="AA258" t="s">
        <v>3633</v>
      </c>
    </row>
    <row r="259" spans="1:27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Z259"/>
      <c r="AA259" t="s">
        <v>3633</v>
      </c>
    </row>
    <row r="260" spans="1:27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Z260"/>
      <c r="AA260" t="s">
        <v>3633</v>
      </c>
    </row>
    <row r="261" spans="1:27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Z261"/>
      <c r="AA261" t="s">
        <v>3633</v>
      </c>
    </row>
    <row r="262" spans="1:27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Z262"/>
      <c r="AA262" t="s">
        <v>3633</v>
      </c>
    </row>
    <row r="263" spans="1:27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Z263"/>
      <c r="AA263" t="s">
        <v>3633</v>
      </c>
    </row>
    <row r="264" spans="1:27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Z264"/>
      <c r="AA264" t="s">
        <v>3633</v>
      </c>
    </row>
    <row r="265" spans="1:27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Z265"/>
      <c r="AA265" t="s">
        <v>3633</v>
      </c>
    </row>
    <row r="266" spans="1:27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Z266"/>
      <c r="AA266" t="s">
        <v>3633</v>
      </c>
    </row>
    <row r="267" spans="1:27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Z267"/>
      <c r="AA267" t="s">
        <v>3633</v>
      </c>
    </row>
    <row r="268" spans="1:27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Z268"/>
      <c r="AA268" t="s">
        <v>3633</v>
      </c>
    </row>
    <row r="269" spans="1:27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Z269"/>
      <c r="AA269" t="s">
        <v>3633</v>
      </c>
    </row>
    <row r="270" spans="1:27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Z270"/>
      <c r="AA270" t="s">
        <v>3633</v>
      </c>
    </row>
    <row r="271" spans="1:27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Z271"/>
      <c r="AA271" t="s">
        <v>3633</v>
      </c>
    </row>
    <row r="272" spans="1:27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Z272"/>
      <c r="AA272" t="s">
        <v>3633</v>
      </c>
    </row>
    <row r="273" spans="1:27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Z273"/>
      <c r="AA273" t="s">
        <v>3633</v>
      </c>
    </row>
    <row r="274" spans="1:27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Z274"/>
      <c r="AA274" t="s">
        <v>3633</v>
      </c>
    </row>
    <row r="275" spans="1:27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Z275"/>
      <c r="AA275" t="s">
        <v>3633</v>
      </c>
    </row>
    <row r="276" spans="1:27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Z276"/>
      <c r="AA276" t="s">
        <v>3633</v>
      </c>
    </row>
    <row r="277" spans="1:27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Z277"/>
      <c r="AA277" t="s">
        <v>3633</v>
      </c>
    </row>
    <row r="278" spans="1:27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Z278"/>
      <c r="AA278" t="s">
        <v>3633</v>
      </c>
    </row>
    <row r="279" spans="1:27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Z279"/>
      <c r="AA279" t="s">
        <v>3633</v>
      </c>
    </row>
    <row r="280" spans="1:27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Z280"/>
      <c r="AA280" t="s">
        <v>3633</v>
      </c>
    </row>
    <row r="281" spans="1:27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Z281"/>
      <c r="AA281" t="s">
        <v>3633</v>
      </c>
    </row>
    <row r="282" spans="1:27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Z282"/>
      <c r="AA282" t="s">
        <v>3633</v>
      </c>
    </row>
    <row r="283" spans="1:27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Z283"/>
      <c r="AA283" t="s">
        <v>3633</v>
      </c>
    </row>
    <row r="284" spans="1:27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Z284"/>
      <c r="AA284" t="s">
        <v>3633</v>
      </c>
    </row>
    <row r="285" spans="1:27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Z285"/>
      <c r="AA285" t="s">
        <v>3633</v>
      </c>
    </row>
    <row r="286" spans="1:27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Z286"/>
      <c r="AA286" t="s">
        <v>3633</v>
      </c>
    </row>
    <row r="287" spans="1:27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Z287"/>
      <c r="AA287" t="s">
        <v>3633</v>
      </c>
    </row>
    <row r="288" spans="1:27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Z288"/>
      <c r="AA288" t="s">
        <v>3633</v>
      </c>
    </row>
    <row r="289" spans="1:27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Z289"/>
      <c r="AA289" t="s">
        <v>3633</v>
      </c>
    </row>
    <row r="290" spans="1:27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Z290"/>
      <c r="AA290" t="s">
        <v>3633</v>
      </c>
    </row>
    <row r="291" spans="1:27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Z291"/>
      <c r="AA291" t="s">
        <v>3633</v>
      </c>
    </row>
    <row r="292" spans="1:27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Z292"/>
      <c r="AA292" t="s">
        <v>3633</v>
      </c>
    </row>
    <row r="293" spans="1:27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Z293"/>
      <c r="AA293" t="s">
        <v>3633</v>
      </c>
    </row>
    <row r="294" spans="1:27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Z294"/>
      <c r="AA294" t="s">
        <v>3633</v>
      </c>
    </row>
    <row r="295" spans="1:27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Z295"/>
      <c r="AA295" t="s">
        <v>3633</v>
      </c>
    </row>
    <row r="296" spans="1:27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Z296"/>
      <c r="AA296" t="s">
        <v>3633</v>
      </c>
    </row>
    <row r="297" spans="1:27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Z297"/>
      <c r="AA297" t="s">
        <v>3633</v>
      </c>
    </row>
    <row r="298" spans="1:27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Z298"/>
      <c r="AA298" t="s">
        <v>3633</v>
      </c>
    </row>
    <row r="299" spans="1:27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Z299"/>
      <c r="AA299" t="s">
        <v>3633</v>
      </c>
    </row>
    <row r="300" spans="1:27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Z300"/>
      <c r="AA300" t="s">
        <v>3633</v>
      </c>
    </row>
    <row r="301" spans="1:27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Z301"/>
      <c r="AA301" t="s">
        <v>3633</v>
      </c>
    </row>
    <row r="302" spans="1:27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Z302"/>
      <c r="AA302" t="s">
        <v>3633</v>
      </c>
    </row>
    <row r="303" spans="1:27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Z303"/>
      <c r="AA303" t="s">
        <v>3633</v>
      </c>
    </row>
    <row r="304" spans="1:27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Z304"/>
      <c r="AA304" t="s">
        <v>3633</v>
      </c>
    </row>
    <row r="305" spans="1:27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Z305"/>
      <c r="AA305" t="s">
        <v>3633</v>
      </c>
    </row>
    <row r="306" spans="1:27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Z306"/>
      <c r="AA306" t="s">
        <v>3633</v>
      </c>
    </row>
    <row r="307" spans="1:27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Z307"/>
      <c r="AA307" t="s">
        <v>3633</v>
      </c>
    </row>
    <row r="308" spans="1:27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Z308"/>
      <c r="AA308" t="s">
        <v>3633</v>
      </c>
    </row>
    <row r="309" spans="1:27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Z309"/>
      <c r="AA309" t="s">
        <v>3633</v>
      </c>
    </row>
    <row r="310" spans="1:27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Z310"/>
      <c r="AA310" t="s">
        <v>3633</v>
      </c>
    </row>
    <row r="311" spans="1:27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Z311"/>
      <c r="AA311" t="s">
        <v>3633</v>
      </c>
    </row>
    <row r="312" spans="1:27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Z312"/>
      <c r="AA312" t="s">
        <v>3633</v>
      </c>
    </row>
    <row r="313" spans="1:27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Z313"/>
      <c r="AA313" t="s">
        <v>3633</v>
      </c>
    </row>
    <row r="314" spans="1:27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Z314"/>
      <c r="AA314" t="s">
        <v>3633</v>
      </c>
    </row>
    <row r="315" spans="1:27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Z315"/>
      <c r="AA315" t="s">
        <v>3633</v>
      </c>
    </row>
    <row r="316" spans="1:27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Z316"/>
      <c r="AA316" t="s">
        <v>3633</v>
      </c>
    </row>
    <row r="317" spans="1:27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Z317"/>
      <c r="AA317" t="s">
        <v>3633</v>
      </c>
    </row>
    <row r="318" spans="1:27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Z318"/>
      <c r="AA318" t="s">
        <v>3633</v>
      </c>
    </row>
    <row r="319" spans="1:27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Z319"/>
      <c r="AA319" t="s">
        <v>3633</v>
      </c>
    </row>
    <row r="320" spans="1:27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Z320"/>
      <c r="AA320" t="s">
        <v>3633</v>
      </c>
    </row>
    <row r="321" spans="1:27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Z321"/>
      <c r="AA321" t="s">
        <v>3633</v>
      </c>
    </row>
    <row r="322" spans="1:27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Z322"/>
      <c r="AA322" t="s">
        <v>3633</v>
      </c>
    </row>
    <row r="323" spans="1:27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Z323"/>
      <c r="AA323" t="s">
        <v>3633</v>
      </c>
    </row>
    <row r="324" spans="1:27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Z324"/>
      <c r="AA324" t="s">
        <v>3633</v>
      </c>
    </row>
    <row r="325" spans="1:27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Z325"/>
      <c r="AA325" t="s">
        <v>3633</v>
      </c>
    </row>
    <row r="326" spans="1:27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Z326"/>
      <c r="AA326" t="s">
        <v>3633</v>
      </c>
    </row>
    <row r="327" spans="1:27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Z327"/>
      <c r="AA327" t="s">
        <v>3633</v>
      </c>
    </row>
    <row r="328" spans="1:27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Z328"/>
      <c r="AA328" t="s">
        <v>3633</v>
      </c>
    </row>
    <row r="329" spans="1:27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Z329"/>
      <c r="AA329" t="s">
        <v>3633</v>
      </c>
    </row>
    <row r="330" spans="1:27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Z330"/>
      <c r="AA330" t="s">
        <v>3633</v>
      </c>
    </row>
    <row r="331" spans="1:27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Z331"/>
      <c r="AA331" t="s">
        <v>3633</v>
      </c>
    </row>
    <row r="332" spans="1:27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Z332"/>
      <c r="AA332" t="s">
        <v>3633</v>
      </c>
    </row>
    <row r="333" spans="1:27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Z333"/>
      <c r="AA333" t="s">
        <v>3633</v>
      </c>
    </row>
    <row r="334" spans="1:27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Z334"/>
      <c r="AA334" t="s">
        <v>3633</v>
      </c>
    </row>
    <row r="335" spans="1:27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Z335"/>
      <c r="AA335" t="s">
        <v>3633</v>
      </c>
    </row>
    <row r="336" spans="1:27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Z336"/>
      <c r="AA336" t="s">
        <v>3633</v>
      </c>
    </row>
    <row r="337" spans="1:27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Z337"/>
      <c r="AA337" t="s">
        <v>3633</v>
      </c>
    </row>
    <row r="338" spans="1:27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Z338"/>
      <c r="AA338" t="s">
        <v>3633</v>
      </c>
    </row>
    <row r="339" spans="1:27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Z339"/>
      <c r="AA339" t="s">
        <v>3633</v>
      </c>
    </row>
    <row r="340" spans="1:27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Z340"/>
      <c r="AA340" t="s">
        <v>3633</v>
      </c>
    </row>
    <row r="341" spans="1:27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Z341"/>
      <c r="AA341" t="s">
        <v>3633</v>
      </c>
    </row>
    <row r="342" spans="1:27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Z342"/>
      <c r="AA342" t="s">
        <v>3633</v>
      </c>
    </row>
    <row r="343" spans="1:27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Z343"/>
      <c r="AA343" t="s">
        <v>3633</v>
      </c>
    </row>
    <row r="344" spans="1:27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Z344"/>
      <c r="AA344" t="s">
        <v>3633</v>
      </c>
    </row>
    <row r="345" spans="1:27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Z345"/>
      <c r="AA345" t="s">
        <v>3633</v>
      </c>
    </row>
    <row r="346" spans="1:27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Z346"/>
      <c r="AA346" t="s">
        <v>3633</v>
      </c>
    </row>
    <row r="347" spans="1:27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Z347"/>
      <c r="AA347" t="s">
        <v>3633</v>
      </c>
    </row>
    <row r="348" spans="1:27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Z348"/>
      <c r="AA348" t="s">
        <v>3633</v>
      </c>
    </row>
    <row r="349" spans="1:27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Z349"/>
      <c r="AA349" t="s">
        <v>3633</v>
      </c>
    </row>
    <row r="350" spans="1:27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Z350"/>
      <c r="AA350" t="s">
        <v>3633</v>
      </c>
    </row>
    <row r="351" spans="1:27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Z351"/>
      <c r="AA351" t="s">
        <v>3633</v>
      </c>
    </row>
    <row r="352" spans="1:27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Z352"/>
      <c r="AA352" t="s">
        <v>3633</v>
      </c>
    </row>
    <row r="353" spans="1:27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Z353"/>
      <c r="AA353" t="s">
        <v>3633</v>
      </c>
    </row>
    <row r="354" spans="1:27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Z354"/>
      <c r="AA354" t="s">
        <v>3633</v>
      </c>
    </row>
    <row r="355" spans="1:27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Z355"/>
      <c r="AA355" t="s">
        <v>3633</v>
      </c>
    </row>
    <row r="356" spans="1:27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Z356"/>
      <c r="AA356" t="s">
        <v>3633</v>
      </c>
    </row>
    <row r="357" spans="1:27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Z357"/>
      <c r="AA357" t="s">
        <v>3633</v>
      </c>
    </row>
    <row r="358" spans="1:27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Z358"/>
      <c r="AA358" t="s">
        <v>3633</v>
      </c>
    </row>
    <row r="359" spans="1:27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Z359"/>
      <c r="AA359" t="s">
        <v>3633</v>
      </c>
    </row>
    <row r="360" spans="1:27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Z360"/>
      <c r="AA360" t="s">
        <v>3633</v>
      </c>
    </row>
    <row r="361" spans="1:27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Z361"/>
      <c r="AA361" t="s">
        <v>3633</v>
      </c>
    </row>
    <row r="362" spans="1:27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Z362"/>
      <c r="AA362" t="s">
        <v>3633</v>
      </c>
    </row>
    <row r="363" spans="1:27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Z363"/>
      <c r="AA363" t="s">
        <v>3633</v>
      </c>
    </row>
    <row r="364" spans="1:27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Z364"/>
      <c r="AA364" t="s">
        <v>3633</v>
      </c>
    </row>
    <row r="365" spans="1:27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Z365"/>
      <c r="AA365" t="s">
        <v>3633</v>
      </c>
    </row>
    <row r="366" spans="1:27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Z366"/>
      <c r="AA366" t="s">
        <v>3633</v>
      </c>
    </row>
    <row r="367" spans="1:27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Z367"/>
      <c r="AA367" t="s">
        <v>3633</v>
      </c>
    </row>
    <row r="368" spans="1:27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Z368"/>
      <c r="AA368" t="s">
        <v>3633</v>
      </c>
    </row>
    <row r="369" spans="1:27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Z369"/>
      <c r="AA369" t="s">
        <v>3633</v>
      </c>
    </row>
    <row r="370" spans="1:27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Z370"/>
      <c r="AA370" t="s">
        <v>3633</v>
      </c>
    </row>
    <row r="371" spans="1:27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Z371"/>
      <c r="AA371" t="s">
        <v>3633</v>
      </c>
    </row>
    <row r="372" spans="1:27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Z372"/>
      <c r="AA372" t="s">
        <v>3633</v>
      </c>
    </row>
    <row r="373" spans="1:27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Z373"/>
      <c r="AA373" t="s">
        <v>3633</v>
      </c>
    </row>
    <row r="374" spans="1:27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Z374"/>
      <c r="AA374" t="s">
        <v>3633</v>
      </c>
    </row>
    <row r="375" spans="1:27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Z375"/>
      <c r="AA375" t="s">
        <v>3633</v>
      </c>
    </row>
    <row r="376" spans="1:27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Z376"/>
      <c r="AA376" t="s">
        <v>3633</v>
      </c>
    </row>
    <row r="377" spans="1:27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Z377"/>
      <c r="AA377" t="s">
        <v>3633</v>
      </c>
    </row>
    <row r="378" spans="1:27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Z378"/>
      <c r="AA378" t="s">
        <v>3633</v>
      </c>
    </row>
    <row r="379" spans="1:27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Z379"/>
      <c r="AA379" t="s">
        <v>3633</v>
      </c>
    </row>
    <row r="380" spans="1:27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Z380"/>
      <c r="AA380" t="s">
        <v>3633</v>
      </c>
    </row>
    <row r="381" spans="1:27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Z381"/>
      <c r="AA381" t="s">
        <v>3633</v>
      </c>
    </row>
    <row r="382" spans="1:27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Z382"/>
      <c r="AA382" t="s">
        <v>3633</v>
      </c>
    </row>
    <row r="383" spans="1:27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Z383"/>
      <c r="AA383" t="s">
        <v>3633</v>
      </c>
    </row>
    <row r="384" spans="1:27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Z384"/>
      <c r="AA384" t="s">
        <v>3633</v>
      </c>
    </row>
    <row r="385" spans="1:27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Z385"/>
      <c r="AA385" t="s">
        <v>3633</v>
      </c>
    </row>
    <row r="386" spans="1:27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Z386"/>
      <c r="AA386" t="s">
        <v>3633</v>
      </c>
    </row>
    <row r="387" spans="1:27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Z387"/>
      <c r="AA387" t="s">
        <v>3633</v>
      </c>
    </row>
    <row r="388" spans="1:27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Z388"/>
      <c r="AA388" t="s">
        <v>3633</v>
      </c>
    </row>
    <row r="389" spans="1:27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Z389"/>
      <c r="AA389" t="s">
        <v>3633</v>
      </c>
    </row>
    <row r="390" spans="1:27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Z390"/>
      <c r="AA390" t="s">
        <v>3633</v>
      </c>
    </row>
    <row r="391" spans="1:27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Z391"/>
      <c r="AA391" t="s">
        <v>3633</v>
      </c>
    </row>
    <row r="392" spans="1:27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Z392"/>
      <c r="AA392" t="s">
        <v>3633</v>
      </c>
    </row>
    <row r="393" spans="1:27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Z393"/>
      <c r="AA393" t="s">
        <v>3633</v>
      </c>
    </row>
    <row r="394" spans="1:27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Z394"/>
      <c r="AA394" t="s">
        <v>3633</v>
      </c>
    </row>
    <row r="395" spans="1:27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Z395"/>
      <c r="AA395" t="s">
        <v>3633</v>
      </c>
    </row>
    <row r="396" spans="1:27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Z396"/>
      <c r="AA396" t="s">
        <v>3633</v>
      </c>
    </row>
    <row r="397" spans="1:27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Z397"/>
      <c r="AA397" t="s">
        <v>3633</v>
      </c>
    </row>
    <row r="398" spans="1:27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Z398"/>
      <c r="AA398" t="s">
        <v>3633</v>
      </c>
    </row>
    <row r="399" spans="1:27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Z399"/>
      <c r="AA399" t="s">
        <v>3633</v>
      </c>
    </row>
    <row r="400" spans="1:27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Z400"/>
      <c r="AA400" t="s">
        <v>3633</v>
      </c>
    </row>
    <row r="401" spans="1:27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Z401"/>
      <c r="AA401" t="s">
        <v>3633</v>
      </c>
    </row>
    <row r="402" spans="1:27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Z402"/>
      <c r="AA402" t="s">
        <v>3633</v>
      </c>
    </row>
    <row r="403" spans="1:27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Z403"/>
      <c r="AA403" t="s">
        <v>3633</v>
      </c>
    </row>
    <row r="404" spans="1:27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Z404"/>
      <c r="AA404" t="s">
        <v>3633</v>
      </c>
    </row>
    <row r="405" spans="1:27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Z405"/>
      <c r="AA405" t="s">
        <v>3633</v>
      </c>
    </row>
    <row r="406" spans="1:27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Z406"/>
      <c r="AA406" t="s">
        <v>3633</v>
      </c>
    </row>
    <row r="407" spans="1:27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Z407"/>
      <c r="AA407" t="s">
        <v>3633</v>
      </c>
    </row>
    <row r="408" spans="1:27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Z408"/>
      <c r="AA408" t="s">
        <v>3633</v>
      </c>
    </row>
    <row r="409" spans="1:27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Z409"/>
      <c r="AA409" t="s">
        <v>3633</v>
      </c>
    </row>
    <row r="410" spans="1:27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Z410"/>
      <c r="AA410" t="s">
        <v>3633</v>
      </c>
    </row>
    <row r="411" spans="1:27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Z411"/>
      <c r="AA411" t="s">
        <v>3633</v>
      </c>
    </row>
    <row r="412" spans="1:27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Z412"/>
      <c r="AA412" t="s">
        <v>3633</v>
      </c>
    </row>
    <row r="413" spans="1:27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Z413"/>
      <c r="AA413" t="s">
        <v>3633</v>
      </c>
    </row>
    <row r="414" spans="1:27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Z414"/>
      <c r="AA414" t="s">
        <v>3633</v>
      </c>
    </row>
    <row r="415" spans="1:27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Z415"/>
      <c r="AA415" t="s">
        <v>3633</v>
      </c>
    </row>
    <row r="416" spans="1:27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Z416"/>
      <c r="AA416" t="s">
        <v>3633</v>
      </c>
    </row>
    <row r="417" spans="1:27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Z417"/>
      <c r="AA417" t="s">
        <v>3633</v>
      </c>
    </row>
    <row r="418" spans="1:27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Z418"/>
      <c r="AA418" t="s">
        <v>3633</v>
      </c>
    </row>
    <row r="419" spans="1:27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Z419"/>
      <c r="AA419" t="s">
        <v>3633</v>
      </c>
    </row>
    <row r="420" spans="1:27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Z420"/>
      <c r="AA420" t="s">
        <v>3633</v>
      </c>
    </row>
    <row r="421" spans="1:27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Z421"/>
      <c r="AA421" t="s">
        <v>3633</v>
      </c>
    </row>
    <row r="422" spans="1:27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Z422"/>
      <c r="AA422" t="s">
        <v>3633</v>
      </c>
    </row>
    <row r="423" spans="1:27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Z423"/>
      <c r="AA423" t="s">
        <v>3633</v>
      </c>
    </row>
    <row r="424" spans="1:27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Z424"/>
      <c r="AA424" t="s">
        <v>3633</v>
      </c>
    </row>
    <row r="425" spans="1:27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Z425"/>
      <c r="AA425" t="s">
        <v>3633</v>
      </c>
    </row>
    <row r="426" spans="1:27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Z426"/>
      <c r="AA426" t="s">
        <v>3633</v>
      </c>
    </row>
    <row r="427" spans="1:27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Z427"/>
      <c r="AA427" t="s">
        <v>3633</v>
      </c>
    </row>
    <row r="428" spans="1:27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Z428"/>
      <c r="AA428" t="s">
        <v>3633</v>
      </c>
    </row>
    <row r="429" spans="1:27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Z429"/>
      <c r="AA429" t="s">
        <v>3633</v>
      </c>
    </row>
    <row r="430" spans="1:27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Z430"/>
      <c r="AA430" t="s">
        <v>3633</v>
      </c>
    </row>
    <row r="431" spans="1:27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Z431"/>
      <c r="AA431" t="s">
        <v>3633</v>
      </c>
    </row>
    <row r="432" spans="1:27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Z432"/>
      <c r="AA432" t="s">
        <v>3633</v>
      </c>
    </row>
    <row r="433" spans="1:27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Z433"/>
      <c r="AA433" t="s">
        <v>3633</v>
      </c>
    </row>
    <row r="434" spans="1:27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Z434"/>
      <c r="AA434" t="s">
        <v>3633</v>
      </c>
    </row>
    <row r="435" spans="1:27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Z435"/>
      <c r="AA435" t="s">
        <v>3633</v>
      </c>
    </row>
    <row r="436" spans="1:27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Z436"/>
      <c r="AA436" t="s">
        <v>3633</v>
      </c>
    </row>
    <row r="437" spans="1:27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Z437"/>
      <c r="AA437" t="s">
        <v>3633</v>
      </c>
    </row>
    <row r="438" spans="1:27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Z438"/>
      <c r="AA438" t="s">
        <v>3633</v>
      </c>
    </row>
    <row r="439" spans="1:27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Z439"/>
      <c r="AA439" t="s">
        <v>3633</v>
      </c>
    </row>
    <row r="440" spans="1:27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Z440"/>
      <c r="AA440" t="s">
        <v>3633</v>
      </c>
    </row>
    <row r="441" spans="1:27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Z441"/>
      <c r="AA441" t="s">
        <v>3633</v>
      </c>
    </row>
    <row r="442" spans="1:27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Z442"/>
      <c r="AA442" t="s">
        <v>3633</v>
      </c>
    </row>
    <row r="443" spans="1:27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Z443"/>
      <c r="AA443" t="s">
        <v>3633</v>
      </c>
    </row>
    <row r="444" spans="1:27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Z444"/>
      <c r="AA444" t="s">
        <v>3633</v>
      </c>
    </row>
    <row r="445" spans="1:27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Z445"/>
      <c r="AA445" t="s">
        <v>3633</v>
      </c>
    </row>
    <row r="446" spans="1:27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Z446"/>
      <c r="AA446" t="s">
        <v>3633</v>
      </c>
    </row>
    <row r="447" spans="1:27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Z447"/>
      <c r="AA447" t="s">
        <v>3633</v>
      </c>
    </row>
    <row r="448" spans="1:27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Z448"/>
      <c r="AA448" t="s">
        <v>3633</v>
      </c>
    </row>
    <row r="449" spans="1:27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Z449"/>
      <c r="AA449" t="s">
        <v>3633</v>
      </c>
    </row>
    <row r="450" spans="1:27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Z450"/>
      <c r="AA450" t="s">
        <v>3633</v>
      </c>
    </row>
    <row r="451" spans="1:27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Z451"/>
      <c r="AA451" t="s">
        <v>3633</v>
      </c>
    </row>
    <row r="452" spans="1:27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Z452"/>
      <c r="AA452" t="s">
        <v>3633</v>
      </c>
    </row>
    <row r="453" spans="1:27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Z453"/>
      <c r="AA453" t="s">
        <v>3633</v>
      </c>
    </row>
    <row r="454" spans="1:27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Z454"/>
      <c r="AA454" t="s">
        <v>3633</v>
      </c>
    </row>
    <row r="455" spans="1:27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Z455"/>
      <c r="AA455" t="s">
        <v>3633</v>
      </c>
    </row>
    <row r="456" spans="1:27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Z456"/>
      <c r="AA456" t="s">
        <v>3633</v>
      </c>
    </row>
    <row r="457" spans="1:27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Z457"/>
      <c r="AA457" t="s">
        <v>3633</v>
      </c>
    </row>
    <row r="458" spans="1:27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Z458"/>
      <c r="AA458" t="s">
        <v>3633</v>
      </c>
    </row>
    <row r="459" spans="1:27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Z459"/>
      <c r="AA459" t="s">
        <v>3633</v>
      </c>
    </row>
    <row r="460" spans="1:27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Z460"/>
      <c r="AA460" t="s">
        <v>3633</v>
      </c>
    </row>
    <row r="461" spans="1:27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Z461"/>
      <c r="AA461" t="s">
        <v>3633</v>
      </c>
    </row>
    <row r="462" spans="1:27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Z462"/>
      <c r="AA462" t="s">
        <v>3633</v>
      </c>
    </row>
    <row r="463" spans="1:27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Z463"/>
      <c r="AA463" t="s">
        <v>3633</v>
      </c>
    </row>
    <row r="464" spans="1:27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Z464"/>
      <c r="AA464" t="s">
        <v>3633</v>
      </c>
    </row>
    <row r="465" spans="1:27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Z465"/>
      <c r="AA465" t="s">
        <v>3633</v>
      </c>
    </row>
    <row r="466" spans="1:27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Z466"/>
      <c r="AA466" t="s">
        <v>3633</v>
      </c>
    </row>
    <row r="467" spans="1:27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Z467"/>
      <c r="AA467" t="s">
        <v>3633</v>
      </c>
    </row>
    <row r="468" spans="1:27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Z468"/>
      <c r="AA468" t="s">
        <v>3633</v>
      </c>
    </row>
    <row r="469" spans="1:27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Z469"/>
      <c r="AA469" t="s">
        <v>3633</v>
      </c>
    </row>
    <row r="470" spans="1:27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Z470"/>
      <c r="AA470" t="s">
        <v>3633</v>
      </c>
    </row>
    <row r="471" spans="1:27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Z471"/>
      <c r="AA471" t="s">
        <v>3633</v>
      </c>
    </row>
    <row r="472" spans="1:27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Z472"/>
      <c r="AA472" t="s">
        <v>3633</v>
      </c>
    </row>
    <row r="473" spans="1:27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Z473"/>
      <c r="AA473" t="s">
        <v>3633</v>
      </c>
    </row>
    <row r="474" spans="1:27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Z474"/>
      <c r="AA474" t="s">
        <v>3633</v>
      </c>
    </row>
    <row r="475" spans="1:27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Z475"/>
      <c r="AA475" t="s">
        <v>3633</v>
      </c>
    </row>
    <row r="476" spans="1:27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Z476"/>
      <c r="AA476" t="s">
        <v>3633</v>
      </c>
    </row>
    <row r="477" spans="1:27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Z477"/>
      <c r="AA477" t="s">
        <v>3633</v>
      </c>
    </row>
    <row r="478" spans="1:27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Z478"/>
      <c r="AA478" t="s">
        <v>3633</v>
      </c>
    </row>
    <row r="479" spans="1:27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Z479"/>
      <c r="AA479" t="s">
        <v>3633</v>
      </c>
    </row>
    <row r="480" spans="1:27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956</v>
      </c>
      <c r="V480" s="8">
        <v>1</v>
      </c>
      <c r="W480" s="8"/>
      <c r="X480" t="s">
        <v>7</v>
      </c>
      <c r="Y480" t="s">
        <v>1291</v>
      </c>
      <c r="Z480" t="s">
        <v>391</v>
      </c>
      <c r="AA480" t="s">
        <v>3633</v>
      </c>
    </row>
    <row r="481" spans="1:27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958</v>
      </c>
      <c r="V481" s="8"/>
      <c r="W481" s="8">
        <v>1</v>
      </c>
      <c r="X481" t="s">
        <v>8</v>
      </c>
      <c r="Y481" t="s">
        <v>702</v>
      </c>
      <c r="Z481"/>
      <c r="AA481" t="s">
        <v>3633</v>
      </c>
    </row>
    <row r="482" spans="1:27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959</v>
      </c>
      <c r="V482" s="8"/>
      <c r="W482" s="8">
        <v>1</v>
      </c>
      <c r="X482" t="s">
        <v>8</v>
      </c>
      <c r="Y482" t="s">
        <v>960</v>
      </c>
      <c r="Z482"/>
      <c r="AA482" t="s">
        <v>3633</v>
      </c>
    </row>
    <row r="483" spans="1:27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961</v>
      </c>
      <c r="V483" s="8">
        <v>1</v>
      </c>
      <c r="W483" s="8"/>
      <c r="X483" t="s">
        <v>7</v>
      </c>
      <c r="Y483" t="s">
        <v>962</v>
      </c>
      <c r="Z483"/>
      <c r="AA483" t="s">
        <v>3633</v>
      </c>
    </row>
    <row r="484" spans="1:27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963</v>
      </c>
      <c r="V484" s="8">
        <v>1</v>
      </c>
      <c r="W484" s="8"/>
      <c r="X484" t="s">
        <v>7</v>
      </c>
      <c r="Y484" t="s">
        <v>399</v>
      </c>
      <c r="Z484"/>
      <c r="AA484" t="s">
        <v>3633</v>
      </c>
    </row>
    <row r="485" spans="1:27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964</v>
      </c>
      <c r="V485" s="8"/>
      <c r="W485" s="8">
        <v>1</v>
      </c>
      <c r="X485" t="s">
        <v>8</v>
      </c>
      <c r="Y485" t="s">
        <v>965</v>
      </c>
      <c r="Z485"/>
      <c r="AA485" t="s">
        <v>3633</v>
      </c>
    </row>
    <row r="486" spans="1:27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966</v>
      </c>
      <c r="V486" s="8"/>
      <c r="W486" s="8">
        <v>1</v>
      </c>
      <c r="X486" t="s">
        <v>8</v>
      </c>
      <c r="Y486" t="s">
        <v>967</v>
      </c>
      <c r="Z486"/>
      <c r="AA486" t="s">
        <v>3633</v>
      </c>
    </row>
    <row r="487" spans="1:27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968</v>
      </c>
      <c r="V487" s="8">
        <v>1</v>
      </c>
      <c r="W487" s="8"/>
      <c r="X487" t="s">
        <v>7</v>
      </c>
      <c r="Y487" t="s">
        <v>72</v>
      </c>
      <c r="Z487"/>
      <c r="AA487" t="s">
        <v>3633</v>
      </c>
    </row>
    <row r="488" spans="1:27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969</v>
      </c>
      <c r="V488" s="8">
        <v>1</v>
      </c>
      <c r="W488" s="8"/>
      <c r="X488" t="s">
        <v>7</v>
      </c>
      <c r="Y488" t="s">
        <v>72</v>
      </c>
      <c r="Z488"/>
      <c r="AA488" t="s">
        <v>3633</v>
      </c>
    </row>
    <row r="489" spans="1:27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970</v>
      </c>
      <c r="V489" s="8">
        <v>1</v>
      </c>
      <c r="W489" s="8"/>
      <c r="X489" t="s">
        <v>7</v>
      </c>
      <c r="Y489" t="s">
        <v>106</v>
      </c>
      <c r="Z489"/>
      <c r="AA489" t="s">
        <v>3633</v>
      </c>
    </row>
    <row r="490" spans="1:27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971</v>
      </c>
      <c r="V490" s="8">
        <v>1</v>
      </c>
      <c r="W490" s="8"/>
      <c r="X490" t="s">
        <v>7</v>
      </c>
      <c r="Y490" t="s">
        <v>840</v>
      </c>
      <c r="Z490"/>
      <c r="AA490" t="s">
        <v>3633</v>
      </c>
    </row>
    <row r="491" spans="1:27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972</v>
      </c>
      <c r="V491" s="8"/>
      <c r="W491" s="8">
        <v>1</v>
      </c>
      <c r="X491" t="s">
        <v>8</v>
      </c>
      <c r="Y491" t="s">
        <v>147</v>
      </c>
      <c r="Z491"/>
      <c r="AA491" t="s">
        <v>3633</v>
      </c>
    </row>
    <row r="492" spans="1:27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973</v>
      </c>
      <c r="V492" s="8">
        <v>1</v>
      </c>
      <c r="W492" s="8"/>
      <c r="X492" t="s">
        <v>7</v>
      </c>
      <c r="Y492" t="s">
        <v>22</v>
      </c>
      <c r="Z492"/>
      <c r="AA492" t="s">
        <v>3633</v>
      </c>
    </row>
    <row r="493" spans="1:27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974</v>
      </c>
      <c r="V493" s="8"/>
      <c r="W493" s="8">
        <v>1</v>
      </c>
      <c r="X493" t="s">
        <v>8</v>
      </c>
      <c r="Y493" t="s">
        <v>674</v>
      </c>
      <c r="Z493"/>
      <c r="AA493" t="s">
        <v>3633</v>
      </c>
    </row>
    <row r="494" spans="1:27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975</v>
      </c>
      <c r="V494" s="8">
        <v>1</v>
      </c>
      <c r="W494" s="8"/>
      <c r="X494" t="s">
        <v>7</v>
      </c>
      <c r="Y494" t="s">
        <v>483</v>
      </c>
      <c r="Z494"/>
      <c r="AA494" t="s">
        <v>3633</v>
      </c>
    </row>
    <row r="495" spans="1:27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976</v>
      </c>
      <c r="V495" s="8">
        <v>1</v>
      </c>
      <c r="W495" s="8"/>
      <c r="X495" t="s">
        <v>7</v>
      </c>
      <c r="Y495" t="s">
        <v>10</v>
      </c>
      <c r="Z495"/>
      <c r="AA495" t="s">
        <v>3633</v>
      </c>
    </row>
    <row r="496" spans="1:27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977</v>
      </c>
      <c r="V496" s="8">
        <v>1</v>
      </c>
      <c r="W496" s="8"/>
      <c r="X496" t="s">
        <v>7</v>
      </c>
      <c r="Y496" t="s">
        <v>161</v>
      </c>
      <c r="Z496"/>
      <c r="AA496" t="s">
        <v>3633</v>
      </c>
    </row>
    <row r="497" spans="1:27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978</v>
      </c>
      <c r="V497" s="8">
        <v>1</v>
      </c>
      <c r="W497" s="8"/>
      <c r="X497" t="s">
        <v>7</v>
      </c>
      <c r="Y497" t="s">
        <v>10</v>
      </c>
      <c r="Z497"/>
      <c r="AA497" t="s">
        <v>3633</v>
      </c>
    </row>
    <row r="498" spans="1:27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979</v>
      </c>
      <c r="V498" s="8">
        <v>1</v>
      </c>
      <c r="W498" s="8"/>
      <c r="X498" t="s">
        <v>7</v>
      </c>
      <c r="Y498" t="s">
        <v>37</v>
      </c>
      <c r="Z498"/>
      <c r="AA498" t="s">
        <v>3633</v>
      </c>
    </row>
    <row r="499" spans="1:27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980</v>
      </c>
      <c r="V499" s="8">
        <v>1</v>
      </c>
      <c r="W499" s="8"/>
      <c r="X499" t="s">
        <v>7</v>
      </c>
      <c r="Y499" t="s">
        <v>46</v>
      </c>
      <c r="Z499"/>
      <c r="AA499" t="s">
        <v>3633</v>
      </c>
    </row>
    <row r="500" spans="1:27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981</v>
      </c>
      <c r="V500" s="8">
        <v>1</v>
      </c>
      <c r="W500" s="8"/>
      <c r="X500" t="s">
        <v>7</v>
      </c>
      <c r="Y500" t="s">
        <v>427</v>
      </c>
      <c r="Z500"/>
      <c r="AA500" t="s">
        <v>3633</v>
      </c>
    </row>
    <row r="501" spans="1:27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982</v>
      </c>
      <c r="V501" s="8"/>
      <c r="W501" s="8">
        <v>1</v>
      </c>
      <c r="X501" t="s">
        <v>8</v>
      </c>
      <c r="Y501" t="s">
        <v>31</v>
      </c>
      <c r="Z501"/>
      <c r="AA501" t="s">
        <v>3633</v>
      </c>
    </row>
    <row r="502" spans="1:27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983</v>
      </c>
      <c r="V502" s="8"/>
      <c r="W502" s="8">
        <v>1</v>
      </c>
      <c r="X502" t="s">
        <v>8</v>
      </c>
      <c r="Y502" t="s">
        <v>185</v>
      </c>
      <c r="Z502"/>
      <c r="AA502" t="s">
        <v>3633</v>
      </c>
    </row>
    <row r="503" spans="1:27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984</v>
      </c>
      <c r="V503" s="8">
        <v>1</v>
      </c>
      <c r="W503" s="8"/>
      <c r="X503" t="s">
        <v>7</v>
      </c>
      <c r="Y503" t="s">
        <v>203</v>
      </c>
      <c r="Z503"/>
      <c r="AA503" t="s">
        <v>3633</v>
      </c>
    </row>
    <row r="504" spans="1:27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985</v>
      </c>
      <c r="V504" s="8"/>
      <c r="W504" s="8">
        <v>1</v>
      </c>
      <c r="X504" t="s">
        <v>8</v>
      </c>
      <c r="Y504" t="s">
        <v>10</v>
      </c>
      <c r="Z504"/>
      <c r="AA504" t="s">
        <v>3633</v>
      </c>
    </row>
    <row r="505" spans="1:27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986</v>
      </c>
      <c r="V505" s="8"/>
      <c r="W505" s="8">
        <v>1</v>
      </c>
      <c r="X505" t="s">
        <v>8</v>
      </c>
      <c r="Y505" t="s">
        <v>5</v>
      </c>
      <c r="Z505"/>
      <c r="AA505" t="s">
        <v>3633</v>
      </c>
    </row>
    <row r="506" spans="1:27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987</v>
      </c>
      <c r="V506" s="8"/>
      <c r="W506" s="8">
        <v>1</v>
      </c>
      <c r="X506" t="s">
        <v>8</v>
      </c>
      <c r="Y506" t="s">
        <v>69</v>
      </c>
      <c r="Z506"/>
      <c r="AA506" t="s">
        <v>3633</v>
      </c>
    </row>
    <row r="507" spans="1:27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988</v>
      </c>
      <c r="V507" s="8">
        <v>1</v>
      </c>
      <c r="W507" s="8"/>
      <c r="X507" t="s">
        <v>7</v>
      </c>
      <c r="Y507" t="s">
        <v>113</v>
      </c>
      <c r="Z507"/>
      <c r="AA507" t="s">
        <v>3633</v>
      </c>
    </row>
    <row r="508" spans="1:27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989</v>
      </c>
      <c r="V508" s="8">
        <v>1</v>
      </c>
      <c r="W508" s="8"/>
      <c r="X508" t="s">
        <v>7</v>
      </c>
      <c r="Y508" t="s">
        <v>19</v>
      </c>
      <c r="Z508"/>
      <c r="AA508" t="s">
        <v>3633</v>
      </c>
    </row>
    <row r="509" spans="1:27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990</v>
      </c>
      <c r="V509" s="8">
        <v>1</v>
      </c>
      <c r="W509" s="8"/>
      <c r="X509" t="s">
        <v>7</v>
      </c>
      <c r="Y509" t="s">
        <v>10</v>
      </c>
      <c r="Z509"/>
      <c r="AA509" t="s">
        <v>3633</v>
      </c>
    </row>
    <row r="510" spans="1:27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391</v>
      </c>
      <c r="D510" t="s">
        <v>391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991</v>
      </c>
      <c r="V510" s="8"/>
      <c r="W510" s="8">
        <v>1</v>
      </c>
      <c r="X510" t="s">
        <v>8</v>
      </c>
      <c r="Y510" t="s">
        <v>442</v>
      </c>
      <c r="Z510"/>
      <c r="AA510" t="s">
        <v>3633</v>
      </c>
    </row>
    <row r="511" spans="1:27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992</v>
      </c>
      <c r="V511" s="8">
        <v>1</v>
      </c>
      <c r="W511" s="8"/>
      <c r="X511" t="s">
        <v>7</v>
      </c>
      <c r="Y511" t="s">
        <v>161</v>
      </c>
      <c r="Z511"/>
      <c r="AA511" t="s">
        <v>3633</v>
      </c>
    </row>
    <row r="512" spans="1:27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993</v>
      </c>
      <c r="V512" s="8">
        <v>1</v>
      </c>
      <c r="W512" s="8"/>
      <c r="X512" t="s">
        <v>7</v>
      </c>
      <c r="Y512" t="s">
        <v>5</v>
      </c>
      <c r="Z512"/>
      <c r="AA512" t="s">
        <v>3633</v>
      </c>
    </row>
    <row r="513" spans="1:27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994</v>
      </c>
      <c r="V513" s="8">
        <v>1</v>
      </c>
      <c r="W513" s="8"/>
      <c r="X513" t="s">
        <v>7</v>
      </c>
      <c r="Y513" t="s">
        <v>81</v>
      </c>
      <c r="Z513"/>
      <c r="AA513" t="s">
        <v>3633</v>
      </c>
    </row>
    <row r="514" spans="1:27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995</v>
      </c>
      <c r="V514" s="8"/>
      <c r="W514" s="8">
        <v>1</v>
      </c>
      <c r="X514" t="s">
        <v>8</v>
      </c>
      <c r="Y514" t="s">
        <v>5</v>
      </c>
      <c r="Z514"/>
      <c r="AA514" t="s">
        <v>3633</v>
      </c>
    </row>
    <row r="515" spans="1:27" hidden="1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998</v>
      </c>
      <c r="V515" s="8"/>
      <c r="W515" s="8">
        <v>1</v>
      </c>
      <c r="X515" t="s">
        <v>3549</v>
      </c>
      <c r="Y515" t="s">
        <v>169</v>
      </c>
      <c r="Z515">
        <v>6312</v>
      </c>
      <c r="AA515" s="35" t="s">
        <v>3560</v>
      </c>
    </row>
    <row r="516" spans="1:27" hidden="1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1000</v>
      </c>
      <c r="D516" t="s">
        <v>1001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1002</v>
      </c>
      <c r="V516" s="8">
        <v>1</v>
      </c>
      <c r="W516" s="8"/>
      <c r="X516" t="s">
        <v>3514</v>
      </c>
      <c r="Y516" t="s">
        <v>16</v>
      </c>
      <c r="Z516">
        <v>5934</v>
      </c>
      <c r="AA516" s="35" t="s">
        <v>3560</v>
      </c>
    </row>
    <row r="517" spans="1:27" hidden="1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3513</v>
      </c>
      <c r="Y517" t="s">
        <v>19</v>
      </c>
      <c r="Z517">
        <v>5048</v>
      </c>
      <c r="AA517" s="35" t="s">
        <v>3560</v>
      </c>
    </row>
    <row r="518" spans="1:27" hidden="1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1290</v>
      </c>
      <c r="V518" s="8"/>
      <c r="W518" s="8">
        <v>1</v>
      </c>
      <c r="X518" t="s">
        <v>8</v>
      </c>
      <c r="Y518" t="s">
        <v>235</v>
      </c>
      <c r="Z518">
        <v>6311</v>
      </c>
      <c r="AA518" s="35" t="s">
        <v>3561</v>
      </c>
    </row>
    <row r="519" spans="1:27" hidden="1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996</v>
      </c>
      <c r="V519" s="8">
        <v>1</v>
      </c>
      <c r="W519" s="8"/>
      <c r="X519" t="s">
        <v>3515</v>
      </c>
      <c r="Y519" t="s">
        <v>263</v>
      </c>
      <c r="Z519">
        <v>5048</v>
      </c>
      <c r="AA519" s="35" t="s">
        <v>3560</v>
      </c>
    </row>
    <row r="520" spans="1:27" hidden="1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997</v>
      </c>
      <c r="V520" s="8">
        <v>1</v>
      </c>
      <c r="W520" s="8"/>
      <c r="X520" t="s">
        <v>3515</v>
      </c>
      <c r="Y520" t="s">
        <v>13</v>
      </c>
      <c r="Z520">
        <v>5229</v>
      </c>
      <c r="AA520" s="35" t="s">
        <v>3560</v>
      </c>
    </row>
    <row r="521" spans="1:27" hidden="1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1299</v>
      </c>
      <c r="V521" s="8">
        <v>1</v>
      </c>
      <c r="W521" s="8"/>
      <c r="X521" t="s">
        <v>3513</v>
      </c>
      <c r="Y521" t="s">
        <v>119</v>
      </c>
      <c r="Z521">
        <v>5047</v>
      </c>
      <c r="AA521" s="35" t="s">
        <v>3561</v>
      </c>
    </row>
    <row r="522" spans="1:27" hidden="1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1004</v>
      </c>
      <c r="V522" s="8">
        <v>1</v>
      </c>
      <c r="W522"/>
      <c r="X522" t="s">
        <v>3514</v>
      </c>
      <c r="Z522">
        <v>0</v>
      </c>
      <c r="AA522" s="35" t="s">
        <v>3560</v>
      </c>
    </row>
    <row r="523" spans="1:27" hidden="1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1003</v>
      </c>
      <c r="V523" s="8">
        <v>1</v>
      </c>
      <c r="W523" s="8"/>
      <c r="X523" t="s">
        <v>3515</v>
      </c>
      <c r="Y523" t="s">
        <v>257</v>
      </c>
      <c r="Z523">
        <v>5051</v>
      </c>
      <c r="AA523" s="35" t="s">
        <v>3560</v>
      </c>
    </row>
    <row r="524" spans="1:27" hidden="1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1005</v>
      </c>
      <c r="V524" s="8">
        <v>1</v>
      </c>
      <c r="W524" s="8"/>
      <c r="X524" t="s">
        <v>3514</v>
      </c>
      <c r="Y524" t="s">
        <v>117</v>
      </c>
      <c r="Z524">
        <v>5931</v>
      </c>
      <c r="AA524" s="35" t="s">
        <v>3560</v>
      </c>
    </row>
    <row r="525" spans="1:27" hidden="1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1006</v>
      </c>
      <c r="V525" s="24">
        <v>1</v>
      </c>
      <c r="W525" s="24"/>
      <c r="X525" t="s">
        <v>3514</v>
      </c>
      <c r="Y525" t="s">
        <v>31</v>
      </c>
      <c r="Z525">
        <v>5926</v>
      </c>
      <c r="AA525" s="35" t="s">
        <v>3560</v>
      </c>
    </row>
    <row r="526" spans="1:27" hidden="1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1007</v>
      </c>
      <c r="V526" s="8">
        <v>1</v>
      </c>
      <c r="W526" s="8"/>
      <c r="X526" t="s">
        <v>3514</v>
      </c>
      <c r="Y526" t="s">
        <v>28</v>
      </c>
      <c r="Z526">
        <v>5767</v>
      </c>
      <c r="AA526" s="35" t="s">
        <v>3560</v>
      </c>
    </row>
    <row r="527" spans="1:27" hidden="1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3550</v>
      </c>
      <c r="Y527" t="s">
        <v>297</v>
      </c>
      <c r="Z527">
        <v>6366</v>
      </c>
      <c r="AA527" s="35" t="s">
        <v>3560</v>
      </c>
    </row>
    <row r="528" spans="1:27" hidden="1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3514</v>
      </c>
      <c r="Y528" t="s">
        <v>102</v>
      </c>
      <c r="Z528">
        <v>5912</v>
      </c>
      <c r="AA528" s="35" t="s">
        <v>3560</v>
      </c>
    </row>
    <row r="529" spans="1:27" hidden="1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3515</v>
      </c>
      <c r="Y529" t="s">
        <v>249</v>
      </c>
      <c r="Z529">
        <v>5267</v>
      </c>
      <c r="AA529" s="35" t="s">
        <v>3560</v>
      </c>
    </row>
    <row r="530" spans="1:27" hidden="1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3513</v>
      </c>
      <c r="Y530" t="s">
        <v>13</v>
      </c>
      <c r="Z530">
        <v>5328</v>
      </c>
      <c r="AA530" s="35" t="s">
        <v>3560</v>
      </c>
    </row>
    <row r="531" spans="1:27" hidden="1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1312</v>
      </c>
      <c r="V531" s="8">
        <v>1</v>
      </c>
      <c r="W531" s="8"/>
      <c r="X531" t="s">
        <v>3513</v>
      </c>
      <c r="Y531" t="s">
        <v>113</v>
      </c>
      <c r="Z531">
        <v>5263</v>
      </c>
      <c r="AA531" s="35" t="s">
        <v>3561</v>
      </c>
    </row>
    <row r="532" spans="1:27" hidden="1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1012</v>
      </c>
      <c r="V532" s="8">
        <v>1</v>
      </c>
      <c r="W532" s="8"/>
      <c r="X532" t="s">
        <v>3515</v>
      </c>
      <c r="Y532" t="s">
        <v>100</v>
      </c>
      <c r="Z532">
        <v>5260</v>
      </c>
      <c r="AA532" s="35" t="s">
        <v>3560</v>
      </c>
    </row>
    <row r="533" spans="1:27" hidden="1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1014</v>
      </c>
      <c r="V533" s="8">
        <v>1</v>
      </c>
      <c r="W533" s="8"/>
      <c r="X533" t="s">
        <v>3514</v>
      </c>
      <c r="Y533" t="s">
        <v>92</v>
      </c>
      <c r="Z533">
        <v>5912</v>
      </c>
      <c r="AA533" s="35" t="s">
        <v>3560</v>
      </c>
    </row>
    <row r="534" spans="1:27" hidden="1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1013</v>
      </c>
      <c r="V534" s="8">
        <v>1</v>
      </c>
      <c r="W534" s="8"/>
      <c r="X534" t="s">
        <v>3514</v>
      </c>
      <c r="Y534" t="s">
        <v>22</v>
      </c>
      <c r="Z534">
        <v>5927</v>
      </c>
      <c r="AA534" s="35" t="s">
        <v>3560</v>
      </c>
    </row>
    <row r="535" spans="1:27" hidden="1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1015</v>
      </c>
      <c r="V535" s="8">
        <v>1</v>
      </c>
      <c r="W535" s="8"/>
      <c r="X535" t="s">
        <v>3514</v>
      </c>
      <c r="Y535" t="s">
        <v>16</v>
      </c>
      <c r="Z535">
        <v>5929</v>
      </c>
      <c r="AA535" s="35" t="s">
        <v>3560</v>
      </c>
    </row>
    <row r="536" spans="1:27" hidden="1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1017</v>
      </c>
      <c r="V536" s="8"/>
      <c r="W536" s="8">
        <v>1</v>
      </c>
      <c r="X536" t="s">
        <v>3549</v>
      </c>
      <c r="Y536" t="s">
        <v>63</v>
      </c>
      <c r="Z536">
        <v>6334</v>
      </c>
      <c r="AA536" s="35" t="s">
        <v>3560</v>
      </c>
    </row>
    <row r="537" spans="1:27" hidden="1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1016</v>
      </c>
      <c r="V537" s="8">
        <v>1</v>
      </c>
      <c r="W537" s="8"/>
      <c r="X537" t="s">
        <v>3514</v>
      </c>
      <c r="Y537" t="s">
        <v>185</v>
      </c>
      <c r="Z537">
        <v>5920</v>
      </c>
      <c r="AA537" s="35" t="s">
        <v>3560</v>
      </c>
    </row>
    <row r="538" spans="1:27" hidden="1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1018</v>
      </c>
      <c r="V538" s="8"/>
      <c r="W538" s="8">
        <v>1</v>
      </c>
      <c r="X538" t="s">
        <v>3550</v>
      </c>
      <c r="Y538" t="s">
        <v>5</v>
      </c>
      <c r="Z538">
        <v>6357</v>
      </c>
      <c r="AA538" s="35" t="s">
        <v>3560</v>
      </c>
    </row>
    <row r="539" spans="1:27" hidden="1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1019</v>
      </c>
      <c r="V539" s="8">
        <v>1</v>
      </c>
      <c r="W539" s="8"/>
      <c r="X539" t="s">
        <v>3514</v>
      </c>
      <c r="Y539" t="s">
        <v>28</v>
      </c>
      <c r="Z539">
        <v>5771</v>
      </c>
      <c r="AA539" s="35" t="s">
        <v>3560</v>
      </c>
    </row>
    <row r="540" spans="1:27" hidden="1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1328</v>
      </c>
      <c r="V540" s="8"/>
      <c r="W540" s="8">
        <v>1</v>
      </c>
      <c r="X540" t="s">
        <v>8</v>
      </c>
      <c r="Y540" t="s">
        <v>580</v>
      </c>
      <c r="Z540">
        <v>6337</v>
      </c>
      <c r="AA540" s="35" t="s">
        <v>3561</v>
      </c>
    </row>
    <row r="541" spans="1:27" hidden="1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3550</v>
      </c>
      <c r="Y541" t="s">
        <v>187</v>
      </c>
      <c r="Z541">
        <v>6355</v>
      </c>
      <c r="AA541" s="35" t="s">
        <v>3560</v>
      </c>
    </row>
    <row r="542" spans="1:27" hidden="1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1329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3561</v>
      </c>
    </row>
    <row r="543" spans="1:27" hidden="1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1022</v>
      </c>
      <c r="V543" s="8">
        <v>1</v>
      </c>
      <c r="W543" s="8"/>
      <c r="X543" t="s">
        <v>3513</v>
      </c>
      <c r="Y543" t="s">
        <v>285</v>
      </c>
      <c r="Z543">
        <v>5039</v>
      </c>
      <c r="AA543" s="35" t="s">
        <v>3560</v>
      </c>
    </row>
    <row r="544" spans="1:27" hidden="1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1021</v>
      </c>
      <c r="V544" s="8"/>
      <c r="W544" s="8">
        <v>1</v>
      </c>
      <c r="X544" t="s">
        <v>3549</v>
      </c>
      <c r="Y544" t="s">
        <v>31</v>
      </c>
      <c r="Z544">
        <v>6327</v>
      </c>
      <c r="AA544" s="35" t="s">
        <v>3560</v>
      </c>
    </row>
    <row r="545" spans="1:27" hidden="1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1324</v>
      </c>
      <c r="V545" s="8">
        <v>1</v>
      </c>
      <c r="W545" s="8"/>
      <c r="X545" t="s">
        <v>3513</v>
      </c>
      <c r="Y545" t="s">
        <v>1325</v>
      </c>
      <c r="Z545">
        <v>5040</v>
      </c>
      <c r="AA545" s="35" t="s">
        <v>3561</v>
      </c>
    </row>
    <row r="546" spans="1:27" hidden="1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1023</v>
      </c>
      <c r="V546" s="8">
        <v>1</v>
      </c>
      <c r="W546" s="8"/>
      <c r="X546" t="s">
        <v>3514</v>
      </c>
      <c r="Y546" t="s">
        <v>92</v>
      </c>
      <c r="Z546">
        <v>5922</v>
      </c>
      <c r="AA546" s="35" t="s">
        <v>3560</v>
      </c>
    </row>
    <row r="547" spans="1:27" hidden="1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1026</v>
      </c>
      <c r="V547" s="8"/>
      <c r="W547" s="8">
        <v>1</v>
      </c>
      <c r="X547" t="s">
        <v>3549</v>
      </c>
      <c r="Y547" t="s">
        <v>159</v>
      </c>
      <c r="Z547">
        <v>6324</v>
      </c>
      <c r="AA547" s="35" t="s">
        <v>3560</v>
      </c>
    </row>
    <row r="548" spans="1:27" hidden="1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1024</v>
      </c>
      <c r="V548" s="8">
        <v>1</v>
      </c>
      <c r="W548" s="8"/>
      <c r="X548" t="s">
        <v>3515</v>
      </c>
      <c r="Y548" t="s">
        <v>48</v>
      </c>
      <c r="Z548">
        <v>5264</v>
      </c>
      <c r="AA548" s="35" t="s">
        <v>3560</v>
      </c>
    </row>
    <row r="549" spans="1:27" hidden="1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1025</v>
      </c>
      <c r="V549" s="8">
        <v>1</v>
      </c>
      <c r="W549" s="8"/>
      <c r="X549" t="s">
        <v>3514</v>
      </c>
      <c r="Y549" t="s">
        <v>127</v>
      </c>
      <c r="Z549">
        <v>5929</v>
      </c>
      <c r="AA549" s="35" t="s">
        <v>3560</v>
      </c>
    </row>
    <row r="550" spans="1:27" hidden="1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1027</v>
      </c>
      <c r="V550" s="8"/>
      <c r="W550" s="8">
        <v>1</v>
      </c>
      <c r="X550" t="s">
        <v>3549</v>
      </c>
      <c r="Y550" t="s">
        <v>75</v>
      </c>
      <c r="Z550">
        <v>6325</v>
      </c>
      <c r="AA550" s="35" t="s">
        <v>3560</v>
      </c>
    </row>
    <row r="551" spans="1:27" hidden="1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1028</v>
      </c>
      <c r="V551" s="8"/>
      <c r="W551" s="8">
        <v>1</v>
      </c>
      <c r="X551" t="s">
        <v>3549</v>
      </c>
      <c r="Y551" t="s">
        <v>171</v>
      </c>
      <c r="Z551">
        <v>6320</v>
      </c>
      <c r="AA551" s="35" t="s">
        <v>3560</v>
      </c>
    </row>
    <row r="552" spans="1:27" hidden="1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1029</v>
      </c>
      <c r="V552" s="8"/>
      <c r="W552" s="8">
        <v>1</v>
      </c>
      <c r="X552" t="s">
        <v>3549</v>
      </c>
      <c r="Y552" t="s">
        <v>129</v>
      </c>
      <c r="Z552">
        <v>6333</v>
      </c>
      <c r="AA552" s="35" t="s">
        <v>3560</v>
      </c>
    </row>
    <row r="553" spans="1:27" hidden="1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1305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3561</v>
      </c>
    </row>
    <row r="554" spans="1:27" hidden="1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1030</v>
      </c>
      <c r="V554" s="8">
        <v>1</v>
      </c>
      <c r="W554" s="8"/>
      <c r="X554" t="s">
        <v>3515</v>
      </c>
      <c r="Y554" t="s">
        <v>81</v>
      </c>
      <c r="Z554">
        <v>5267</v>
      </c>
      <c r="AA554" s="35" t="s">
        <v>3560</v>
      </c>
    </row>
    <row r="555" spans="1:27" hidden="1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1032</v>
      </c>
      <c r="V555" s="8">
        <v>1</v>
      </c>
      <c r="W555" s="8"/>
      <c r="X555" t="s">
        <v>3513</v>
      </c>
      <c r="Y555" t="s">
        <v>22</v>
      </c>
      <c r="Z555">
        <v>5235</v>
      </c>
      <c r="AA555" s="35" t="s">
        <v>3560</v>
      </c>
    </row>
    <row r="556" spans="1:27" hidden="1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1031</v>
      </c>
      <c r="V556" s="8">
        <v>1</v>
      </c>
      <c r="W556" s="8"/>
      <c r="X556" t="s">
        <v>3514</v>
      </c>
      <c r="Y556" t="s">
        <v>54</v>
      </c>
      <c r="Z556">
        <v>5923</v>
      </c>
      <c r="AA556" s="35" t="s">
        <v>3560</v>
      </c>
    </row>
    <row r="557" spans="1:27" hidden="1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1034</v>
      </c>
      <c r="V557" s="8"/>
      <c r="W557" s="8">
        <v>1</v>
      </c>
      <c r="X557" t="s">
        <v>3549</v>
      </c>
      <c r="Y557" t="s">
        <v>75</v>
      </c>
      <c r="Z557">
        <v>6337</v>
      </c>
      <c r="AA557" s="35" t="s">
        <v>3560</v>
      </c>
    </row>
    <row r="558" spans="1:27" hidden="1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3550</v>
      </c>
      <c r="Y558" t="s">
        <v>31</v>
      </c>
      <c r="Z558">
        <v>6368</v>
      </c>
      <c r="AA558" s="35" t="s">
        <v>3560</v>
      </c>
    </row>
    <row r="559" spans="1:27" hidden="1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3514</v>
      </c>
      <c r="Y559" t="s">
        <v>215</v>
      </c>
      <c r="Z559">
        <v>5763</v>
      </c>
      <c r="AA559" s="35" t="s">
        <v>3560</v>
      </c>
    </row>
    <row r="560" spans="1:27" hidden="1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3515</v>
      </c>
      <c r="Y560" t="s">
        <v>241</v>
      </c>
      <c r="Z560">
        <v>2204</v>
      </c>
      <c r="AA560" s="35" t="s">
        <v>3560</v>
      </c>
    </row>
    <row r="561" spans="1:27" hidden="1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3514</v>
      </c>
      <c r="Y561" t="s">
        <v>13</v>
      </c>
      <c r="Z561">
        <v>5053</v>
      </c>
      <c r="AA561" s="35" t="s">
        <v>3560</v>
      </c>
    </row>
    <row r="562" spans="1:27" hidden="1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1038</v>
      </c>
      <c r="V562" s="8">
        <v>1</v>
      </c>
      <c r="W562" s="8"/>
      <c r="X562" t="s">
        <v>3515</v>
      </c>
      <c r="Y562" t="s">
        <v>13</v>
      </c>
      <c r="Z562">
        <v>5048</v>
      </c>
      <c r="AA562" s="35" t="s">
        <v>3560</v>
      </c>
    </row>
    <row r="563" spans="1:27" hidden="1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1039</v>
      </c>
      <c r="V563" s="8"/>
      <c r="W563" s="8">
        <v>1</v>
      </c>
      <c r="X563" t="s">
        <v>3549</v>
      </c>
      <c r="Y563" t="s">
        <v>5</v>
      </c>
      <c r="Z563">
        <v>6327</v>
      </c>
      <c r="AA563" s="35" t="s">
        <v>3560</v>
      </c>
    </row>
    <row r="564" spans="1:27" hidden="1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1042</v>
      </c>
      <c r="V564" s="8"/>
      <c r="W564" s="8">
        <v>1</v>
      </c>
      <c r="X564" t="s">
        <v>3549</v>
      </c>
      <c r="Y564" t="s">
        <v>147</v>
      </c>
      <c r="Z564">
        <v>6314</v>
      </c>
      <c r="AA564" s="35" t="s">
        <v>3560</v>
      </c>
    </row>
    <row r="565" spans="1:27" hidden="1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1043</v>
      </c>
      <c r="V565" s="8">
        <v>1</v>
      </c>
      <c r="W565" s="8"/>
      <c r="X565" t="s">
        <v>3514</v>
      </c>
      <c r="Y565" t="s">
        <v>149</v>
      </c>
      <c r="Z565">
        <v>5916</v>
      </c>
      <c r="AA565" s="35" t="s">
        <v>3560</v>
      </c>
    </row>
    <row r="566" spans="1:27" hidden="1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1040</v>
      </c>
      <c r="V566" s="8">
        <v>1</v>
      </c>
      <c r="W566" s="8"/>
      <c r="X566" t="s">
        <v>3513</v>
      </c>
      <c r="Y566" t="s">
        <v>19</v>
      </c>
      <c r="Z566">
        <v>5327</v>
      </c>
      <c r="AA566" s="35" t="s">
        <v>3560</v>
      </c>
    </row>
    <row r="567" spans="1:27" hidden="1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1041</v>
      </c>
      <c r="V567" s="8">
        <v>1</v>
      </c>
      <c r="W567" s="8"/>
      <c r="X567" t="s">
        <v>3514</v>
      </c>
      <c r="Y567" t="s">
        <v>78</v>
      </c>
      <c r="Z567">
        <v>5911</v>
      </c>
      <c r="AA567" s="35" t="s">
        <v>3560</v>
      </c>
    </row>
    <row r="568" spans="1:27" hidden="1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1044</v>
      </c>
      <c r="V568" s="8">
        <v>1</v>
      </c>
      <c r="W568" s="8"/>
      <c r="X568" t="s">
        <v>3515</v>
      </c>
      <c r="Y568" t="s">
        <v>43</v>
      </c>
      <c r="Z568">
        <v>2199</v>
      </c>
      <c r="AA568" s="35" t="s">
        <v>3560</v>
      </c>
    </row>
    <row r="569" spans="1:27" hidden="1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1047</v>
      </c>
      <c r="V569" s="8">
        <v>1</v>
      </c>
      <c r="W569" s="8"/>
      <c r="X569" t="s">
        <v>3513</v>
      </c>
      <c r="Y569" t="s">
        <v>273</v>
      </c>
      <c r="Z569">
        <v>5325</v>
      </c>
      <c r="AA569" s="35" t="s">
        <v>3560</v>
      </c>
    </row>
    <row r="570" spans="1:27" hidden="1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1046</v>
      </c>
      <c r="V570" s="8">
        <v>1</v>
      </c>
      <c r="W570" s="8"/>
      <c r="X570" t="s">
        <v>3514</v>
      </c>
      <c r="Y570" t="s">
        <v>57</v>
      </c>
      <c r="Z570">
        <v>5935</v>
      </c>
      <c r="AA570" s="35" t="s">
        <v>3560</v>
      </c>
    </row>
    <row r="571" spans="1:27" hidden="1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1045</v>
      </c>
      <c r="V571" s="8">
        <v>1</v>
      </c>
      <c r="W571" s="8"/>
      <c r="X571" t="s">
        <v>3514</v>
      </c>
      <c r="Y571" t="s">
        <v>261</v>
      </c>
      <c r="Z571">
        <v>5769</v>
      </c>
      <c r="AA571" s="35" t="s">
        <v>3560</v>
      </c>
    </row>
    <row r="572" spans="1:27" hidden="1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1048</v>
      </c>
      <c r="V572" s="8"/>
      <c r="W572" s="8">
        <v>1</v>
      </c>
      <c r="X572" t="s">
        <v>3549</v>
      </c>
      <c r="Y572" t="s">
        <v>121</v>
      </c>
      <c r="Z572">
        <v>6317</v>
      </c>
      <c r="AA572" s="35" t="s">
        <v>3560</v>
      </c>
    </row>
    <row r="573" spans="1:27" hidden="1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1049</v>
      </c>
      <c r="V573" s="8">
        <v>1</v>
      </c>
      <c r="W573" s="8"/>
      <c r="X573" t="s">
        <v>3513</v>
      </c>
      <c r="Y573" t="s">
        <v>211</v>
      </c>
      <c r="Z573">
        <v>2208</v>
      </c>
      <c r="AA573" s="35" t="s">
        <v>3560</v>
      </c>
    </row>
    <row r="574" spans="1:27" hidden="1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1051</v>
      </c>
      <c r="V574" s="8">
        <v>1</v>
      </c>
      <c r="W574" s="8"/>
      <c r="X574" t="s">
        <v>3513</v>
      </c>
      <c r="Y574" t="s">
        <v>10</v>
      </c>
      <c r="Z574">
        <v>2195</v>
      </c>
      <c r="AA574" s="35" t="s">
        <v>3560</v>
      </c>
    </row>
    <row r="575" spans="1:27" hidden="1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1050</v>
      </c>
      <c r="V575" s="8">
        <v>1</v>
      </c>
      <c r="W575" s="8"/>
      <c r="X575" t="s">
        <v>3513</v>
      </c>
      <c r="Y575" t="s">
        <v>19</v>
      </c>
      <c r="Z575">
        <v>5261</v>
      </c>
      <c r="AA575" s="35" t="s">
        <v>3560</v>
      </c>
    </row>
    <row r="576" spans="1:27" hidden="1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1052</v>
      </c>
      <c r="V576" s="8"/>
      <c r="W576" s="8">
        <v>1</v>
      </c>
      <c r="X576" t="s">
        <v>3550</v>
      </c>
      <c r="Y576" t="s">
        <v>221</v>
      </c>
      <c r="Z576">
        <v>6369</v>
      </c>
      <c r="AA576" s="35" t="s">
        <v>3560</v>
      </c>
    </row>
    <row r="577" spans="1:27" hidden="1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1053</v>
      </c>
      <c r="V577" s="8">
        <v>1</v>
      </c>
      <c r="W577" s="8"/>
      <c r="X577" t="s">
        <v>3514</v>
      </c>
      <c r="Y577" t="s">
        <v>10</v>
      </c>
      <c r="Z577">
        <v>4676</v>
      </c>
      <c r="AA577" s="35" t="s">
        <v>3560</v>
      </c>
    </row>
    <row r="578" spans="1:27" hidden="1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1054</v>
      </c>
      <c r="V578" s="8">
        <v>1</v>
      </c>
      <c r="W578" s="8"/>
      <c r="X578" t="s">
        <v>3515</v>
      </c>
      <c r="Y578" t="s">
        <v>299</v>
      </c>
      <c r="Z578">
        <v>5052</v>
      </c>
      <c r="AA578" s="35" t="s">
        <v>3560</v>
      </c>
    </row>
    <row r="579" spans="1:27" hidden="1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1055</v>
      </c>
      <c r="V579" s="8"/>
      <c r="W579" s="8">
        <v>1</v>
      </c>
      <c r="X579" t="s">
        <v>3549</v>
      </c>
      <c r="Y579" t="s">
        <v>81</v>
      </c>
      <c r="Z579">
        <v>6317</v>
      </c>
      <c r="AA579" s="35" t="s">
        <v>3560</v>
      </c>
    </row>
    <row r="580" spans="1:27" hidden="1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1056</v>
      </c>
      <c r="V580" s="8">
        <v>1</v>
      </c>
      <c r="W580" s="8"/>
      <c r="X580" t="s">
        <v>3513</v>
      </c>
      <c r="Y580" t="s">
        <v>193</v>
      </c>
      <c r="Z580">
        <v>5240</v>
      </c>
      <c r="AA580" s="35" t="s">
        <v>3560</v>
      </c>
    </row>
    <row r="581" spans="1:27" hidden="1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1058</v>
      </c>
      <c r="V581" s="8">
        <v>1</v>
      </c>
      <c r="W581" s="8"/>
      <c r="X581" t="s">
        <v>3513</v>
      </c>
      <c r="Y581" t="s">
        <v>66</v>
      </c>
      <c r="Z581">
        <v>5241</v>
      </c>
      <c r="AA581" s="35" t="s">
        <v>3560</v>
      </c>
    </row>
    <row r="582" spans="1:27" hidden="1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1059</v>
      </c>
      <c r="V582" s="8"/>
      <c r="W582" s="8">
        <v>1</v>
      </c>
      <c r="X582" t="s">
        <v>3549</v>
      </c>
      <c r="Y582" t="s">
        <v>88</v>
      </c>
      <c r="Z582">
        <v>6322</v>
      </c>
      <c r="AA582" s="35" t="s">
        <v>3560</v>
      </c>
    </row>
    <row r="583" spans="1:27" hidden="1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1057</v>
      </c>
      <c r="V583" s="8">
        <v>1</v>
      </c>
      <c r="W583" s="8"/>
      <c r="X583" t="s">
        <v>3513</v>
      </c>
      <c r="Y583" t="s">
        <v>217</v>
      </c>
      <c r="Z583">
        <v>5052</v>
      </c>
      <c r="AA583" s="35" t="s">
        <v>3560</v>
      </c>
    </row>
    <row r="584" spans="1:27" hidden="1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1060</v>
      </c>
      <c r="V584" s="8">
        <v>1</v>
      </c>
      <c r="W584" s="8"/>
      <c r="X584" t="s">
        <v>3514</v>
      </c>
      <c r="Y584" t="s">
        <v>60</v>
      </c>
      <c r="Z584">
        <v>5909</v>
      </c>
      <c r="AA584" s="35" t="s">
        <v>3560</v>
      </c>
    </row>
    <row r="585" spans="1:27" hidden="1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1062</v>
      </c>
      <c r="V585" s="8"/>
      <c r="W585" s="8">
        <v>1</v>
      </c>
      <c r="X585" t="s">
        <v>3550</v>
      </c>
      <c r="Y585" t="s">
        <v>163</v>
      </c>
      <c r="Z585">
        <v>6364</v>
      </c>
      <c r="AA585" s="35" t="s">
        <v>3560</v>
      </c>
    </row>
    <row r="586" spans="1:27" hidden="1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1318</v>
      </c>
      <c r="V586" s="8">
        <v>1</v>
      </c>
      <c r="W586" s="8"/>
      <c r="X586" t="s">
        <v>3515</v>
      </c>
      <c r="Y586" t="s">
        <v>106</v>
      </c>
      <c r="Z586">
        <v>2208</v>
      </c>
      <c r="AA586" s="35" t="s">
        <v>3561</v>
      </c>
    </row>
    <row r="587" spans="1:27" hidden="1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1061</v>
      </c>
      <c r="V587" s="8">
        <v>1</v>
      </c>
      <c r="W587" s="8"/>
      <c r="X587" t="s">
        <v>3514</v>
      </c>
      <c r="Y587" t="s">
        <v>111</v>
      </c>
      <c r="Z587">
        <v>5928</v>
      </c>
      <c r="AA587" s="35" t="s">
        <v>3560</v>
      </c>
    </row>
    <row r="588" spans="1:27" hidden="1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1336</v>
      </c>
      <c r="V588" s="8">
        <v>1</v>
      </c>
      <c r="W588" s="8"/>
      <c r="X588" t="s">
        <v>3514</v>
      </c>
      <c r="Y588" t="s">
        <v>219</v>
      </c>
      <c r="Z588">
        <v>5912</v>
      </c>
      <c r="AA588" s="35" t="s">
        <v>3561</v>
      </c>
    </row>
    <row r="589" spans="1:27" hidden="1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1292</v>
      </c>
      <c r="V589" s="8">
        <v>1</v>
      </c>
      <c r="W589" s="8"/>
      <c r="X589" t="s">
        <v>3515</v>
      </c>
      <c r="Y589" t="s">
        <v>1293</v>
      </c>
      <c r="Z589">
        <v>2200</v>
      </c>
      <c r="AA589" s="35" t="s">
        <v>3561</v>
      </c>
    </row>
    <row r="590" spans="1:27" hidden="1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1064</v>
      </c>
      <c r="V590" s="8">
        <v>1</v>
      </c>
      <c r="W590" s="8"/>
      <c r="X590" t="s">
        <v>3514</v>
      </c>
      <c r="Y590" t="s">
        <v>514</v>
      </c>
      <c r="Z590">
        <v>5923</v>
      </c>
      <c r="AA590" s="35" t="s">
        <v>3560</v>
      </c>
    </row>
    <row r="591" spans="1:27" hidden="1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1065</v>
      </c>
      <c r="V591" s="8">
        <v>1</v>
      </c>
      <c r="W591" s="8"/>
      <c r="X591" t="s">
        <v>3514</v>
      </c>
      <c r="Y591" t="s">
        <v>219</v>
      </c>
      <c r="Z591">
        <v>5925</v>
      </c>
      <c r="AA591" s="35" t="s">
        <v>3560</v>
      </c>
    </row>
    <row r="592" spans="1:27" hidden="1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1063</v>
      </c>
      <c r="V592" s="8">
        <v>1</v>
      </c>
      <c r="W592" s="8"/>
      <c r="X592" t="s">
        <v>3514</v>
      </c>
      <c r="Y592" t="s">
        <v>213</v>
      </c>
      <c r="Z592">
        <v>5927</v>
      </c>
      <c r="AA592" s="35" t="s">
        <v>3560</v>
      </c>
    </row>
    <row r="593" spans="1:27" hidden="1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1066</v>
      </c>
      <c r="V593" s="8">
        <v>1</v>
      </c>
      <c r="W593" s="8"/>
      <c r="X593" t="s">
        <v>3515</v>
      </c>
      <c r="Y593" t="s">
        <v>43</v>
      </c>
      <c r="Z593">
        <v>2195</v>
      </c>
      <c r="AA593" s="35" t="s">
        <v>3560</v>
      </c>
    </row>
    <row r="594" spans="1:27" hidden="1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1068</v>
      </c>
      <c r="V594" s="8"/>
      <c r="W594" s="8">
        <v>1</v>
      </c>
      <c r="X594" t="s">
        <v>3549</v>
      </c>
      <c r="Y594" t="s">
        <v>5</v>
      </c>
      <c r="Z594">
        <v>6333</v>
      </c>
      <c r="AA594" s="35" t="s">
        <v>3560</v>
      </c>
    </row>
    <row r="595" spans="1:27" hidden="1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1067</v>
      </c>
      <c r="V595" s="8">
        <v>1</v>
      </c>
      <c r="W595" s="8"/>
      <c r="X595" t="s">
        <v>3514</v>
      </c>
      <c r="Y595" t="s">
        <v>131</v>
      </c>
      <c r="Z595">
        <v>5916</v>
      </c>
      <c r="AA595" s="35" t="s">
        <v>3560</v>
      </c>
    </row>
    <row r="596" spans="1:27" hidden="1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3515</v>
      </c>
      <c r="Z596">
        <v>0</v>
      </c>
      <c r="AA596" s="35" t="s">
        <v>3560</v>
      </c>
    </row>
    <row r="597" spans="1:27" hidden="1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1069</v>
      </c>
      <c r="D597" t="s">
        <v>1070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1071</v>
      </c>
      <c r="V597" s="8">
        <v>1</v>
      </c>
      <c r="W597" s="8"/>
      <c r="X597" t="s">
        <v>3513</v>
      </c>
      <c r="Y597" t="s">
        <v>25</v>
      </c>
      <c r="Z597">
        <v>5229</v>
      </c>
      <c r="AA597" s="35" t="s">
        <v>3560</v>
      </c>
    </row>
    <row r="598" spans="1:27" hidden="1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1072</v>
      </c>
      <c r="V598" s="8">
        <v>1</v>
      </c>
      <c r="W598" s="8"/>
      <c r="X598" t="s">
        <v>3514</v>
      </c>
      <c r="Y598" t="s">
        <v>16</v>
      </c>
      <c r="Z598">
        <v>5929</v>
      </c>
      <c r="AA598" s="35" t="s">
        <v>3560</v>
      </c>
    </row>
    <row r="599" spans="1:27" hidden="1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1073</v>
      </c>
      <c r="V599" s="8">
        <v>1</v>
      </c>
      <c r="W599" s="8"/>
      <c r="X599" t="s">
        <v>3515</v>
      </c>
      <c r="Y599" t="s">
        <v>514</v>
      </c>
      <c r="Z599">
        <v>5043</v>
      </c>
      <c r="AA599" s="35" t="s">
        <v>3560</v>
      </c>
    </row>
    <row r="600" spans="1:27" hidden="1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1074</v>
      </c>
      <c r="V600" s="8">
        <v>1</v>
      </c>
      <c r="W600" s="8"/>
      <c r="X600" t="s">
        <v>3514</v>
      </c>
      <c r="Y600" t="s">
        <v>1075</v>
      </c>
      <c r="Z600">
        <v>5929</v>
      </c>
      <c r="AA600" s="35" t="s">
        <v>3560</v>
      </c>
    </row>
    <row r="601" spans="1:27" hidden="1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1311</v>
      </c>
      <c r="V601" s="8">
        <v>1</v>
      </c>
      <c r="W601" s="8"/>
      <c r="X601" t="s">
        <v>3515</v>
      </c>
      <c r="Y601" t="s">
        <v>113</v>
      </c>
      <c r="Z601">
        <v>5043</v>
      </c>
      <c r="AA601" s="35" t="s">
        <v>3561</v>
      </c>
    </row>
    <row r="602" spans="1:27" hidden="1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1078</v>
      </c>
      <c r="V602" s="8"/>
      <c r="W602" s="8">
        <v>1</v>
      </c>
      <c r="X602" t="s">
        <v>3549</v>
      </c>
      <c r="Y602" t="s">
        <v>5</v>
      </c>
      <c r="Z602">
        <v>6364</v>
      </c>
      <c r="AA602" s="35" t="s">
        <v>3560</v>
      </c>
    </row>
    <row r="603" spans="1:27" hidden="1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1077</v>
      </c>
      <c r="V603" s="8">
        <v>1</v>
      </c>
      <c r="W603" s="8"/>
      <c r="X603" t="s">
        <v>3514</v>
      </c>
      <c r="Y603" t="s">
        <v>28</v>
      </c>
      <c r="Z603">
        <v>5771</v>
      </c>
      <c r="AA603" s="35" t="s">
        <v>3560</v>
      </c>
    </row>
    <row r="604" spans="1:27" hidden="1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1076</v>
      </c>
      <c r="V604" s="8">
        <v>1</v>
      </c>
      <c r="W604" s="8"/>
      <c r="X604" t="s">
        <v>3515</v>
      </c>
      <c r="Y604" t="s">
        <v>25</v>
      </c>
      <c r="Z604">
        <v>5049</v>
      </c>
      <c r="AA604" s="35" t="s">
        <v>3560</v>
      </c>
    </row>
    <row r="605" spans="1:27" hidden="1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1079</v>
      </c>
      <c r="V605" s="8">
        <v>1</v>
      </c>
      <c r="W605" s="8"/>
      <c r="X605" t="s">
        <v>3513</v>
      </c>
      <c r="Y605" t="s">
        <v>189</v>
      </c>
      <c r="Z605">
        <v>2206</v>
      </c>
      <c r="AA605" s="35" t="s">
        <v>3560</v>
      </c>
    </row>
    <row r="606" spans="1:27" hidden="1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1080</v>
      </c>
      <c r="V606" s="8">
        <v>1</v>
      </c>
      <c r="W606" s="8"/>
      <c r="X606" t="s">
        <v>3513</v>
      </c>
      <c r="Y606" t="s">
        <v>108</v>
      </c>
      <c r="Z606">
        <v>5914</v>
      </c>
      <c r="AA606" s="35" t="s">
        <v>3560</v>
      </c>
    </row>
    <row r="607" spans="1:27" hidden="1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1327</v>
      </c>
      <c r="V607" s="8"/>
      <c r="W607" s="8">
        <v>1</v>
      </c>
      <c r="X607" t="s">
        <v>8</v>
      </c>
      <c r="Y607" t="s">
        <v>668</v>
      </c>
      <c r="Z607">
        <v>6320</v>
      </c>
      <c r="AA607" s="35" t="s">
        <v>3561</v>
      </c>
    </row>
    <row r="608" spans="1:27" hidden="1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1082</v>
      </c>
      <c r="V608" s="8">
        <v>1</v>
      </c>
      <c r="W608" s="8"/>
      <c r="X608" t="s">
        <v>3514</v>
      </c>
      <c r="Y608" t="s">
        <v>277</v>
      </c>
      <c r="Z608">
        <v>5923</v>
      </c>
      <c r="AA608" s="35" t="s">
        <v>3560</v>
      </c>
    </row>
    <row r="609" spans="1:27" hidden="1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1083</v>
      </c>
      <c r="V609" s="8">
        <v>1</v>
      </c>
      <c r="W609" s="8"/>
      <c r="X609" t="s">
        <v>3513</v>
      </c>
      <c r="Y609" t="s">
        <v>5</v>
      </c>
      <c r="Z609">
        <v>5046</v>
      </c>
      <c r="AA609" s="35" t="s">
        <v>3560</v>
      </c>
    </row>
    <row r="610" spans="1:27" hidden="1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1081</v>
      </c>
      <c r="V610" s="8">
        <v>1</v>
      </c>
      <c r="W610" s="8"/>
      <c r="X610" t="s">
        <v>3514</v>
      </c>
      <c r="Y610" t="s">
        <v>207</v>
      </c>
      <c r="Z610">
        <v>2546</v>
      </c>
      <c r="AA610" s="35" t="s">
        <v>3560</v>
      </c>
    </row>
    <row r="611" spans="1:27" hidden="1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1084</v>
      </c>
      <c r="V611" s="8">
        <v>1</v>
      </c>
      <c r="W611" s="8"/>
      <c r="X611" t="s">
        <v>3514</v>
      </c>
      <c r="Y611" t="s">
        <v>34</v>
      </c>
      <c r="Z611">
        <v>2548</v>
      </c>
      <c r="AA611" s="35" t="s">
        <v>3560</v>
      </c>
    </row>
    <row r="612" spans="1:27" hidden="1" x14ac:dyDescent="0.3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1085</v>
      </c>
      <c r="V612" s="8">
        <v>1</v>
      </c>
      <c r="W612" s="20"/>
      <c r="X612" t="s">
        <v>3514</v>
      </c>
      <c r="Y612" s="15" t="s">
        <v>287</v>
      </c>
      <c r="Z612">
        <v>5047</v>
      </c>
      <c r="AA612" s="35" t="s">
        <v>3560</v>
      </c>
    </row>
    <row r="613" spans="1:27" hidden="1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1086</v>
      </c>
      <c r="V613" s="8">
        <v>1</v>
      </c>
      <c r="W613" s="8"/>
      <c r="X613" t="s">
        <v>3514</v>
      </c>
      <c r="Y613" t="s">
        <v>78</v>
      </c>
      <c r="Z613">
        <v>5929</v>
      </c>
      <c r="AA613" s="35" t="s">
        <v>3560</v>
      </c>
    </row>
    <row r="614" spans="1:27" hidden="1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1087</v>
      </c>
      <c r="V614" s="8"/>
      <c r="W614" s="8">
        <v>1</v>
      </c>
      <c r="X614" t="s">
        <v>3550</v>
      </c>
      <c r="Y614" t="s">
        <v>10</v>
      </c>
      <c r="Z614">
        <v>6375</v>
      </c>
      <c r="AA614" s="35" t="s">
        <v>3560</v>
      </c>
    </row>
    <row r="615" spans="1:27" hidden="1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1088</v>
      </c>
      <c r="V615" s="8">
        <v>1</v>
      </c>
      <c r="W615" s="8"/>
      <c r="X615" t="s">
        <v>3513</v>
      </c>
      <c r="Y615" t="s">
        <v>40</v>
      </c>
      <c r="Z615">
        <v>2196</v>
      </c>
      <c r="AA615" s="35" t="s">
        <v>3560</v>
      </c>
    </row>
    <row r="616" spans="1:27" hidden="1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1089</v>
      </c>
      <c r="V616" s="8">
        <v>1</v>
      </c>
      <c r="W616" s="8"/>
      <c r="X616" t="s">
        <v>3514</v>
      </c>
      <c r="Y616" t="s">
        <v>127</v>
      </c>
      <c r="Z616">
        <v>5911</v>
      </c>
      <c r="AA616" s="35" t="s">
        <v>3560</v>
      </c>
    </row>
    <row r="617" spans="1:27" hidden="1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1090</v>
      </c>
      <c r="V617" s="8">
        <v>1</v>
      </c>
      <c r="W617" s="8"/>
      <c r="X617" t="s">
        <v>3515</v>
      </c>
      <c r="Y617" t="s">
        <v>22</v>
      </c>
      <c r="Z617">
        <v>5042</v>
      </c>
      <c r="AA617" s="35" t="s">
        <v>3560</v>
      </c>
    </row>
    <row r="618" spans="1:27" hidden="1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1095</v>
      </c>
      <c r="V618" s="8"/>
      <c r="W618" s="8">
        <v>1</v>
      </c>
      <c r="X618" t="s">
        <v>3549</v>
      </c>
      <c r="Y618" t="s">
        <v>72</v>
      </c>
      <c r="Z618">
        <v>6314</v>
      </c>
      <c r="AA618" s="35" t="s">
        <v>3560</v>
      </c>
    </row>
    <row r="619" spans="1:27" hidden="1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1093</v>
      </c>
      <c r="V619" s="8">
        <v>1</v>
      </c>
      <c r="W619" s="8"/>
      <c r="X619" t="s">
        <v>3514</v>
      </c>
      <c r="Y619" t="s">
        <v>63</v>
      </c>
      <c r="Z619">
        <v>5916</v>
      </c>
      <c r="AA619" s="35" t="s">
        <v>3560</v>
      </c>
    </row>
    <row r="620" spans="1:27" hidden="1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1092</v>
      </c>
      <c r="V620" s="8"/>
      <c r="W620" s="8">
        <v>1</v>
      </c>
      <c r="X620" t="s">
        <v>3549</v>
      </c>
      <c r="Y620" t="s">
        <v>5</v>
      </c>
      <c r="Z620">
        <v>6313</v>
      </c>
      <c r="AA620" s="35" t="s">
        <v>3560</v>
      </c>
    </row>
    <row r="621" spans="1:27" hidden="1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1094</v>
      </c>
      <c r="V621" s="8">
        <v>1</v>
      </c>
      <c r="W621" s="8"/>
      <c r="X621" t="s">
        <v>3514</v>
      </c>
      <c r="Y621" t="s">
        <v>10</v>
      </c>
      <c r="Z621">
        <v>5911</v>
      </c>
      <c r="AA621" s="35" t="s">
        <v>3560</v>
      </c>
    </row>
    <row r="622" spans="1:27" hidden="1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1091</v>
      </c>
      <c r="V622" s="8">
        <v>1</v>
      </c>
      <c r="W622" s="8"/>
      <c r="X622" t="s">
        <v>3514</v>
      </c>
      <c r="Y622" t="s">
        <v>225</v>
      </c>
      <c r="Z622">
        <v>5909</v>
      </c>
      <c r="AA622" s="35" t="s">
        <v>3560</v>
      </c>
    </row>
    <row r="623" spans="1:27" hidden="1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1098</v>
      </c>
      <c r="V623" s="8"/>
      <c r="W623" s="8">
        <v>1</v>
      </c>
      <c r="X623" t="s">
        <v>3549</v>
      </c>
      <c r="Y623" t="s">
        <v>137</v>
      </c>
      <c r="Z623">
        <v>6303</v>
      </c>
      <c r="AA623" s="35" t="s">
        <v>3560</v>
      </c>
    </row>
    <row r="624" spans="1:27" hidden="1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1096</v>
      </c>
      <c r="V624" s="8">
        <v>1</v>
      </c>
      <c r="W624" s="8"/>
      <c r="X624" t="s">
        <v>3513</v>
      </c>
      <c r="Y624" t="s">
        <v>151</v>
      </c>
      <c r="Z624">
        <v>5040</v>
      </c>
      <c r="AA624" s="35" t="s">
        <v>3560</v>
      </c>
    </row>
    <row r="625" spans="1:27" hidden="1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1097</v>
      </c>
      <c r="V625" s="8">
        <v>1</v>
      </c>
      <c r="W625" s="8"/>
      <c r="X625" t="s">
        <v>3514</v>
      </c>
      <c r="Y625" t="s">
        <v>13</v>
      </c>
      <c r="Z625">
        <v>5932</v>
      </c>
      <c r="AA625" s="35" t="s">
        <v>3560</v>
      </c>
    </row>
    <row r="626" spans="1:27" hidden="1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1099</v>
      </c>
      <c r="V626" s="8">
        <v>1</v>
      </c>
      <c r="W626" s="8"/>
      <c r="X626" t="s">
        <v>3514</v>
      </c>
      <c r="Y626" t="s">
        <v>46</v>
      </c>
      <c r="Z626">
        <v>5938</v>
      </c>
      <c r="AA626" s="35" t="s">
        <v>3560</v>
      </c>
    </row>
    <row r="627" spans="1:27" hidden="1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1100</v>
      </c>
      <c r="V627" s="8">
        <v>1</v>
      </c>
      <c r="W627" s="8"/>
      <c r="X627" t="s">
        <v>3515</v>
      </c>
      <c r="Y627" t="s">
        <v>40</v>
      </c>
      <c r="Z627">
        <v>5325</v>
      </c>
      <c r="AA627" s="35" t="s">
        <v>3560</v>
      </c>
    </row>
    <row r="628" spans="1:27" hidden="1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1101</v>
      </c>
      <c r="V628" s="8">
        <v>1</v>
      </c>
      <c r="W628" s="8"/>
      <c r="X628" t="s">
        <v>3515</v>
      </c>
      <c r="Y628" t="s">
        <v>100</v>
      </c>
      <c r="Z628">
        <v>5237</v>
      </c>
      <c r="AA628" s="35" t="s">
        <v>3560</v>
      </c>
    </row>
    <row r="629" spans="1:27" hidden="1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1103</v>
      </c>
      <c r="V629" s="8">
        <v>1</v>
      </c>
      <c r="W629" s="8"/>
      <c r="X629" t="s">
        <v>3515</v>
      </c>
      <c r="Y629" t="s">
        <v>115</v>
      </c>
      <c r="Z629">
        <v>5240</v>
      </c>
      <c r="AA629" s="35" t="s">
        <v>3560</v>
      </c>
    </row>
    <row r="630" spans="1:27" hidden="1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1102</v>
      </c>
      <c r="V630" s="8">
        <v>1</v>
      </c>
      <c r="W630" s="8"/>
      <c r="X630" t="s">
        <v>3514</v>
      </c>
      <c r="Y630" t="s">
        <v>123</v>
      </c>
      <c r="Z630">
        <v>5915</v>
      </c>
      <c r="AA630" s="35" t="s">
        <v>3560</v>
      </c>
    </row>
    <row r="631" spans="1:27" hidden="1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1321</v>
      </c>
      <c r="V631" s="8"/>
      <c r="W631" s="8">
        <v>1</v>
      </c>
      <c r="X631" t="s">
        <v>8</v>
      </c>
      <c r="Y631" t="s">
        <v>967</v>
      </c>
      <c r="Z631">
        <v>6326</v>
      </c>
      <c r="AA631" s="35" t="s">
        <v>3561</v>
      </c>
    </row>
    <row r="632" spans="1:27" hidden="1" x14ac:dyDescent="0.3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1104</v>
      </c>
      <c r="V632" s="8">
        <v>1</v>
      </c>
      <c r="W632" s="20"/>
      <c r="X632" t="s">
        <v>3514</v>
      </c>
      <c r="Y632" s="15" t="s">
        <v>121</v>
      </c>
      <c r="Z632">
        <v>5928</v>
      </c>
      <c r="AA632" s="35" t="s">
        <v>3560</v>
      </c>
    </row>
    <row r="633" spans="1:27" hidden="1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1105</v>
      </c>
      <c r="V633" s="8"/>
      <c r="W633" s="8">
        <v>1</v>
      </c>
      <c r="X633" t="s">
        <v>3549</v>
      </c>
      <c r="Y633" t="s">
        <v>104</v>
      </c>
      <c r="Z633">
        <v>6331</v>
      </c>
      <c r="AA633" s="35" t="s">
        <v>3560</v>
      </c>
    </row>
    <row r="634" spans="1:27" hidden="1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1109</v>
      </c>
      <c r="V634" s="8">
        <v>1</v>
      </c>
      <c r="W634" s="8"/>
      <c r="X634" t="s">
        <v>3514</v>
      </c>
      <c r="Y634" t="s">
        <v>78</v>
      </c>
      <c r="Z634">
        <v>5922</v>
      </c>
      <c r="AA634" s="35" t="s">
        <v>3560</v>
      </c>
    </row>
    <row r="635" spans="1:27" hidden="1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1108</v>
      </c>
      <c r="V635" s="8">
        <v>1</v>
      </c>
      <c r="W635" s="8"/>
      <c r="X635" t="s">
        <v>3513</v>
      </c>
      <c r="Y635" t="s">
        <v>25</v>
      </c>
      <c r="Z635">
        <v>5045</v>
      </c>
      <c r="AA635" s="35" t="s">
        <v>3560</v>
      </c>
    </row>
    <row r="636" spans="1:27" hidden="1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1106</v>
      </c>
      <c r="V636" s="8">
        <v>1</v>
      </c>
      <c r="W636" s="8"/>
      <c r="X636" t="s">
        <v>3514</v>
      </c>
      <c r="Y636" t="s">
        <v>10</v>
      </c>
      <c r="Z636">
        <v>2549</v>
      </c>
      <c r="AA636" s="35" t="s">
        <v>3560</v>
      </c>
    </row>
    <row r="637" spans="1:27" hidden="1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1107</v>
      </c>
      <c r="V637" s="8">
        <v>1</v>
      </c>
      <c r="W637" s="8"/>
      <c r="X637" t="s">
        <v>3514</v>
      </c>
      <c r="Y637" t="s">
        <v>102</v>
      </c>
      <c r="Z637">
        <v>5770</v>
      </c>
      <c r="AA637" s="35" t="s">
        <v>3560</v>
      </c>
    </row>
    <row r="638" spans="1:27" hidden="1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1331</v>
      </c>
      <c r="V638" s="8"/>
      <c r="W638" s="8">
        <v>1</v>
      </c>
      <c r="X638" t="s">
        <v>8</v>
      </c>
      <c r="Y638" t="s">
        <v>1332</v>
      </c>
      <c r="Z638">
        <v>6322</v>
      </c>
      <c r="AA638" s="35" t="s">
        <v>3561</v>
      </c>
    </row>
    <row r="639" spans="1:27" hidden="1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1111</v>
      </c>
      <c r="V639" s="8">
        <v>1</v>
      </c>
      <c r="W639" s="8"/>
      <c r="X639" t="s">
        <v>3514</v>
      </c>
      <c r="Y639" t="s">
        <v>153</v>
      </c>
      <c r="Z639">
        <v>5924</v>
      </c>
      <c r="AA639" s="35" t="s">
        <v>3560</v>
      </c>
    </row>
    <row r="640" spans="1:27" hidden="1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1110</v>
      </c>
      <c r="V640" s="8">
        <v>1</v>
      </c>
      <c r="W640" s="8"/>
      <c r="X640" t="s">
        <v>3514</v>
      </c>
      <c r="Y640" t="s">
        <v>255</v>
      </c>
      <c r="Z640">
        <v>4665</v>
      </c>
      <c r="AA640" s="35" t="s">
        <v>3560</v>
      </c>
    </row>
    <row r="641" spans="1:27" hidden="1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1296</v>
      </c>
      <c r="V641" s="8">
        <v>1</v>
      </c>
      <c r="W641" s="8"/>
      <c r="X641" t="s">
        <v>3515</v>
      </c>
      <c r="Y641" t="s">
        <v>72</v>
      </c>
      <c r="Z641">
        <v>5054</v>
      </c>
      <c r="AA641" s="35" t="s">
        <v>3561</v>
      </c>
    </row>
    <row r="642" spans="1:27" hidden="1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1112</v>
      </c>
      <c r="V642" s="8">
        <v>1</v>
      </c>
      <c r="W642" s="8"/>
      <c r="X642" t="s">
        <v>3514</v>
      </c>
      <c r="Y642" t="s">
        <v>145</v>
      </c>
      <c r="Z642">
        <v>8138</v>
      </c>
      <c r="AA642" s="35" t="s">
        <v>3560</v>
      </c>
    </row>
    <row r="643" spans="1:27" hidden="1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1313</v>
      </c>
      <c r="V643" s="8">
        <v>1</v>
      </c>
      <c r="W643" s="8"/>
      <c r="X643" t="s">
        <v>3513</v>
      </c>
      <c r="Y643" t="s">
        <v>1314</v>
      </c>
      <c r="Z643">
        <v>2197</v>
      </c>
      <c r="AA643" s="35" t="s">
        <v>3561</v>
      </c>
    </row>
    <row r="644" spans="1:27" hidden="1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1113</v>
      </c>
      <c r="V644" s="8">
        <v>1</v>
      </c>
      <c r="W644" s="8"/>
      <c r="X644" t="s">
        <v>3514</v>
      </c>
      <c r="Y644" t="s">
        <v>60</v>
      </c>
      <c r="Z644">
        <v>5922</v>
      </c>
      <c r="AA644" s="35" t="s">
        <v>3560</v>
      </c>
    </row>
    <row r="645" spans="1:27" hidden="1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1114</v>
      </c>
      <c r="V645" s="8">
        <v>1</v>
      </c>
      <c r="W645" s="8"/>
      <c r="X645" t="s">
        <v>3513</v>
      </c>
      <c r="Y645" t="s">
        <v>22</v>
      </c>
      <c r="Z645">
        <v>5235</v>
      </c>
      <c r="AA645" s="35" t="s">
        <v>3560</v>
      </c>
    </row>
    <row r="646" spans="1:27" hidden="1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1115</v>
      </c>
      <c r="V646" s="8">
        <v>1</v>
      </c>
      <c r="W646" s="8"/>
      <c r="X646" t="s">
        <v>3515</v>
      </c>
      <c r="Y646" t="s">
        <v>48</v>
      </c>
      <c r="Z646">
        <v>5266</v>
      </c>
      <c r="AA646" s="35" t="s">
        <v>3560</v>
      </c>
    </row>
    <row r="647" spans="1:27" hidden="1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1116</v>
      </c>
      <c r="V647" s="8">
        <v>1</v>
      </c>
      <c r="W647" s="8"/>
      <c r="X647" t="s">
        <v>3513</v>
      </c>
      <c r="Y647" t="s">
        <v>106</v>
      </c>
      <c r="Z647">
        <v>5043</v>
      </c>
      <c r="AA647" s="35" t="s">
        <v>3560</v>
      </c>
    </row>
    <row r="648" spans="1:27" hidden="1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1117</v>
      </c>
      <c r="V648" s="8">
        <v>1</v>
      </c>
      <c r="W648" s="8"/>
      <c r="X648" t="s">
        <v>3514</v>
      </c>
      <c r="Y648" t="s">
        <v>514</v>
      </c>
      <c r="Z648">
        <v>5922</v>
      </c>
      <c r="AA648" s="35" t="s">
        <v>3560</v>
      </c>
    </row>
    <row r="649" spans="1:27" hidden="1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3550</v>
      </c>
      <c r="Y649" t="s">
        <v>63</v>
      </c>
      <c r="Z649">
        <v>6370</v>
      </c>
      <c r="AA649" s="35" t="s">
        <v>3560</v>
      </c>
    </row>
    <row r="650" spans="1:27" hidden="1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1120</v>
      </c>
      <c r="V650" s="8"/>
      <c r="W650" s="8">
        <v>1</v>
      </c>
      <c r="X650" t="s">
        <v>3549</v>
      </c>
      <c r="Y650" t="s">
        <v>167</v>
      </c>
      <c r="Z650">
        <v>6325</v>
      </c>
      <c r="AA650" s="35" t="s">
        <v>3560</v>
      </c>
    </row>
    <row r="651" spans="1:27" hidden="1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1118</v>
      </c>
      <c r="V651" s="8">
        <v>1</v>
      </c>
      <c r="W651" s="8"/>
      <c r="X651" t="s">
        <v>3515</v>
      </c>
      <c r="Y651" t="s">
        <v>48</v>
      </c>
      <c r="Z651">
        <v>5261</v>
      </c>
      <c r="AA651" s="35" t="s">
        <v>3560</v>
      </c>
    </row>
    <row r="652" spans="1:27" hidden="1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1121</v>
      </c>
      <c r="V652" s="8">
        <v>1</v>
      </c>
      <c r="W652" s="8"/>
      <c r="X652" t="s">
        <v>3514</v>
      </c>
      <c r="Y652" t="s">
        <v>10</v>
      </c>
      <c r="Z652">
        <v>5918</v>
      </c>
      <c r="AA652" s="35" t="s">
        <v>3560</v>
      </c>
    </row>
    <row r="653" spans="1:27" hidden="1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3562</v>
      </c>
      <c r="V653" s="8"/>
      <c r="W653" s="8">
        <v>1</v>
      </c>
      <c r="X653" t="s">
        <v>3549</v>
      </c>
      <c r="Y653" t="s">
        <v>31</v>
      </c>
      <c r="Z653">
        <v>6324</v>
      </c>
      <c r="AA653" s="35" t="s">
        <v>3560</v>
      </c>
    </row>
    <row r="654" spans="1:27" hidden="1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1122</v>
      </c>
      <c r="V654" s="8"/>
      <c r="W654" s="8">
        <v>1</v>
      </c>
      <c r="X654" t="s">
        <v>3549</v>
      </c>
      <c r="Y654" t="s">
        <v>46</v>
      </c>
      <c r="Z654">
        <v>6929</v>
      </c>
      <c r="AA654" s="35" t="s">
        <v>3560</v>
      </c>
    </row>
    <row r="655" spans="1:27" hidden="1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1123</v>
      </c>
      <c r="V655" s="8">
        <v>1</v>
      </c>
      <c r="W655" s="8"/>
      <c r="X655" t="s">
        <v>3515</v>
      </c>
      <c r="Y655" t="s">
        <v>40</v>
      </c>
      <c r="Z655">
        <v>5046</v>
      </c>
      <c r="AA655" s="35" t="s">
        <v>3560</v>
      </c>
    </row>
    <row r="656" spans="1:27" hidden="1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1125</v>
      </c>
      <c r="V656" s="8">
        <v>1</v>
      </c>
      <c r="W656" s="8"/>
      <c r="X656" t="s">
        <v>3515</v>
      </c>
      <c r="Y656" t="s">
        <v>43</v>
      </c>
      <c r="Z656">
        <v>2198</v>
      </c>
      <c r="AA656" s="35" t="s">
        <v>3560</v>
      </c>
    </row>
    <row r="657" spans="1:27" hidden="1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1124</v>
      </c>
      <c r="V657" s="8">
        <v>1</v>
      </c>
      <c r="W657" s="8"/>
      <c r="X657" t="s">
        <v>3513</v>
      </c>
      <c r="Y657" t="s">
        <v>43</v>
      </c>
      <c r="Z657">
        <v>2198</v>
      </c>
      <c r="AA657" s="35" t="s">
        <v>3560</v>
      </c>
    </row>
    <row r="658" spans="1:27" hidden="1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1319</v>
      </c>
      <c r="V658" s="8">
        <v>1</v>
      </c>
      <c r="W658" s="8"/>
      <c r="X658" t="s">
        <v>3515</v>
      </c>
      <c r="Y658" t="s">
        <v>1320</v>
      </c>
      <c r="Z658">
        <v>2197</v>
      </c>
      <c r="AA658" s="35" t="s">
        <v>3561</v>
      </c>
    </row>
    <row r="659" spans="1:27" hidden="1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1126</v>
      </c>
      <c r="V659" s="8">
        <v>1</v>
      </c>
      <c r="W659" s="8"/>
      <c r="X659" t="s">
        <v>3514</v>
      </c>
      <c r="Y659" t="s">
        <v>119</v>
      </c>
      <c r="Z659">
        <v>5766</v>
      </c>
      <c r="AA659" s="35" t="s">
        <v>3560</v>
      </c>
    </row>
    <row r="660" spans="1:27" hidden="1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1127</v>
      </c>
      <c r="V660" s="8"/>
      <c r="W660" s="8">
        <v>1</v>
      </c>
      <c r="X660" t="s">
        <v>3549</v>
      </c>
      <c r="Y660" t="s">
        <v>69</v>
      </c>
      <c r="Z660">
        <v>6306</v>
      </c>
      <c r="AA660" s="35" t="s">
        <v>3560</v>
      </c>
    </row>
    <row r="661" spans="1:27" hidden="1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1131</v>
      </c>
      <c r="V661" s="8"/>
      <c r="W661" s="8">
        <v>1</v>
      </c>
      <c r="X661" t="s">
        <v>3549</v>
      </c>
      <c r="Y661" t="s">
        <v>5</v>
      </c>
      <c r="Z661">
        <v>6308</v>
      </c>
      <c r="AA661" s="35" t="s">
        <v>3560</v>
      </c>
    </row>
    <row r="662" spans="1:27" hidden="1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1128</v>
      </c>
      <c r="V662" s="8">
        <v>1</v>
      </c>
      <c r="W662" s="8"/>
      <c r="X662" t="s">
        <v>3514</v>
      </c>
      <c r="Y662" t="s">
        <v>22</v>
      </c>
      <c r="Z662">
        <v>5765</v>
      </c>
      <c r="AA662" s="35" t="s">
        <v>3560</v>
      </c>
    </row>
    <row r="663" spans="1:27" hidden="1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1130</v>
      </c>
      <c r="V663" s="8">
        <v>1</v>
      </c>
      <c r="W663" s="8"/>
      <c r="X663" t="s">
        <v>3515</v>
      </c>
      <c r="Y663" t="s">
        <v>25</v>
      </c>
      <c r="Z663">
        <v>5238</v>
      </c>
      <c r="AA663" s="35" t="s">
        <v>3560</v>
      </c>
    </row>
    <row r="664" spans="1:27" hidden="1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1129</v>
      </c>
      <c r="V664" s="8">
        <v>1</v>
      </c>
      <c r="W664" s="8"/>
      <c r="X664" t="s">
        <v>3513</v>
      </c>
      <c r="Y664" t="s">
        <v>253</v>
      </c>
      <c r="Z664">
        <v>2197</v>
      </c>
      <c r="AA664" s="35" t="s">
        <v>3560</v>
      </c>
    </row>
    <row r="665" spans="1:27" hidden="1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1132</v>
      </c>
      <c r="V665" s="8"/>
      <c r="W665" s="8">
        <v>1</v>
      </c>
      <c r="X665" t="s">
        <v>3550</v>
      </c>
      <c r="Y665" t="s">
        <v>275</v>
      </c>
      <c r="Z665">
        <v>6364</v>
      </c>
      <c r="AA665" s="35" t="s">
        <v>3560</v>
      </c>
    </row>
    <row r="666" spans="1:27" hidden="1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1134</v>
      </c>
      <c r="V666" s="8"/>
      <c r="W666" s="8">
        <v>1</v>
      </c>
      <c r="X666" t="s">
        <v>3550</v>
      </c>
      <c r="Y666" t="s">
        <v>5</v>
      </c>
      <c r="Z666">
        <v>6373</v>
      </c>
      <c r="AA666" s="35" t="s">
        <v>3560</v>
      </c>
    </row>
    <row r="667" spans="1:27" hidden="1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1133</v>
      </c>
      <c r="V667" s="8">
        <v>1</v>
      </c>
      <c r="W667" s="8"/>
      <c r="X667" t="s">
        <v>3513</v>
      </c>
      <c r="Y667" t="s">
        <v>13</v>
      </c>
      <c r="Z667">
        <v>5238</v>
      </c>
      <c r="AA667" s="35" t="s">
        <v>3560</v>
      </c>
    </row>
    <row r="668" spans="1:27" hidden="1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1135</v>
      </c>
      <c r="V668" s="8"/>
      <c r="W668" s="8">
        <v>1</v>
      </c>
      <c r="X668" t="s">
        <v>3549</v>
      </c>
      <c r="Y668" t="s">
        <v>133</v>
      </c>
      <c r="Z668">
        <v>6329</v>
      </c>
      <c r="AA668" s="35" t="s">
        <v>3560</v>
      </c>
    </row>
    <row r="669" spans="1:27" hidden="1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1136</v>
      </c>
      <c r="V669" s="8">
        <v>1</v>
      </c>
      <c r="W669" s="8"/>
      <c r="X669" t="s">
        <v>3515</v>
      </c>
      <c r="Y669" t="s">
        <v>514</v>
      </c>
      <c r="Z669">
        <v>5229</v>
      </c>
      <c r="AA669" s="35" t="s">
        <v>3560</v>
      </c>
    </row>
    <row r="670" spans="1:27" hidden="1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1137</v>
      </c>
      <c r="V670" s="8">
        <v>1</v>
      </c>
      <c r="W670" s="8"/>
      <c r="X670" t="s">
        <v>3514</v>
      </c>
      <c r="Y670" t="s">
        <v>51</v>
      </c>
      <c r="Z670">
        <v>5767</v>
      </c>
      <c r="AA670" s="35" t="s">
        <v>3560</v>
      </c>
    </row>
    <row r="671" spans="1:27" hidden="1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1308</v>
      </c>
      <c r="V671" s="8">
        <v>1</v>
      </c>
      <c r="W671" s="8"/>
      <c r="X671" t="s">
        <v>3513</v>
      </c>
      <c r="Y671" t="s">
        <v>5</v>
      </c>
      <c r="Z671">
        <v>5235</v>
      </c>
      <c r="AA671" s="35" t="s">
        <v>3561</v>
      </c>
    </row>
    <row r="672" spans="1:27" hidden="1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1138</v>
      </c>
      <c r="V672" s="8"/>
      <c r="W672" s="8">
        <v>1</v>
      </c>
      <c r="X672" t="s">
        <v>3550</v>
      </c>
      <c r="Y672" t="s">
        <v>46</v>
      </c>
      <c r="Z672">
        <v>6357</v>
      </c>
      <c r="AA672" s="35" t="s">
        <v>3560</v>
      </c>
    </row>
    <row r="673" spans="1:27" hidden="1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1142</v>
      </c>
      <c r="V673" s="8"/>
      <c r="W673" s="8">
        <v>1</v>
      </c>
      <c r="X673" t="s">
        <v>3549</v>
      </c>
      <c r="Y673" t="s">
        <v>10</v>
      </c>
      <c r="Z673">
        <v>6305</v>
      </c>
      <c r="AA673" s="35" t="s">
        <v>3560</v>
      </c>
    </row>
    <row r="674" spans="1:27" hidden="1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1139</v>
      </c>
      <c r="V674" s="8">
        <v>1</v>
      </c>
      <c r="W674" s="8"/>
      <c r="X674" t="s">
        <v>3513</v>
      </c>
      <c r="Y674" t="s">
        <v>86</v>
      </c>
      <c r="Z674">
        <v>5325</v>
      </c>
      <c r="AA674" s="35" t="s">
        <v>3560</v>
      </c>
    </row>
    <row r="675" spans="1:27" hidden="1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1141</v>
      </c>
      <c r="V675" s="8"/>
      <c r="W675" s="8">
        <v>1</v>
      </c>
      <c r="X675" t="s">
        <v>3549</v>
      </c>
      <c r="Y675" t="s">
        <v>88</v>
      </c>
      <c r="Z675">
        <v>6339</v>
      </c>
      <c r="AA675" s="35" t="s">
        <v>3560</v>
      </c>
    </row>
    <row r="676" spans="1:27" hidden="1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1140</v>
      </c>
      <c r="V676" s="8">
        <v>1</v>
      </c>
      <c r="W676" s="8"/>
      <c r="X676" t="s">
        <v>3514</v>
      </c>
      <c r="Y676" t="s">
        <v>131</v>
      </c>
      <c r="Z676">
        <v>5910</v>
      </c>
      <c r="AA676" s="35" t="s">
        <v>3560</v>
      </c>
    </row>
    <row r="677" spans="1:27" hidden="1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1145</v>
      </c>
      <c r="V677" s="8">
        <v>1</v>
      </c>
      <c r="W677" s="8"/>
      <c r="X677" t="s">
        <v>3514</v>
      </c>
      <c r="Y677" t="s">
        <v>13</v>
      </c>
      <c r="Z677">
        <v>5918</v>
      </c>
      <c r="AA677" s="35" t="s">
        <v>3560</v>
      </c>
    </row>
    <row r="678" spans="1:27" hidden="1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1143</v>
      </c>
      <c r="V678" s="8">
        <v>1</v>
      </c>
      <c r="W678" s="8"/>
      <c r="X678" t="s">
        <v>3513</v>
      </c>
      <c r="Y678" t="s">
        <v>177</v>
      </c>
      <c r="Z678">
        <v>2197</v>
      </c>
      <c r="AA678" s="35" t="s">
        <v>3560</v>
      </c>
    </row>
    <row r="679" spans="1:27" hidden="1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1144</v>
      </c>
      <c r="V679" s="8">
        <v>1</v>
      </c>
      <c r="W679" s="8"/>
      <c r="X679" t="s">
        <v>3514</v>
      </c>
      <c r="Y679" t="s">
        <v>269</v>
      </c>
      <c r="Z679">
        <v>5919</v>
      </c>
      <c r="AA679" s="35" t="s">
        <v>3560</v>
      </c>
    </row>
    <row r="680" spans="1:27" hidden="1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1146</v>
      </c>
      <c r="V680" s="8">
        <v>1</v>
      </c>
      <c r="W680" s="8"/>
      <c r="X680" t="s">
        <v>3514</v>
      </c>
      <c r="Y680" t="s">
        <v>245</v>
      </c>
      <c r="Z680">
        <v>5772</v>
      </c>
      <c r="AA680" s="35" t="s">
        <v>3560</v>
      </c>
    </row>
    <row r="681" spans="1:27" hidden="1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1147</v>
      </c>
      <c r="V681" s="8">
        <v>1</v>
      </c>
      <c r="W681" s="8"/>
      <c r="X681" t="s">
        <v>3514</v>
      </c>
      <c r="Y681" t="s">
        <v>183</v>
      </c>
      <c r="Z681">
        <v>7897</v>
      </c>
      <c r="AA681" s="35" t="s">
        <v>3560</v>
      </c>
    </row>
    <row r="682" spans="1:27" hidden="1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1149</v>
      </c>
      <c r="V682" s="24"/>
      <c r="W682" s="24">
        <v>1</v>
      </c>
      <c r="X682" t="s">
        <v>3549</v>
      </c>
      <c r="Y682" t="s">
        <v>31</v>
      </c>
      <c r="Z682">
        <v>6313</v>
      </c>
      <c r="AA682" s="35" t="s">
        <v>3560</v>
      </c>
    </row>
    <row r="683" spans="1:27" hidden="1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1148</v>
      </c>
      <c r="V683" s="8"/>
      <c r="W683" s="8">
        <v>1</v>
      </c>
      <c r="X683" t="s">
        <v>3549</v>
      </c>
      <c r="Y683" t="s">
        <v>279</v>
      </c>
      <c r="Z683">
        <v>6320</v>
      </c>
      <c r="AA683" s="35" t="s">
        <v>3560</v>
      </c>
    </row>
    <row r="684" spans="1:27" hidden="1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1152</v>
      </c>
      <c r="V684" s="8">
        <v>1</v>
      </c>
      <c r="W684" s="8"/>
      <c r="X684" t="s">
        <v>391</v>
      </c>
      <c r="Y684" t="s">
        <v>5</v>
      </c>
      <c r="Z684">
        <v>8232</v>
      </c>
      <c r="AA684" s="35" t="s">
        <v>3560</v>
      </c>
    </row>
    <row r="685" spans="1:27" hidden="1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1151</v>
      </c>
      <c r="V685" s="8">
        <v>1</v>
      </c>
      <c r="W685" s="8"/>
      <c r="X685" t="s">
        <v>3514</v>
      </c>
      <c r="Y685" t="s">
        <v>66</v>
      </c>
      <c r="Z685">
        <v>5917</v>
      </c>
      <c r="AA685" s="35" t="s">
        <v>3560</v>
      </c>
    </row>
    <row r="686" spans="1:27" hidden="1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1150</v>
      </c>
      <c r="V686" s="8">
        <v>1</v>
      </c>
      <c r="W686" s="8"/>
      <c r="X686" t="s">
        <v>3514</v>
      </c>
      <c r="Y686" t="s">
        <v>197</v>
      </c>
      <c r="Z686">
        <v>5933</v>
      </c>
      <c r="AA686" s="35" t="s">
        <v>3560</v>
      </c>
    </row>
    <row r="687" spans="1:27" hidden="1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1337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3561</v>
      </c>
    </row>
    <row r="688" spans="1:27" hidden="1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1153</v>
      </c>
      <c r="V688" s="8">
        <v>1</v>
      </c>
      <c r="W688" s="8"/>
      <c r="X688" t="s">
        <v>3515</v>
      </c>
      <c r="Y688" t="s">
        <v>139</v>
      </c>
      <c r="Z688">
        <v>2198</v>
      </c>
      <c r="AA688" s="35" t="s">
        <v>3560</v>
      </c>
    </row>
    <row r="689" spans="1:27" hidden="1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1156</v>
      </c>
      <c r="V689" s="8">
        <v>1</v>
      </c>
      <c r="W689" s="8"/>
      <c r="X689" t="s">
        <v>3514</v>
      </c>
      <c r="Y689" t="s">
        <v>84</v>
      </c>
      <c r="Z689">
        <v>5930</v>
      </c>
      <c r="AA689" s="35" t="s">
        <v>3560</v>
      </c>
    </row>
    <row r="690" spans="1:27" hidden="1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1155</v>
      </c>
      <c r="V690" s="8">
        <v>1</v>
      </c>
      <c r="W690" s="8"/>
      <c r="X690" t="s">
        <v>3514</v>
      </c>
      <c r="Y690" t="s">
        <v>179</v>
      </c>
      <c r="Z690">
        <v>5770</v>
      </c>
      <c r="AA690" s="35" t="s">
        <v>3560</v>
      </c>
    </row>
    <row r="691" spans="1:27" hidden="1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1154</v>
      </c>
      <c r="V691" s="8">
        <v>1</v>
      </c>
      <c r="W691" s="8"/>
      <c r="X691" t="s">
        <v>3515</v>
      </c>
      <c r="Y691" t="s">
        <v>157</v>
      </c>
      <c r="Z691">
        <v>2208</v>
      </c>
      <c r="AA691" s="35" t="s">
        <v>3560</v>
      </c>
    </row>
    <row r="692" spans="1:27" hidden="1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1157</v>
      </c>
      <c r="V692" s="8"/>
      <c r="W692" s="8">
        <v>1</v>
      </c>
      <c r="X692" t="s">
        <v>3550</v>
      </c>
      <c r="Y692" t="s">
        <v>223</v>
      </c>
      <c r="Z692">
        <v>6368</v>
      </c>
      <c r="AA692" s="35" t="s">
        <v>3560</v>
      </c>
    </row>
    <row r="693" spans="1:27" hidden="1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1159</v>
      </c>
      <c r="V693" s="8">
        <v>1</v>
      </c>
      <c r="W693" s="8"/>
      <c r="X693" t="s">
        <v>3513</v>
      </c>
      <c r="Y693" t="s">
        <v>25</v>
      </c>
      <c r="Z693">
        <v>5054</v>
      </c>
      <c r="AA693" s="35" t="s">
        <v>3560</v>
      </c>
    </row>
    <row r="694" spans="1:27" hidden="1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1300</v>
      </c>
      <c r="V694" s="8"/>
      <c r="W694" s="8">
        <v>1</v>
      </c>
      <c r="X694" t="s">
        <v>8</v>
      </c>
      <c r="Y694" t="s">
        <v>859</v>
      </c>
      <c r="Z694">
        <v>6322</v>
      </c>
      <c r="AA694" s="35" t="s">
        <v>3561</v>
      </c>
    </row>
    <row r="695" spans="1:27" hidden="1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1158</v>
      </c>
      <c r="V695" s="8">
        <v>1</v>
      </c>
      <c r="W695" s="8"/>
      <c r="X695" t="s">
        <v>3514</v>
      </c>
      <c r="Y695" t="s">
        <v>133</v>
      </c>
      <c r="Z695">
        <v>5912</v>
      </c>
      <c r="AA695" s="35" t="s">
        <v>3560</v>
      </c>
    </row>
    <row r="696" spans="1:27" hidden="1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1160</v>
      </c>
      <c r="V696" s="8">
        <v>1</v>
      </c>
      <c r="W696" s="8"/>
      <c r="X696" t="s">
        <v>3513</v>
      </c>
      <c r="Y696" t="s">
        <v>19</v>
      </c>
      <c r="Z696">
        <v>2205</v>
      </c>
      <c r="AA696" s="35" t="s">
        <v>3560</v>
      </c>
    </row>
    <row r="697" spans="1:27" hidden="1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1022</v>
      </c>
      <c r="V697" s="8">
        <v>1</v>
      </c>
      <c r="W697" s="8"/>
      <c r="X697" t="s">
        <v>3515</v>
      </c>
      <c r="Y697" t="s">
        <v>40</v>
      </c>
      <c r="Z697">
        <v>5039</v>
      </c>
      <c r="AA697" s="35" t="s">
        <v>3560</v>
      </c>
    </row>
    <row r="698" spans="1:27" hidden="1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1161</v>
      </c>
      <c r="V698" s="24">
        <v>1</v>
      </c>
      <c r="W698" s="24"/>
      <c r="X698" t="s">
        <v>3515</v>
      </c>
      <c r="Y698" t="s">
        <v>40</v>
      </c>
      <c r="Z698">
        <v>2198</v>
      </c>
      <c r="AA698" s="35" t="s">
        <v>3560</v>
      </c>
    </row>
    <row r="699" spans="1:27" hidden="1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1162</v>
      </c>
      <c r="V699" s="8">
        <v>1</v>
      </c>
      <c r="W699" s="8"/>
      <c r="X699" t="s">
        <v>3513</v>
      </c>
      <c r="Y699" t="s">
        <v>34</v>
      </c>
      <c r="Z699">
        <v>2208</v>
      </c>
      <c r="AA699" s="35" t="s">
        <v>3560</v>
      </c>
    </row>
    <row r="700" spans="1:27" hidden="1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1163</v>
      </c>
      <c r="V700" s="8"/>
      <c r="W700" s="8">
        <v>1</v>
      </c>
      <c r="X700" t="s">
        <v>3549</v>
      </c>
      <c r="Y700" t="s">
        <v>5</v>
      </c>
      <c r="Z700">
        <v>6325</v>
      </c>
      <c r="AA700" s="35" t="s">
        <v>3560</v>
      </c>
    </row>
    <row r="701" spans="1:27" hidden="1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1164</v>
      </c>
      <c r="V701" s="8">
        <v>1</v>
      </c>
      <c r="W701" s="8"/>
      <c r="X701" t="s">
        <v>3515</v>
      </c>
      <c r="Y701" t="s">
        <v>13</v>
      </c>
      <c r="Z701">
        <v>5053</v>
      </c>
      <c r="AA701" s="35" t="s">
        <v>3560</v>
      </c>
    </row>
    <row r="702" spans="1:27" hidden="1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1326</v>
      </c>
      <c r="V702" s="8">
        <v>1</v>
      </c>
      <c r="W702" s="8"/>
      <c r="X702" t="s">
        <v>3514</v>
      </c>
      <c r="Y702" t="s">
        <v>489</v>
      </c>
      <c r="Z702">
        <v>4667</v>
      </c>
      <c r="AA702" s="35" t="s">
        <v>3561</v>
      </c>
    </row>
    <row r="703" spans="1:27" hidden="1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1294</v>
      </c>
      <c r="V703" s="8">
        <v>1</v>
      </c>
      <c r="W703" s="8"/>
      <c r="X703" t="s">
        <v>3513</v>
      </c>
      <c r="Y703" t="s">
        <v>34</v>
      </c>
      <c r="Z703">
        <v>5044</v>
      </c>
      <c r="AA703" s="35" t="s">
        <v>3561</v>
      </c>
    </row>
    <row r="704" spans="1:27" hidden="1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1165</v>
      </c>
      <c r="V704" s="8">
        <v>1</v>
      </c>
      <c r="W704" s="8"/>
      <c r="X704" t="s">
        <v>3513</v>
      </c>
      <c r="Y704" t="s">
        <v>43</v>
      </c>
      <c r="Z704">
        <v>2196</v>
      </c>
      <c r="AA704" s="35" t="s">
        <v>3560</v>
      </c>
    </row>
    <row r="705" spans="1:27" hidden="1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1166</v>
      </c>
      <c r="V705" s="8">
        <v>1</v>
      </c>
      <c r="W705" s="8"/>
      <c r="X705" t="s">
        <v>3515</v>
      </c>
      <c r="Y705" t="s">
        <v>295</v>
      </c>
      <c r="Z705">
        <v>2196</v>
      </c>
      <c r="AA705" s="35" t="s">
        <v>3560</v>
      </c>
    </row>
    <row r="706" spans="1:27" hidden="1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1167</v>
      </c>
      <c r="V706" s="8">
        <v>1</v>
      </c>
      <c r="W706" s="8"/>
      <c r="X706" t="s">
        <v>3514</v>
      </c>
      <c r="Y706" t="s">
        <v>165</v>
      </c>
      <c r="Z706">
        <v>4678</v>
      </c>
      <c r="AA706" s="35" t="s">
        <v>3560</v>
      </c>
    </row>
    <row r="707" spans="1:27" hidden="1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1169</v>
      </c>
      <c r="V707" s="8"/>
      <c r="W707" s="8">
        <v>1</v>
      </c>
      <c r="X707" t="s">
        <v>3549</v>
      </c>
      <c r="Y707" t="s">
        <v>72</v>
      </c>
      <c r="Z707">
        <v>6311</v>
      </c>
      <c r="AA707" s="35" t="s">
        <v>3560</v>
      </c>
    </row>
    <row r="708" spans="1:27" hidden="1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1168</v>
      </c>
      <c r="V708" s="8">
        <v>1</v>
      </c>
      <c r="W708" s="8"/>
      <c r="X708" t="s">
        <v>3513</v>
      </c>
      <c r="Y708" t="s">
        <v>135</v>
      </c>
      <c r="Z708">
        <v>5048</v>
      </c>
      <c r="AA708" s="35" t="s">
        <v>3560</v>
      </c>
    </row>
    <row r="709" spans="1:27" hidden="1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1170</v>
      </c>
      <c r="V709" s="8">
        <v>1</v>
      </c>
      <c r="W709" s="8"/>
      <c r="X709" t="s">
        <v>3515</v>
      </c>
      <c r="Y709" t="s">
        <v>25</v>
      </c>
      <c r="Z709">
        <v>5047</v>
      </c>
      <c r="AA709" s="35" t="s">
        <v>3560</v>
      </c>
    </row>
    <row r="710" spans="1:27" hidden="1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1171</v>
      </c>
      <c r="V710" s="8">
        <v>1</v>
      </c>
      <c r="W710" s="8"/>
      <c r="X710" t="s">
        <v>3513</v>
      </c>
      <c r="Y710" t="s">
        <v>161</v>
      </c>
      <c r="Z710">
        <v>5265</v>
      </c>
      <c r="AA710" s="35" t="s">
        <v>3560</v>
      </c>
    </row>
    <row r="711" spans="1:27" hidden="1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1172</v>
      </c>
      <c r="V711" s="8">
        <v>1</v>
      </c>
      <c r="W711" s="8"/>
      <c r="X711" t="s">
        <v>3513</v>
      </c>
      <c r="Y711" t="s">
        <v>13</v>
      </c>
      <c r="Z711">
        <v>5231</v>
      </c>
      <c r="AA711" s="35" t="s">
        <v>3560</v>
      </c>
    </row>
    <row r="712" spans="1:27" hidden="1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1174</v>
      </c>
      <c r="V712" s="8"/>
      <c r="W712" s="8">
        <v>1</v>
      </c>
      <c r="X712" t="s">
        <v>3550</v>
      </c>
      <c r="Y712" t="s">
        <v>10</v>
      </c>
      <c r="Z712">
        <v>6367</v>
      </c>
      <c r="AA712" s="35" t="s">
        <v>3560</v>
      </c>
    </row>
    <row r="713" spans="1:27" hidden="1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1173</v>
      </c>
      <c r="V713" s="8">
        <v>1</v>
      </c>
      <c r="W713" s="8"/>
      <c r="X713" t="s">
        <v>3514</v>
      </c>
      <c r="Y713" t="s">
        <v>175</v>
      </c>
      <c r="Z713">
        <v>7897</v>
      </c>
      <c r="AA713" s="35" t="s">
        <v>3560</v>
      </c>
    </row>
    <row r="714" spans="1:27" hidden="1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1175</v>
      </c>
      <c r="V714" s="8">
        <v>1</v>
      </c>
      <c r="W714" s="8"/>
      <c r="X714" t="s">
        <v>3514</v>
      </c>
      <c r="Y714" t="s">
        <v>281</v>
      </c>
      <c r="Z714">
        <v>5924</v>
      </c>
      <c r="AA714" s="35" t="s">
        <v>3560</v>
      </c>
    </row>
    <row r="715" spans="1:27" hidden="1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1316</v>
      </c>
      <c r="V715" s="8">
        <v>1</v>
      </c>
      <c r="W715" s="8"/>
      <c r="X715" t="s">
        <v>3514</v>
      </c>
      <c r="Y715" t="s">
        <v>131</v>
      </c>
      <c r="Z715">
        <v>5935</v>
      </c>
      <c r="AA715" s="35" t="s">
        <v>3561</v>
      </c>
    </row>
    <row r="716" spans="1:27" hidden="1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1177</v>
      </c>
      <c r="V716" s="8"/>
      <c r="W716" s="8">
        <v>1</v>
      </c>
      <c r="X716" t="s">
        <v>3549</v>
      </c>
      <c r="Y716" t="s">
        <v>173</v>
      </c>
      <c r="Z716">
        <v>6333</v>
      </c>
      <c r="AA716" s="35" t="s">
        <v>3560</v>
      </c>
    </row>
    <row r="717" spans="1:27" hidden="1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1176</v>
      </c>
      <c r="V717" s="8">
        <v>1</v>
      </c>
      <c r="W717" s="8"/>
      <c r="X717" t="s">
        <v>3514</v>
      </c>
      <c r="Y717" t="s">
        <v>108</v>
      </c>
      <c r="Z717">
        <v>2546</v>
      </c>
      <c r="AA717" s="35" t="s">
        <v>3560</v>
      </c>
    </row>
    <row r="718" spans="1:27" hidden="1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1178</v>
      </c>
      <c r="V718" s="8">
        <v>1</v>
      </c>
      <c r="W718" s="8"/>
      <c r="X718" t="s">
        <v>3514</v>
      </c>
      <c r="Y718" t="s">
        <v>46</v>
      </c>
      <c r="Z718">
        <v>8232</v>
      </c>
      <c r="AA718" s="35" t="s">
        <v>3560</v>
      </c>
    </row>
    <row r="719" spans="1:27" hidden="1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1181</v>
      </c>
      <c r="V719" s="24">
        <v>1</v>
      </c>
      <c r="W719" s="24"/>
      <c r="X719" t="s">
        <v>3514</v>
      </c>
      <c r="Y719" t="s">
        <v>10</v>
      </c>
      <c r="Z719">
        <v>5238</v>
      </c>
      <c r="AA719" s="35" t="s">
        <v>3561</v>
      </c>
    </row>
    <row r="720" spans="1:27" hidden="1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1180</v>
      </c>
      <c r="V720" s="8">
        <v>1</v>
      </c>
      <c r="W720" s="5"/>
      <c r="X720" t="s">
        <v>3515</v>
      </c>
      <c r="Y720" t="s">
        <v>37</v>
      </c>
      <c r="Z720">
        <v>0</v>
      </c>
      <c r="AA720" s="35" t="s">
        <v>3560</v>
      </c>
    </row>
    <row r="721" spans="1:27" hidden="1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1179</v>
      </c>
      <c r="V721" s="8">
        <v>1</v>
      </c>
      <c r="W721" s="8"/>
      <c r="X721" t="s">
        <v>3514</v>
      </c>
      <c r="Y721" t="s">
        <v>34</v>
      </c>
      <c r="Z721">
        <v>5928</v>
      </c>
      <c r="AA721" s="35" t="s">
        <v>3560</v>
      </c>
    </row>
    <row r="722" spans="1:27" hidden="1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1184</v>
      </c>
      <c r="V722" s="8"/>
      <c r="W722" s="8">
        <v>1</v>
      </c>
      <c r="X722" t="s">
        <v>3549</v>
      </c>
      <c r="Y722" t="s">
        <v>129</v>
      </c>
      <c r="Z722">
        <v>6322</v>
      </c>
      <c r="AA722" s="35" t="s">
        <v>3560</v>
      </c>
    </row>
    <row r="723" spans="1:27" hidden="1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1182</v>
      </c>
      <c r="V723" s="8">
        <v>1</v>
      </c>
      <c r="W723" s="8"/>
      <c r="X723" t="s">
        <v>3515</v>
      </c>
      <c r="Y723" t="s">
        <v>115</v>
      </c>
      <c r="Z723">
        <v>5266</v>
      </c>
      <c r="AA723" s="35" t="s">
        <v>3560</v>
      </c>
    </row>
    <row r="724" spans="1:27" hidden="1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1183</v>
      </c>
      <c r="V724" s="8"/>
      <c r="W724" s="8">
        <v>1</v>
      </c>
      <c r="X724" t="s">
        <v>3549</v>
      </c>
      <c r="Y724" t="s">
        <v>75</v>
      </c>
      <c r="Z724">
        <v>6314</v>
      </c>
      <c r="AA724" s="35" t="s">
        <v>3560</v>
      </c>
    </row>
    <row r="725" spans="1:27" hidden="1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1185</v>
      </c>
      <c r="V725" s="8">
        <v>1</v>
      </c>
      <c r="W725" s="8"/>
      <c r="X725" t="s">
        <v>3513</v>
      </c>
      <c r="Y725" t="s">
        <v>125</v>
      </c>
      <c r="Z725">
        <v>5630</v>
      </c>
      <c r="AA725" s="35" t="s">
        <v>3560</v>
      </c>
    </row>
    <row r="726" spans="1:27" hidden="1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1186</v>
      </c>
      <c r="V726" s="8">
        <v>1</v>
      </c>
      <c r="W726" s="8"/>
      <c r="X726" t="s">
        <v>3514</v>
      </c>
      <c r="Y726" t="s">
        <v>57</v>
      </c>
      <c r="Z726">
        <v>5927</v>
      </c>
      <c r="AA726" s="35" t="s">
        <v>3560</v>
      </c>
    </row>
    <row r="727" spans="1:27" hidden="1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1187</v>
      </c>
      <c r="V727" s="8"/>
      <c r="W727" s="8">
        <v>1</v>
      </c>
      <c r="X727" t="s">
        <v>3550</v>
      </c>
      <c r="Y727" t="s">
        <v>5</v>
      </c>
      <c r="Z727">
        <v>6355</v>
      </c>
      <c r="AA727" s="35" t="s">
        <v>3560</v>
      </c>
    </row>
    <row r="728" spans="1:27" hidden="1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1190</v>
      </c>
      <c r="V728" s="8">
        <v>1</v>
      </c>
      <c r="W728" s="8"/>
      <c r="X728" t="s">
        <v>3514</v>
      </c>
      <c r="Y728" t="s">
        <v>60</v>
      </c>
      <c r="Z728">
        <v>5931</v>
      </c>
      <c r="AA728" s="35" t="s">
        <v>3560</v>
      </c>
    </row>
    <row r="729" spans="1:27" hidden="1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1188</v>
      </c>
      <c r="V729" s="8">
        <v>1</v>
      </c>
      <c r="W729" s="8"/>
      <c r="X729" t="s">
        <v>3515</v>
      </c>
      <c r="Y729" t="s">
        <v>98</v>
      </c>
      <c r="Z729">
        <v>5236</v>
      </c>
      <c r="AA729" s="35" t="s">
        <v>3560</v>
      </c>
    </row>
    <row r="730" spans="1:27" hidden="1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1189</v>
      </c>
      <c r="V730" s="8">
        <v>1</v>
      </c>
      <c r="W730" s="8"/>
      <c r="X730" t="s">
        <v>3514</v>
      </c>
      <c r="Y730" t="s">
        <v>28</v>
      </c>
      <c r="Z730">
        <v>5489</v>
      </c>
      <c r="AA730" s="35" t="s">
        <v>3560</v>
      </c>
    </row>
    <row r="731" spans="1:27" hidden="1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1193</v>
      </c>
      <c r="V731" s="8">
        <v>1</v>
      </c>
      <c r="W731" s="8"/>
      <c r="X731" t="s">
        <v>3514</v>
      </c>
      <c r="Y731" t="s">
        <v>155</v>
      </c>
      <c r="Z731">
        <v>5931</v>
      </c>
      <c r="AA731" s="35" t="s">
        <v>3560</v>
      </c>
    </row>
    <row r="732" spans="1:27" hidden="1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1194</v>
      </c>
      <c r="V732" s="8"/>
      <c r="W732" s="8">
        <v>1</v>
      </c>
      <c r="X732" t="s">
        <v>3550</v>
      </c>
      <c r="Y732" t="s">
        <v>81</v>
      </c>
      <c r="Z732">
        <v>6356</v>
      </c>
      <c r="AA732" s="35" t="s">
        <v>3560</v>
      </c>
    </row>
    <row r="733" spans="1:27" hidden="1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1191</v>
      </c>
      <c r="V733" s="24">
        <v>1</v>
      </c>
      <c r="W733" s="24"/>
      <c r="X733" t="s">
        <v>3514</v>
      </c>
      <c r="Y733" t="s">
        <v>5</v>
      </c>
      <c r="Z733">
        <v>5048</v>
      </c>
      <c r="AA733" s="35" t="s">
        <v>3560</v>
      </c>
    </row>
    <row r="734" spans="1:27" hidden="1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1192</v>
      </c>
      <c r="V734" s="8">
        <v>1</v>
      </c>
      <c r="W734" s="8"/>
      <c r="X734" t="s">
        <v>3514</v>
      </c>
      <c r="Y734" t="s">
        <v>283</v>
      </c>
      <c r="Z734">
        <v>5920</v>
      </c>
      <c r="AA734" s="35" t="s">
        <v>3560</v>
      </c>
    </row>
    <row r="735" spans="1:27" hidden="1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1195</v>
      </c>
      <c r="V735" s="24">
        <v>1</v>
      </c>
      <c r="W735" s="24"/>
      <c r="X735" t="s">
        <v>3514</v>
      </c>
      <c r="Y735" t="s">
        <v>247</v>
      </c>
      <c r="Z735">
        <v>0</v>
      </c>
      <c r="AA735" s="35" t="s">
        <v>3560</v>
      </c>
    </row>
    <row r="736" spans="1:27" hidden="1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1309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3561</v>
      </c>
    </row>
    <row r="737" spans="1:27" hidden="1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1196</v>
      </c>
      <c r="V737" s="8">
        <v>1</v>
      </c>
      <c r="W737" s="8"/>
      <c r="X737" t="s">
        <v>3515</v>
      </c>
      <c r="Y737" t="s">
        <v>117</v>
      </c>
      <c r="Z737">
        <v>5237</v>
      </c>
      <c r="AA737" s="35" t="s">
        <v>3560</v>
      </c>
    </row>
    <row r="738" spans="1:27" hidden="1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1197</v>
      </c>
      <c r="V738" s="8">
        <v>1</v>
      </c>
      <c r="W738" s="8"/>
      <c r="X738" t="s">
        <v>3515</v>
      </c>
      <c r="Y738" t="s">
        <v>34</v>
      </c>
      <c r="Z738">
        <v>5237</v>
      </c>
      <c r="AA738" s="35" t="s">
        <v>3560</v>
      </c>
    </row>
    <row r="739" spans="1:27" hidden="1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1198</v>
      </c>
      <c r="V739" s="24"/>
      <c r="W739" s="24">
        <v>1</v>
      </c>
      <c r="X739" t="s">
        <v>3550</v>
      </c>
      <c r="Y739" t="s">
        <v>72</v>
      </c>
      <c r="Z739">
        <v>6374</v>
      </c>
      <c r="AA739" s="35" t="s">
        <v>3560</v>
      </c>
    </row>
    <row r="740" spans="1:27" hidden="1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1199</v>
      </c>
      <c r="V740" s="24"/>
      <c r="W740" s="24">
        <v>1</v>
      </c>
      <c r="X740" t="s">
        <v>3549</v>
      </c>
      <c r="Y740" t="s">
        <v>10</v>
      </c>
      <c r="Z740">
        <v>6329</v>
      </c>
      <c r="AA740" s="35" t="s">
        <v>3560</v>
      </c>
    </row>
    <row r="741" spans="1:27" hidden="1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1200</v>
      </c>
      <c r="V741" s="24">
        <v>1</v>
      </c>
      <c r="W741" s="24"/>
      <c r="X741" t="s">
        <v>3514</v>
      </c>
      <c r="Y741" t="s">
        <v>16</v>
      </c>
      <c r="Z741">
        <v>5909</v>
      </c>
      <c r="AA741" s="35" t="s">
        <v>3560</v>
      </c>
    </row>
    <row r="742" spans="1:27" hidden="1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1201</v>
      </c>
      <c r="V742" s="24">
        <v>1</v>
      </c>
      <c r="W742" s="24"/>
      <c r="X742" t="s">
        <v>3514</v>
      </c>
      <c r="Y742" t="s">
        <v>86</v>
      </c>
      <c r="Z742">
        <v>5934</v>
      </c>
      <c r="AA742" s="35" t="s">
        <v>3560</v>
      </c>
    </row>
    <row r="743" spans="1:27" hidden="1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1202</v>
      </c>
      <c r="V743" s="24">
        <v>1</v>
      </c>
      <c r="W743" s="24"/>
      <c r="X743" t="s">
        <v>3514</v>
      </c>
      <c r="Y743" t="s">
        <v>94</v>
      </c>
      <c r="Z743">
        <v>5488</v>
      </c>
      <c r="AA743" s="35" t="s">
        <v>3560</v>
      </c>
    </row>
    <row r="744" spans="1:27" hidden="1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1203</v>
      </c>
      <c r="V744" s="24">
        <v>1</v>
      </c>
      <c r="W744" s="24"/>
      <c r="X744" t="s">
        <v>3513</v>
      </c>
      <c r="Y744" t="s">
        <v>19</v>
      </c>
      <c r="Z744">
        <v>5039</v>
      </c>
      <c r="AA744" s="35" t="s">
        <v>3560</v>
      </c>
    </row>
    <row r="745" spans="1:27" hidden="1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1204</v>
      </c>
      <c r="V745" s="24">
        <v>1</v>
      </c>
      <c r="W745" s="24"/>
      <c r="X745" t="s">
        <v>3514</v>
      </c>
      <c r="Y745" t="s">
        <v>94</v>
      </c>
      <c r="Z745">
        <v>5489</v>
      </c>
      <c r="AA745" s="35" t="s">
        <v>3561</v>
      </c>
    </row>
    <row r="746" spans="1:27" hidden="1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1330</v>
      </c>
      <c r="V746" s="24">
        <v>1</v>
      </c>
      <c r="W746" s="24"/>
      <c r="X746" t="s">
        <v>3513</v>
      </c>
      <c r="Y746" t="s">
        <v>427</v>
      </c>
      <c r="Z746">
        <v>2209</v>
      </c>
      <c r="AA746" s="35" t="s">
        <v>3561</v>
      </c>
    </row>
    <row r="747" spans="1:27" hidden="1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1206</v>
      </c>
      <c r="V747" s="24"/>
      <c r="W747" s="24">
        <v>1</v>
      </c>
      <c r="X747" t="s">
        <v>3549</v>
      </c>
      <c r="Y747" t="s">
        <v>10</v>
      </c>
      <c r="Z747">
        <v>6361</v>
      </c>
      <c r="AA747" s="35" t="s">
        <v>3560</v>
      </c>
    </row>
    <row r="748" spans="1:27" hidden="1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1205</v>
      </c>
      <c r="V748" s="24"/>
      <c r="W748" s="24">
        <v>1</v>
      </c>
      <c r="X748" t="s">
        <v>3550</v>
      </c>
      <c r="Y748" t="s">
        <v>301</v>
      </c>
      <c r="Z748">
        <v>6364</v>
      </c>
      <c r="AA748" s="35" t="s">
        <v>3560</v>
      </c>
    </row>
    <row r="749" spans="1:27" hidden="1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1207</v>
      </c>
      <c r="V749" s="24"/>
      <c r="W749" s="24">
        <v>1</v>
      </c>
      <c r="X749" t="s">
        <v>3549</v>
      </c>
      <c r="Y749" t="s">
        <v>31</v>
      </c>
      <c r="Z749">
        <v>6321</v>
      </c>
      <c r="AA749" s="35" t="s">
        <v>3560</v>
      </c>
    </row>
    <row r="750" spans="1:27" hidden="1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1208</v>
      </c>
      <c r="V750" s="24">
        <v>1</v>
      </c>
      <c r="W750" s="24"/>
      <c r="X750" t="s">
        <v>3514</v>
      </c>
      <c r="Y750" t="s">
        <v>57</v>
      </c>
      <c r="Z750">
        <v>5938</v>
      </c>
      <c r="AA750" s="35" t="s">
        <v>3560</v>
      </c>
    </row>
    <row r="751" spans="1:27" hidden="1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1209</v>
      </c>
      <c r="V751" s="24">
        <v>1</v>
      </c>
      <c r="W751" s="24"/>
      <c r="X751" t="s">
        <v>3514</v>
      </c>
      <c r="Y751" t="s">
        <v>259</v>
      </c>
      <c r="Z751">
        <v>5910</v>
      </c>
      <c r="AA751" s="35" t="s">
        <v>3560</v>
      </c>
    </row>
    <row r="752" spans="1:27" hidden="1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1210</v>
      </c>
      <c r="V752" s="24">
        <v>1</v>
      </c>
      <c r="W752" s="24"/>
      <c r="X752" t="s">
        <v>3514</v>
      </c>
      <c r="Y752" t="s">
        <v>54</v>
      </c>
      <c r="Z752">
        <v>5771</v>
      </c>
      <c r="AA752" s="35" t="s">
        <v>3560</v>
      </c>
    </row>
    <row r="753" spans="1:27" hidden="1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1211</v>
      </c>
      <c r="V753" s="24">
        <v>1</v>
      </c>
      <c r="W753" s="24"/>
      <c r="X753" t="s">
        <v>3514</v>
      </c>
      <c r="Y753" t="s">
        <v>16</v>
      </c>
      <c r="Z753">
        <v>5926</v>
      </c>
      <c r="AA753" s="35" t="s">
        <v>3560</v>
      </c>
    </row>
    <row r="754" spans="1:27" hidden="1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1212</v>
      </c>
      <c r="V754" s="24">
        <v>1</v>
      </c>
      <c r="W754" s="24"/>
      <c r="X754" t="s">
        <v>3513</v>
      </c>
      <c r="Y754" t="s">
        <v>48</v>
      </c>
      <c r="Z754">
        <v>5260</v>
      </c>
      <c r="AA754" s="35" t="s">
        <v>3560</v>
      </c>
    </row>
    <row r="755" spans="1:27" hidden="1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1295</v>
      </c>
      <c r="V755" s="24"/>
      <c r="W755" s="24">
        <v>1</v>
      </c>
      <c r="X755" t="s">
        <v>8</v>
      </c>
      <c r="Y755" t="s">
        <v>739</v>
      </c>
      <c r="Z755">
        <v>6368</v>
      </c>
      <c r="AA755" s="35" t="s">
        <v>3561</v>
      </c>
    </row>
    <row r="756" spans="1:27" hidden="1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1214</v>
      </c>
      <c r="V756" s="24">
        <v>1</v>
      </c>
      <c r="W756" s="24"/>
      <c r="X756" t="s">
        <v>3513</v>
      </c>
      <c r="Y756" t="s">
        <v>28</v>
      </c>
      <c r="Z756">
        <v>2269</v>
      </c>
      <c r="AA756" s="35" t="s">
        <v>3560</v>
      </c>
    </row>
    <row r="757" spans="1:27" hidden="1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1213</v>
      </c>
      <c r="V757" s="24">
        <v>1</v>
      </c>
      <c r="W757" s="24"/>
      <c r="X757" t="s">
        <v>3514</v>
      </c>
      <c r="Y757" t="s">
        <v>84</v>
      </c>
      <c r="Z757">
        <v>5911</v>
      </c>
      <c r="AA757" s="35" t="s">
        <v>3560</v>
      </c>
    </row>
    <row r="758" spans="1:27" hidden="1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1215</v>
      </c>
      <c r="V758" s="24"/>
      <c r="W758" s="24">
        <v>1</v>
      </c>
      <c r="X758" t="s">
        <v>3549</v>
      </c>
      <c r="Y758" t="s">
        <v>239</v>
      </c>
      <c r="Z758">
        <v>6339</v>
      </c>
      <c r="AA758" s="35" t="s">
        <v>3560</v>
      </c>
    </row>
    <row r="759" spans="1:27" hidden="1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1216</v>
      </c>
      <c r="V759" s="24">
        <v>1</v>
      </c>
      <c r="W759" s="24"/>
      <c r="X759" t="s">
        <v>3515</v>
      </c>
      <c r="Y759" t="s">
        <v>205</v>
      </c>
      <c r="Z759">
        <v>5261</v>
      </c>
      <c r="AA759" s="35" t="s">
        <v>3560</v>
      </c>
    </row>
    <row r="760" spans="1:27" hidden="1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1217</v>
      </c>
      <c r="V760" s="24">
        <v>1</v>
      </c>
      <c r="W760" s="24"/>
      <c r="X760" t="s">
        <v>3515</v>
      </c>
      <c r="Y760" t="s">
        <v>51</v>
      </c>
      <c r="Z760">
        <v>5235</v>
      </c>
      <c r="AA760" s="35" t="s">
        <v>3560</v>
      </c>
    </row>
    <row r="761" spans="1:27" hidden="1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1306</v>
      </c>
      <c r="V761" s="24">
        <v>1</v>
      </c>
      <c r="W761" s="24"/>
      <c r="X761" t="s">
        <v>3514</v>
      </c>
      <c r="Y761" t="s">
        <v>1307</v>
      </c>
      <c r="Z761">
        <v>5912</v>
      </c>
      <c r="AA761" s="35" t="s">
        <v>3561</v>
      </c>
    </row>
    <row r="762" spans="1:27" hidden="1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1315</v>
      </c>
      <c r="V762" s="24">
        <v>1</v>
      </c>
      <c r="W762" s="24"/>
      <c r="X762" t="s">
        <v>3513</v>
      </c>
      <c r="Y762" t="s">
        <v>48</v>
      </c>
      <c r="Z762">
        <v>5046</v>
      </c>
      <c r="AA762" s="35" t="s">
        <v>3561</v>
      </c>
    </row>
    <row r="763" spans="1:27" hidden="1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1218</v>
      </c>
      <c r="V763" s="24">
        <v>1</v>
      </c>
      <c r="W763" s="24"/>
      <c r="X763" t="s">
        <v>3513</v>
      </c>
      <c r="Y763" t="s">
        <v>119</v>
      </c>
      <c r="Z763">
        <v>5042</v>
      </c>
      <c r="AA763" s="35" t="s">
        <v>3560</v>
      </c>
    </row>
    <row r="764" spans="1:27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1219</v>
      </c>
      <c r="V764" s="24">
        <v>1</v>
      </c>
      <c r="W764" s="24"/>
      <c r="X764" t="s">
        <v>3515</v>
      </c>
      <c r="Y764" t="s">
        <v>271</v>
      </c>
      <c r="Z764">
        <v>5047</v>
      </c>
      <c r="AA764" s="35" t="s">
        <v>3560</v>
      </c>
    </row>
    <row r="765" spans="1:27" hidden="1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1221</v>
      </c>
      <c r="V765" s="24">
        <v>1</v>
      </c>
      <c r="W765" s="24"/>
      <c r="X765" t="s">
        <v>3513</v>
      </c>
      <c r="Y765" t="s">
        <v>227</v>
      </c>
      <c r="Z765">
        <v>2195</v>
      </c>
      <c r="AA765" s="35" t="s">
        <v>3560</v>
      </c>
    </row>
    <row r="766" spans="1:27" hidden="1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1220</v>
      </c>
      <c r="V766" s="24"/>
      <c r="W766" s="24">
        <v>1</v>
      </c>
      <c r="X766" t="s">
        <v>3549</v>
      </c>
      <c r="Y766" t="s">
        <v>69</v>
      </c>
      <c r="Z766">
        <v>6319</v>
      </c>
      <c r="AA766" s="35" t="s">
        <v>3560</v>
      </c>
    </row>
    <row r="767" spans="1:27" hidden="1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1222</v>
      </c>
      <c r="V767" s="24">
        <v>1</v>
      </c>
      <c r="W767" s="24"/>
      <c r="X767" t="s">
        <v>3513</v>
      </c>
      <c r="Y767" t="s">
        <v>66</v>
      </c>
      <c r="Z767">
        <v>5264</v>
      </c>
      <c r="AA767" s="35" t="s">
        <v>3560</v>
      </c>
    </row>
    <row r="768" spans="1:27" hidden="1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1223</v>
      </c>
      <c r="V768" s="24"/>
      <c r="W768" s="24">
        <v>1</v>
      </c>
      <c r="X768" t="s">
        <v>3550</v>
      </c>
      <c r="Y768" t="s">
        <v>46</v>
      </c>
      <c r="Z768">
        <v>6362</v>
      </c>
      <c r="AA768" s="35" t="s">
        <v>3560</v>
      </c>
    </row>
    <row r="769" spans="1:27" hidden="1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1224</v>
      </c>
      <c r="V769" s="24"/>
      <c r="W769" s="24">
        <v>1</v>
      </c>
      <c r="X769" t="s">
        <v>3550</v>
      </c>
      <c r="Y769" t="s">
        <v>5</v>
      </c>
      <c r="Z769">
        <v>6368</v>
      </c>
      <c r="AA769" s="35" t="s">
        <v>3560</v>
      </c>
    </row>
    <row r="770" spans="1:27" hidden="1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1333</v>
      </c>
      <c r="V770" s="24">
        <v>1</v>
      </c>
      <c r="W770" s="24"/>
      <c r="X770" t="s">
        <v>3513</v>
      </c>
      <c r="Y770" t="s">
        <v>1334</v>
      </c>
      <c r="Z770">
        <v>2193</v>
      </c>
      <c r="AA770" s="35" t="s">
        <v>3561</v>
      </c>
    </row>
    <row r="771" spans="1:27" hidden="1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1225</v>
      </c>
      <c r="V771" s="24">
        <v>1</v>
      </c>
      <c r="W771" s="24"/>
      <c r="X771" t="s">
        <v>3513</v>
      </c>
      <c r="Y771" t="s">
        <v>98</v>
      </c>
      <c r="Z771">
        <v>5259</v>
      </c>
      <c r="AA771" s="35" t="s">
        <v>3560</v>
      </c>
    </row>
    <row r="772" spans="1:27" hidden="1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1226</v>
      </c>
      <c r="V772" s="24">
        <v>1</v>
      </c>
      <c r="W772" s="24"/>
      <c r="X772" t="s">
        <v>3513</v>
      </c>
      <c r="Y772" t="s">
        <v>537</v>
      </c>
      <c r="Z772">
        <v>5046</v>
      </c>
      <c r="AA772" s="35" t="s">
        <v>3560</v>
      </c>
    </row>
    <row r="773" spans="1:27" hidden="1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1297</v>
      </c>
      <c r="V773" s="24">
        <v>1</v>
      </c>
      <c r="W773" s="24"/>
      <c r="X773" t="s">
        <v>3515</v>
      </c>
      <c r="Y773" t="s">
        <v>227</v>
      </c>
      <c r="Z773">
        <v>2190</v>
      </c>
      <c r="AA773" s="35" t="s">
        <v>3561</v>
      </c>
    </row>
    <row r="774" spans="1:27" hidden="1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1227</v>
      </c>
      <c r="V774" s="24"/>
      <c r="W774" s="24">
        <v>1</v>
      </c>
      <c r="X774" t="s">
        <v>3550</v>
      </c>
      <c r="Y774" t="s">
        <v>231</v>
      </c>
      <c r="Z774">
        <v>6355</v>
      </c>
      <c r="AA774" s="35" t="s">
        <v>3560</v>
      </c>
    </row>
    <row r="775" spans="1:27" hidden="1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1228</v>
      </c>
      <c r="V775" s="24">
        <v>1</v>
      </c>
      <c r="W775" s="24"/>
      <c r="X775" t="s">
        <v>3513</v>
      </c>
      <c r="Y775" t="s">
        <v>22</v>
      </c>
      <c r="Z775">
        <v>5046</v>
      </c>
      <c r="AA775" s="35" t="s">
        <v>3560</v>
      </c>
    </row>
    <row r="776" spans="1:27" hidden="1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1229</v>
      </c>
      <c r="V776" s="24">
        <v>1</v>
      </c>
      <c r="W776" s="24"/>
      <c r="X776" t="s">
        <v>3513</v>
      </c>
      <c r="Y776" t="s">
        <v>19</v>
      </c>
      <c r="Z776">
        <v>2198</v>
      </c>
      <c r="AA776" s="35" t="s">
        <v>3560</v>
      </c>
    </row>
    <row r="777" spans="1:27" hidden="1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1233</v>
      </c>
      <c r="V777" s="24">
        <v>1</v>
      </c>
      <c r="W777" s="24"/>
      <c r="X777" t="s">
        <v>3514</v>
      </c>
      <c r="Y777" t="s">
        <v>106</v>
      </c>
      <c r="Z777">
        <v>5486</v>
      </c>
      <c r="AA777" s="35" t="s">
        <v>3560</v>
      </c>
    </row>
    <row r="778" spans="1:27" hidden="1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1230</v>
      </c>
      <c r="D778" t="s">
        <v>1231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1232</v>
      </c>
      <c r="V778" s="24">
        <v>1</v>
      </c>
      <c r="W778" s="24"/>
      <c r="X778" t="s">
        <v>3514</v>
      </c>
      <c r="Y778" t="s">
        <v>16</v>
      </c>
      <c r="Z778">
        <v>5921</v>
      </c>
      <c r="AA778" s="35" t="s">
        <v>3560</v>
      </c>
    </row>
    <row r="779" spans="1:27" hidden="1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1234</v>
      </c>
      <c r="V779" s="24"/>
      <c r="W779" s="24">
        <v>1</v>
      </c>
      <c r="X779" t="s">
        <v>3549</v>
      </c>
      <c r="Y779" t="s">
        <v>104</v>
      </c>
      <c r="Z779">
        <v>6313</v>
      </c>
      <c r="AA779" s="35" t="s">
        <v>3560</v>
      </c>
    </row>
    <row r="780" spans="1:27" hidden="1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1236</v>
      </c>
      <c r="V780" s="24">
        <v>1</v>
      </c>
      <c r="W780" s="24"/>
      <c r="X780" t="s">
        <v>3514</v>
      </c>
      <c r="Y780" t="s">
        <v>191</v>
      </c>
      <c r="Z780">
        <v>5772</v>
      </c>
      <c r="AA780" s="35" t="s">
        <v>3560</v>
      </c>
    </row>
    <row r="781" spans="1:27" hidden="1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1235</v>
      </c>
      <c r="V781" s="24">
        <v>1</v>
      </c>
      <c r="W781" s="24"/>
      <c r="X781" t="s">
        <v>3513</v>
      </c>
      <c r="Y781" t="s">
        <v>125</v>
      </c>
      <c r="Z781">
        <v>2189</v>
      </c>
      <c r="AA781" s="35" t="s">
        <v>3560</v>
      </c>
    </row>
    <row r="782" spans="1:27" hidden="1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1238</v>
      </c>
      <c r="V782" s="24">
        <v>1</v>
      </c>
      <c r="W782" s="24"/>
      <c r="X782" t="s">
        <v>3513</v>
      </c>
      <c r="Y782" t="s">
        <v>37</v>
      </c>
      <c r="Z782">
        <v>5046</v>
      </c>
      <c r="AA782" s="35" t="s">
        <v>3560</v>
      </c>
    </row>
    <row r="783" spans="1:27" hidden="1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1237</v>
      </c>
      <c r="V783" s="24">
        <v>1</v>
      </c>
      <c r="W783" s="24"/>
      <c r="X783" t="s">
        <v>3513</v>
      </c>
      <c r="Y783" t="s">
        <v>16</v>
      </c>
      <c r="Z783">
        <v>2196</v>
      </c>
      <c r="AA783" s="35" t="s">
        <v>3560</v>
      </c>
    </row>
    <row r="784" spans="1:27" hidden="1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1240</v>
      </c>
      <c r="V784" s="24"/>
      <c r="W784" s="24">
        <v>1</v>
      </c>
      <c r="X784" t="s">
        <v>3550</v>
      </c>
      <c r="Y784" t="s">
        <v>181</v>
      </c>
      <c r="Z784">
        <v>6355</v>
      </c>
      <c r="AA784" s="35" t="s">
        <v>3560</v>
      </c>
    </row>
    <row r="785" spans="1:27" hidden="1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1239</v>
      </c>
      <c r="V785" s="24">
        <v>1</v>
      </c>
      <c r="W785" s="24"/>
      <c r="X785" t="s">
        <v>3514</v>
      </c>
      <c r="Y785" t="s">
        <v>519</v>
      </c>
      <c r="Z785">
        <v>5915</v>
      </c>
      <c r="AA785" s="35" t="s">
        <v>3560</v>
      </c>
    </row>
    <row r="786" spans="1:27" hidden="1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1241</v>
      </c>
      <c r="V786" s="24">
        <v>1</v>
      </c>
      <c r="W786" s="24"/>
      <c r="X786" t="s">
        <v>3515</v>
      </c>
      <c r="Y786" t="s">
        <v>135</v>
      </c>
      <c r="Z786">
        <v>5324</v>
      </c>
      <c r="AA786" s="35" t="s">
        <v>3560</v>
      </c>
    </row>
    <row r="787" spans="1:27" hidden="1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1242</v>
      </c>
      <c r="V787" s="24">
        <v>1</v>
      </c>
      <c r="W787" s="24"/>
      <c r="X787" t="s">
        <v>3513</v>
      </c>
      <c r="Y787" t="s">
        <v>19</v>
      </c>
      <c r="Z787">
        <v>5043</v>
      </c>
      <c r="AA787" s="35" t="s">
        <v>3560</v>
      </c>
    </row>
    <row r="788" spans="1:27" hidden="1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1243</v>
      </c>
      <c r="V788" s="24">
        <v>1</v>
      </c>
      <c r="W788" s="24"/>
      <c r="X788" t="s">
        <v>3514</v>
      </c>
      <c r="Y788" t="s">
        <v>201</v>
      </c>
      <c r="Z788">
        <v>5763</v>
      </c>
      <c r="AA788" s="35" t="s">
        <v>3560</v>
      </c>
    </row>
    <row r="789" spans="1:27" hidden="1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1244</v>
      </c>
      <c r="V789" s="24">
        <v>1</v>
      </c>
      <c r="W789" s="24"/>
      <c r="X789" t="s">
        <v>3514</v>
      </c>
      <c r="Y789" t="s">
        <v>229</v>
      </c>
      <c r="Z789">
        <v>5911</v>
      </c>
      <c r="AA789" s="35" t="s">
        <v>3560</v>
      </c>
    </row>
    <row r="790" spans="1:27" hidden="1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1245</v>
      </c>
      <c r="V790" s="24"/>
      <c r="W790" s="24">
        <v>1</v>
      </c>
      <c r="X790" t="s">
        <v>3550</v>
      </c>
      <c r="Y790" t="s">
        <v>69</v>
      </c>
      <c r="Z790">
        <v>6353</v>
      </c>
      <c r="AA790" s="35" t="s">
        <v>3560</v>
      </c>
    </row>
    <row r="791" spans="1:27" hidden="1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1247</v>
      </c>
      <c r="V791" s="24">
        <v>1</v>
      </c>
      <c r="W791" s="24"/>
      <c r="X791" t="s">
        <v>3513</v>
      </c>
      <c r="Y791" t="s">
        <v>237</v>
      </c>
      <c r="Z791">
        <v>5044</v>
      </c>
      <c r="AA791" s="35" t="s">
        <v>3560</v>
      </c>
    </row>
    <row r="792" spans="1:27" hidden="1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1246</v>
      </c>
      <c r="V792" s="24">
        <v>1</v>
      </c>
      <c r="W792" s="24"/>
      <c r="X792" t="s">
        <v>3513</v>
      </c>
      <c r="Y792" t="s">
        <v>28</v>
      </c>
      <c r="Z792">
        <v>5231</v>
      </c>
      <c r="AA792" s="35" t="s">
        <v>3560</v>
      </c>
    </row>
    <row r="793" spans="1:27" hidden="1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1304</v>
      </c>
      <c r="V793" s="24"/>
      <c r="W793" s="24">
        <v>1</v>
      </c>
      <c r="X793" t="s">
        <v>8</v>
      </c>
      <c r="Y793" t="s">
        <v>962</v>
      </c>
      <c r="Z793">
        <v>6375</v>
      </c>
      <c r="AA793" s="35" t="s">
        <v>3561</v>
      </c>
    </row>
    <row r="794" spans="1:27" hidden="1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1248</v>
      </c>
      <c r="V794" s="24">
        <v>1</v>
      </c>
      <c r="W794" s="24"/>
      <c r="X794" t="s">
        <v>3513</v>
      </c>
      <c r="Y794" t="s">
        <v>10</v>
      </c>
      <c r="Z794">
        <v>2807</v>
      </c>
      <c r="AA794" s="35" t="s">
        <v>3560</v>
      </c>
    </row>
    <row r="795" spans="1:27" hidden="1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1249</v>
      </c>
      <c r="V795" s="24">
        <v>1</v>
      </c>
      <c r="W795" s="24"/>
      <c r="X795" t="s">
        <v>3515</v>
      </c>
      <c r="Y795" t="s">
        <v>251</v>
      </c>
      <c r="Z795">
        <v>5266</v>
      </c>
      <c r="AA795" s="35" t="s">
        <v>3560</v>
      </c>
    </row>
    <row r="796" spans="1:27" hidden="1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1250</v>
      </c>
      <c r="V796" s="24">
        <v>1</v>
      </c>
      <c r="W796" s="24"/>
      <c r="X796" t="s">
        <v>3514</v>
      </c>
      <c r="Y796" t="s">
        <v>111</v>
      </c>
      <c r="Z796">
        <v>5767</v>
      </c>
      <c r="AA796" s="35" t="s">
        <v>3560</v>
      </c>
    </row>
    <row r="797" spans="1:27" hidden="1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1254</v>
      </c>
      <c r="V797" s="24"/>
      <c r="W797" s="24">
        <v>1</v>
      </c>
      <c r="X797" t="s">
        <v>3549</v>
      </c>
      <c r="Y797" t="s">
        <v>267</v>
      </c>
      <c r="Z797">
        <v>6323</v>
      </c>
      <c r="AA797" s="35" t="s">
        <v>3560</v>
      </c>
    </row>
    <row r="798" spans="1:27" hidden="1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1253</v>
      </c>
      <c r="V798" s="24">
        <v>1</v>
      </c>
      <c r="W798" s="24"/>
      <c r="X798" t="s">
        <v>3515</v>
      </c>
      <c r="Y798" t="s">
        <v>113</v>
      </c>
      <c r="Z798">
        <v>5260</v>
      </c>
      <c r="AA798" s="35" t="s">
        <v>3560</v>
      </c>
    </row>
    <row r="799" spans="1:27" hidden="1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1251</v>
      </c>
      <c r="V799" s="24">
        <v>1</v>
      </c>
      <c r="W799" s="24"/>
      <c r="X799" t="s">
        <v>3515</v>
      </c>
      <c r="Y799" t="s">
        <v>1252</v>
      </c>
      <c r="Z799">
        <v>5046</v>
      </c>
      <c r="AA799" s="35" t="s">
        <v>3560</v>
      </c>
    </row>
    <row r="800" spans="1:27" hidden="1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1255</v>
      </c>
      <c r="V800" s="24"/>
      <c r="W800" s="24">
        <v>1</v>
      </c>
      <c r="X800" t="s">
        <v>3549</v>
      </c>
      <c r="Y800" t="s">
        <v>233</v>
      </c>
      <c r="Z800">
        <v>6331</v>
      </c>
      <c r="AA800" s="35" t="s">
        <v>3560</v>
      </c>
    </row>
    <row r="801" spans="1:27" hidden="1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1256</v>
      </c>
      <c r="V801" s="24">
        <v>1</v>
      </c>
      <c r="W801" s="24"/>
      <c r="X801" t="s">
        <v>3514</v>
      </c>
      <c r="Y801" t="s">
        <v>16</v>
      </c>
      <c r="Z801">
        <v>5933</v>
      </c>
      <c r="AA801" s="35" t="s">
        <v>3560</v>
      </c>
    </row>
    <row r="802" spans="1:27" hidden="1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1317</v>
      </c>
      <c r="V802" s="24">
        <v>1</v>
      </c>
      <c r="W802" s="24"/>
      <c r="X802" t="s">
        <v>3514</v>
      </c>
      <c r="Y802" t="s">
        <v>16</v>
      </c>
      <c r="Z802">
        <v>5924</v>
      </c>
      <c r="AA802" s="35" t="s">
        <v>3561</v>
      </c>
    </row>
    <row r="803" spans="1:27" hidden="1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1257</v>
      </c>
      <c r="V803" s="24">
        <v>1</v>
      </c>
      <c r="W803" s="24"/>
      <c r="X803" t="s">
        <v>3513</v>
      </c>
      <c r="Y803" t="s">
        <v>203</v>
      </c>
      <c r="Z803">
        <v>5041</v>
      </c>
      <c r="AA803" s="35" t="s">
        <v>3560</v>
      </c>
    </row>
    <row r="804" spans="1:27" hidden="1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1303</v>
      </c>
      <c r="V804" s="24"/>
      <c r="W804" s="24">
        <v>1</v>
      </c>
      <c r="X804" t="s">
        <v>8</v>
      </c>
      <c r="Y804" t="s">
        <v>668</v>
      </c>
      <c r="Z804">
        <v>6359</v>
      </c>
      <c r="AA804" s="35" t="s">
        <v>3561</v>
      </c>
    </row>
    <row r="805" spans="1:27" hidden="1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1302</v>
      </c>
      <c r="V805" s="24">
        <v>1</v>
      </c>
      <c r="W805" s="24"/>
      <c r="X805" t="s">
        <v>3514</v>
      </c>
      <c r="Y805" t="s">
        <v>108</v>
      </c>
      <c r="Z805">
        <v>5767</v>
      </c>
      <c r="AA805" s="35" t="s">
        <v>3561</v>
      </c>
    </row>
    <row r="806" spans="1:27" hidden="1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1259</v>
      </c>
      <c r="V806" s="24">
        <v>1</v>
      </c>
      <c r="W806" s="24"/>
      <c r="X806" t="s">
        <v>3515</v>
      </c>
      <c r="Y806" t="s">
        <v>19</v>
      </c>
      <c r="Z806">
        <v>2195</v>
      </c>
      <c r="AA806" s="35" t="s">
        <v>3560</v>
      </c>
    </row>
    <row r="807" spans="1:27" hidden="1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1258</v>
      </c>
      <c r="V807" s="24">
        <v>1</v>
      </c>
      <c r="W807" s="24"/>
      <c r="X807" t="s">
        <v>3515</v>
      </c>
      <c r="Y807" t="s">
        <v>265</v>
      </c>
      <c r="Z807">
        <v>2192</v>
      </c>
      <c r="AA807" s="35" t="s">
        <v>3560</v>
      </c>
    </row>
    <row r="808" spans="1:27" hidden="1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1298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3561</v>
      </c>
    </row>
    <row r="809" spans="1:27" hidden="1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1261</v>
      </c>
      <c r="D809" t="s">
        <v>1262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1263</v>
      </c>
      <c r="V809" s="24">
        <v>1</v>
      </c>
      <c r="W809" s="24"/>
      <c r="X809" t="s">
        <v>3514</v>
      </c>
      <c r="Y809" t="s">
        <v>16</v>
      </c>
      <c r="Z809">
        <v>5923</v>
      </c>
      <c r="AA809" s="35" t="s">
        <v>3560</v>
      </c>
    </row>
    <row r="810" spans="1:27" hidden="1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1260</v>
      </c>
      <c r="V810" s="24">
        <v>1</v>
      </c>
      <c r="W810" s="24"/>
      <c r="X810" t="s">
        <v>3515</v>
      </c>
      <c r="Y810" t="s">
        <v>141</v>
      </c>
      <c r="Z810">
        <v>5271</v>
      </c>
      <c r="AA810" s="35" t="s">
        <v>3560</v>
      </c>
    </row>
    <row r="811" spans="1:27" hidden="1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1322</v>
      </c>
      <c r="V811" s="24"/>
      <c r="W811" s="24">
        <v>1</v>
      </c>
      <c r="X811" t="s">
        <v>8</v>
      </c>
      <c r="Y811" t="s">
        <v>1323</v>
      </c>
      <c r="Z811">
        <v>6337</v>
      </c>
      <c r="AA811" s="35" t="s">
        <v>3561</v>
      </c>
    </row>
    <row r="812" spans="1:27" hidden="1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3622</v>
      </c>
      <c r="V812" s="24">
        <v>1</v>
      </c>
      <c r="W812" s="24"/>
      <c r="X812" t="s">
        <v>3515</v>
      </c>
      <c r="Y812" t="s">
        <v>514</v>
      </c>
      <c r="Z812">
        <v>5042</v>
      </c>
      <c r="AA812" s="35" t="s">
        <v>3560</v>
      </c>
    </row>
    <row r="813" spans="1:27" hidden="1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1264</v>
      </c>
      <c r="V813" s="24">
        <v>1</v>
      </c>
      <c r="W813" s="24"/>
      <c r="X813" t="s">
        <v>3514</v>
      </c>
      <c r="Y813" t="s">
        <v>25</v>
      </c>
      <c r="Z813">
        <v>5915</v>
      </c>
      <c r="AA813" s="35" t="s">
        <v>3560</v>
      </c>
    </row>
    <row r="814" spans="1:27" hidden="1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1265</v>
      </c>
      <c r="V814" s="24">
        <v>1</v>
      </c>
      <c r="W814" s="24"/>
      <c r="X814" t="s">
        <v>3513</v>
      </c>
      <c r="Y814" t="s">
        <v>209</v>
      </c>
      <c r="Z814">
        <v>2190</v>
      </c>
      <c r="AA814" s="35" t="s">
        <v>3560</v>
      </c>
    </row>
    <row r="815" spans="1:27" hidden="1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1335</v>
      </c>
      <c r="V815" s="24">
        <v>1</v>
      </c>
      <c r="W815" s="24"/>
      <c r="X815" t="s">
        <v>3513</v>
      </c>
      <c r="Y815" t="s">
        <v>51</v>
      </c>
      <c r="Z815">
        <v>5042</v>
      </c>
      <c r="AA815" s="35" t="s">
        <v>3561</v>
      </c>
    </row>
    <row r="816" spans="1:27" hidden="1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1267</v>
      </c>
      <c r="V816" s="24"/>
      <c r="W816" s="24">
        <v>1</v>
      </c>
      <c r="X816" t="s">
        <v>3550</v>
      </c>
      <c r="Y816" t="s">
        <v>10</v>
      </c>
      <c r="Z816">
        <v>6372</v>
      </c>
      <c r="AA816" s="35" t="s">
        <v>3560</v>
      </c>
    </row>
    <row r="817" spans="1:27" hidden="1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1266</v>
      </c>
      <c r="V817" s="24">
        <v>1</v>
      </c>
      <c r="W817" s="24"/>
      <c r="X817" t="s">
        <v>3515</v>
      </c>
      <c r="Y817" t="s">
        <v>19</v>
      </c>
      <c r="Z817">
        <v>2200</v>
      </c>
      <c r="AA817" s="35" t="s">
        <v>3560</v>
      </c>
    </row>
    <row r="818" spans="1:27" hidden="1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1269</v>
      </c>
      <c r="V818" s="24">
        <v>1</v>
      </c>
      <c r="W818" s="24"/>
      <c r="X818" t="s">
        <v>3515</v>
      </c>
      <c r="Y818" t="s">
        <v>34</v>
      </c>
      <c r="Z818">
        <v>5053</v>
      </c>
      <c r="AA818" s="35" t="s">
        <v>3560</v>
      </c>
    </row>
    <row r="819" spans="1:27" hidden="1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1268</v>
      </c>
      <c r="V819" s="24">
        <v>1</v>
      </c>
      <c r="W819" s="24"/>
      <c r="X819" t="s">
        <v>3514</v>
      </c>
      <c r="Y819" t="s">
        <v>54</v>
      </c>
      <c r="Z819">
        <v>5923</v>
      </c>
      <c r="AA819" s="35" t="s">
        <v>3560</v>
      </c>
    </row>
    <row r="820" spans="1:27" hidden="1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1270</v>
      </c>
      <c r="V820" s="24">
        <v>1</v>
      </c>
      <c r="W820" s="24"/>
      <c r="X820" t="s">
        <v>3515</v>
      </c>
      <c r="Y820" t="s">
        <v>289</v>
      </c>
      <c r="Z820">
        <v>2194</v>
      </c>
      <c r="AA820" s="35" t="s">
        <v>3560</v>
      </c>
    </row>
    <row r="821" spans="1:27" hidden="1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1271</v>
      </c>
      <c r="V821" s="24"/>
      <c r="W821" s="24">
        <v>1</v>
      </c>
      <c r="X821" t="s">
        <v>3549</v>
      </c>
      <c r="Y821" t="s">
        <v>5</v>
      </c>
      <c r="Z821">
        <v>6321</v>
      </c>
      <c r="AA821" s="35" t="s">
        <v>3560</v>
      </c>
    </row>
    <row r="822" spans="1:27" hidden="1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1272</v>
      </c>
      <c r="V822" s="24">
        <v>1</v>
      </c>
      <c r="W822" s="24"/>
      <c r="X822" t="s">
        <v>3513</v>
      </c>
      <c r="Y822" t="s">
        <v>19</v>
      </c>
      <c r="Z822">
        <v>5266</v>
      </c>
      <c r="AA822" s="35" t="s">
        <v>3560</v>
      </c>
    </row>
    <row r="823" spans="1:27" hidden="1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1301</v>
      </c>
      <c r="V823" s="8">
        <v>1</v>
      </c>
      <c r="W823" s="8"/>
      <c r="X823" t="s">
        <v>3514</v>
      </c>
      <c r="Y823" t="s">
        <v>10</v>
      </c>
      <c r="Z823">
        <v>5927</v>
      </c>
      <c r="AA823" s="35" t="s">
        <v>3561</v>
      </c>
    </row>
    <row r="824" spans="1:27" hidden="1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1273</v>
      </c>
      <c r="V824" s="24">
        <v>1</v>
      </c>
      <c r="W824" s="24"/>
      <c r="X824" t="s">
        <v>3514</v>
      </c>
      <c r="Y824" t="s">
        <v>243</v>
      </c>
      <c r="Z824">
        <v>5912</v>
      </c>
      <c r="AA824" t="s">
        <v>3560</v>
      </c>
    </row>
    <row r="825" spans="1:27" hidden="1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1275</v>
      </c>
      <c r="V825" s="24"/>
      <c r="W825" s="24">
        <v>1</v>
      </c>
      <c r="X825" t="s">
        <v>3549</v>
      </c>
      <c r="Y825" t="s">
        <v>235</v>
      </c>
      <c r="Z825">
        <v>6315</v>
      </c>
      <c r="AA825" s="35" t="s">
        <v>3560</v>
      </c>
    </row>
    <row r="826" spans="1:27" hidden="1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1274</v>
      </c>
      <c r="V826" s="24">
        <v>1</v>
      </c>
      <c r="W826" s="24"/>
      <c r="X826" t="s">
        <v>3513</v>
      </c>
      <c r="Y826" t="s">
        <v>123</v>
      </c>
      <c r="Z826">
        <v>5233</v>
      </c>
      <c r="AA826" t="s">
        <v>3560</v>
      </c>
    </row>
    <row r="827" spans="1:27" hidden="1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1310</v>
      </c>
      <c r="V827" s="24">
        <v>1</v>
      </c>
      <c r="W827" s="24"/>
      <c r="X827" t="s">
        <v>3515</v>
      </c>
      <c r="Y827" t="s">
        <v>537</v>
      </c>
      <c r="Z827">
        <v>5239</v>
      </c>
      <c r="AA827" s="35" t="s">
        <v>3561</v>
      </c>
    </row>
    <row r="828" spans="1:27" hidden="1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1338</v>
      </c>
      <c r="V828" s="24"/>
      <c r="W828" s="24">
        <v>1</v>
      </c>
      <c r="X828" t="s">
        <v>8</v>
      </c>
      <c r="Y828" t="s">
        <v>967</v>
      </c>
      <c r="Z828">
        <v>6307</v>
      </c>
      <c r="AA828" s="35" t="s">
        <v>3561</v>
      </c>
    </row>
    <row r="829" spans="1:27" hidden="1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1280</v>
      </c>
      <c r="V829" s="24">
        <v>1</v>
      </c>
      <c r="W829" s="24"/>
      <c r="X829" t="s">
        <v>3515</v>
      </c>
      <c r="Y829" t="s">
        <v>113</v>
      </c>
      <c r="Z829">
        <v>5052</v>
      </c>
      <c r="AA829" t="s">
        <v>3560</v>
      </c>
    </row>
    <row r="830" spans="1:27" hidden="1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1279</v>
      </c>
      <c r="V830" s="24">
        <v>1</v>
      </c>
      <c r="W830" s="24"/>
      <c r="X830" t="s">
        <v>3515</v>
      </c>
      <c r="Y830" t="s">
        <v>22</v>
      </c>
      <c r="Z830">
        <v>5238</v>
      </c>
      <c r="AA830" t="s">
        <v>3560</v>
      </c>
    </row>
    <row r="831" spans="1:27" hidden="1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1276</v>
      </c>
      <c r="D831" t="s">
        <v>1277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1278</v>
      </c>
      <c r="V831" s="24">
        <v>1</v>
      </c>
      <c r="W831" s="24"/>
      <c r="X831" t="s">
        <v>3514</v>
      </c>
      <c r="Y831" t="s">
        <v>5</v>
      </c>
      <c r="Z831">
        <v>5765</v>
      </c>
      <c r="AA831" t="s">
        <v>3560</v>
      </c>
    </row>
    <row r="832" spans="1:27" hidden="1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1281</v>
      </c>
      <c r="V832" s="24">
        <v>1</v>
      </c>
      <c r="W832" s="24"/>
      <c r="X832" t="s">
        <v>3515</v>
      </c>
      <c r="Y832" t="s">
        <v>51</v>
      </c>
      <c r="Z832">
        <v>5048</v>
      </c>
      <c r="AA832" t="s">
        <v>3560</v>
      </c>
    </row>
    <row r="833" spans="1:27" hidden="1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1282</v>
      </c>
      <c r="V833" s="24">
        <v>1</v>
      </c>
      <c r="W833" s="24"/>
      <c r="X833" t="s">
        <v>3514</v>
      </c>
      <c r="Y833" t="s">
        <v>293</v>
      </c>
      <c r="Z833">
        <v>8137</v>
      </c>
      <c r="AA833" t="s">
        <v>3560</v>
      </c>
    </row>
    <row r="834" spans="1:27" hidden="1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1283</v>
      </c>
      <c r="V834" s="24"/>
      <c r="W834" s="24">
        <v>1</v>
      </c>
      <c r="X834" t="s">
        <v>3549</v>
      </c>
      <c r="Y834" t="s">
        <v>5</v>
      </c>
      <c r="Z834">
        <v>6308</v>
      </c>
      <c r="AA834" s="35" t="s">
        <v>3560</v>
      </c>
    </row>
    <row r="835" spans="1:27" hidden="1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1284</v>
      </c>
      <c r="V835" s="24">
        <v>1</v>
      </c>
      <c r="W835" s="24"/>
      <c r="X835" t="s">
        <v>3513</v>
      </c>
      <c r="Y835" t="s">
        <v>195</v>
      </c>
      <c r="Z835">
        <v>5046</v>
      </c>
      <c r="AA835" t="s">
        <v>3560</v>
      </c>
    </row>
    <row r="836" spans="1:27" hidden="1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1285</v>
      </c>
      <c r="V836" s="24">
        <v>1</v>
      </c>
      <c r="W836" s="24"/>
      <c r="X836" t="s">
        <v>3549</v>
      </c>
      <c r="Y836" t="s">
        <v>199</v>
      </c>
      <c r="Z836">
        <v>6332</v>
      </c>
      <c r="AA836" s="35" t="s">
        <v>3560</v>
      </c>
    </row>
    <row r="837" spans="1:27" hidden="1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3515</v>
      </c>
      <c r="Y837" t="s">
        <v>1288</v>
      </c>
      <c r="Z837">
        <v>5327</v>
      </c>
      <c r="AA837" t="s">
        <v>3560</v>
      </c>
    </row>
    <row r="838" spans="1:27" hidden="1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1286</v>
      </c>
      <c r="V838" s="24">
        <v>1</v>
      </c>
      <c r="W838" s="24"/>
      <c r="X838" t="s">
        <v>3513</v>
      </c>
      <c r="Y838" t="s">
        <v>5</v>
      </c>
      <c r="Z838">
        <v>2193</v>
      </c>
      <c r="AA838" t="s">
        <v>3560</v>
      </c>
    </row>
    <row r="839" spans="1:27" hidden="1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1289</v>
      </c>
      <c r="V839" s="24">
        <v>1</v>
      </c>
      <c r="W839" s="24"/>
      <c r="X839" t="s">
        <v>3515</v>
      </c>
      <c r="Y839" t="s">
        <v>560</v>
      </c>
      <c r="Z839">
        <v>5044</v>
      </c>
      <c r="AA839" t="s">
        <v>3560</v>
      </c>
    </row>
    <row r="840" spans="1:27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40"/>
      <c r="H840" s="40"/>
      <c r="I840" s="40"/>
      <c r="O840" s="37">
        <v>1</v>
      </c>
      <c r="S840" s="37">
        <f>SUM(bron[[#This Row],[Januari]:[December]])</f>
        <v>1</v>
      </c>
      <c r="T840" s="42">
        <v>45901</v>
      </c>
      <c r="U840" s="5" t="s">
        <v>1339</v>
      </c>
      <c r="V840" s="38">
        <v>1</v>
      </c>
      <c r="W840" s="38"/>
      <c r="X840" t="s">
        <v>3514</v>
      </c>
      <c r="Y840" t="s">
        <v>1340</v>
      </c>
      <c r="Z840" s="2">
        <v>5938</v>
      </c>
      <c r="AA840" s="43" t="s">
        <v>3560</v>
      </c>
    </row>
    <row r="841" spans="1:27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40"/>
      <c r="H841" s="40"/>
      <c r="I841" s="40"/>
      <c r="O841" s="37">
        <v>1</v>
      </c>
      <c r="S841" s="37">
        <f>SUM(bron[[#This Row],[Januari]:[December]])</f>
        <v>1</v>
      </c>
      <c r="T841" s="42">
        <v>45902</v>
      </c>
      <c r="U841" s="5" t="s">
        <v>3501</v>
      </c>
      <c r="V841" s="38">
        <v>1</v>
      </c>
      <c r="W841" s="38"/>
      <c r="X841" t="s">
        <v>3515</v>
      </c>
      <c r="Y841" t="s">
        <v>100</v>
      </c>
      <c r="Z841" s="2">
        <v>5263</v>
      </c>
      <c r="AA841" s="43" t="s">
        <v>3560</v>
      </c>
    </row>
    <row r="842" spans="1:27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40"/>
      <c r="H842" s="40"/>
      <c r="I842" s="40"/>
      <c r="O842" s="37">
        <v>1</v>
      </c>
      <c r="S842" s="37">
        <f>SUM(bron[[#This Row],[Januari]:[December]])</f>
        <v>1</v>
      </c>
      <c r="T842" s="42">
        <v>45902</v>
      </c>
      <c r="U842" s="5" t="s">
        <v>3501</v>
      </c>
      <c r="V842" s="38">
        <v>1</v>
      </c>
      <c r="W842" s="38"/>
      <c r="X842" t="s">
        <v>3515</v>
      </c>
      <c r="Y842" t="s">
        <v>100</v>
      </c>
      <c r="Z842" s="2">
        <v>5263</v>
      </c>
      <c r="AA842" s="44" t="s">
        <v>3561</v>
      </c>
    </row>
    <row r="843" spans="1:27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40"/>
      <c r="H843" s="40"/>
      <c r="I843" s="40"/>
      <c r="O843" s="37">
        <v>1</v>
      </c>
      <c r="S843" s="37">
        <f>SUM(bron[[#This Row],[Januari]:[December]])</f>
        <v>1</v>
      </c>
      <c r="T843" s="42">
        <v>45902</v>
      </c>
      <c r="U843" s="5" t="s">
        <v>1341</v>
      </c>
      <c r="V843" s="38">
        <v>1</v>
      </c>
      <c r="W843" s="38"/>
      <c r="X843" t="s">
        <v>3515</v>
      </c>
      <c r="Y843" t="s">
        <v>399</v>
      </c>
      <c r="Z843" s="2">
        <v>5233</v>
      </c>
      <c r="AA843" s="43" t="s">
        <v>3560</v>
      </c>
    </row>
    <row r="844" spans="1:27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40"/>
      <c r="H844" s="40"/>
      <c r="I844" s="40"/>
      <c r="O844" s="37">
        <v>1</v>
      </c>
      <c r="S844" s="37">
        <f>SUM(bron[[#This Row],[Januari]:[December]])</f>
        <v>1</v>
      </c>
      <c r="T844" s="42">
        <v>45902</v>
      </c>
      <c r="U844" s="5" t="s">
        <v>3505</v>
      </c>
      <c r="V844" s="38">
        <v>1</v>
      </c>
      <c r="W844" s="38"/>
      <c r="X844" t="s">
        <v>3514</v>
      </c>
      <c r="Y844" t="s">
        <v>3506</v>
      </c>
      <c r="Z844" s="2">
        <v>550311</v>
      </c>
      <c r="AA844" s="43" t="s">
        <v>3560</v>
      </c>
    </row>
    <row r="845" spans="1:27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40"/>
      <c r="H845" s="40"/>
      <c r="I845" s="40"/>
      <c r="O845" s="37">
        <v>1</v>
      </c>
      <c r="S845" s="37">
        <f>SUM(bron[[#This Row],[Januari]:[December]])</f>
        <v>1</v>
      </c>
      <c r="T845" s="42">
        <v>45903</v>
      </c>
      <c r="U845" s="5" t="s">
        <v>3498</v>
      </c>
      <c r="V845" s="38">
        <v>1</v>
      </c>
      <c r="W845" s="38"/>
      <c r="X845" t="s">
        <v>3513</v>
      </c>
      <c r="Y845" t="s">
        <v>3499</v>
      </c>
      <c r="Z845" s="2">
        <v>5324</v>
      </c>
      <c r="AA845" s="43" t="s">
        <v>3560</v>
      </c>
    </row>
    <row r="846" spans="1:27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40"/>
      <c r="H846" s="40"/>
      <c r="I846" s="40"/>
      <c r="O846" s="37">
        <v>1</v>
      </c>
      <c r="S846" s="37">
        <f>SUM(bron[[#This Row],[Januari]:[December]])</f>
        <v>1</v>
      </c>
      <c r="T846" s="42">
        <v>45903</v>
      </c>
      <c r="U846" s="5" t="s">
        <v>3511</v>
      </c>
      <c r="V846" s="38"/>
      <c r="W846" s="38">
        <v>1</v>
      </c>
      <c r="X846" t="s">
        <v>3549</v>
      </c>
      <c r="Y846" t="s">
        <v>3512</v>
      </c>
      <c r="Z846" s="2">
        <v>6319</v>
      </c>
      <c r="AA846" s="44" t="s">
        <v>3560</v>
      </c>
    </row>
    <row r="847" spans="1:27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40"/>
      <c r="H847" s="40"/>
      <c r="I847" s="40"/>
      <c r="O847" s="37">
        <v>1</v>
      </c>
      <c r="S847" s="37">
        <f>SUM(bron[[#This Row],[Januari]:[December]])</f>
        <v>1</v>
      </c>
      <c r="T847" s="42">
        <v>45904</v>
      </c>
      <c r="U847" s="5" t="s">
        <v>3500</v>
      </c>
      <c r="V847" s="38"/>
      <c r="W847" s="38">
        <v>1</v>
      </c>
      <c r="X847" t="s">
        <v>3549</v>
      </c>
      <c r="Y847" t="s">
        <v>5</v>
      </c>
      <c r="Z847" s="2">
        <v>6316</v>
      </c>
      <c r="AA847" s="44" t="s">
        <v>3560</v>
      </c>
    </row>
    <row r="848" spans="1:27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40"/>
      <c r="H848" s="40"/>
      <c r="I848" s="40"/>
      <c r="O848" s="37">
        <v>1</v>
      </c>
      <c r="S848" s="37">
        <f>SUM(bron[[#This Row],[Januari]:[December]])</f>
        <v>1</v>
      </c>
      <c r="T848" s="42">
        <v>45904</v>
      </c>
      <c r="U848" s="5" t="s">
        <v>3502</v>
      </c>
      <c r="V848" s="38">
        <v>1</v>
      </c>
      <c r="W848" s="38"/>
      <c r="X848" t="s">
        <v>3514</v>
      </c>
      <c r="Y848" t="s">
        <v>10</v>
      </c>
      <c r="Z848" s="2">
        <v>2548</v>
      </c>
      <c r="AA848" s="43" t="s">
        <v>3560</v>
      </c>
    </row>
    <row r="849" spans="1:27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40"/>
      <c r="H849" s="40"/>
      <c r="I849" s="40"/>
      <c r="O849" s="37">
        <v>1</v>
      </c>
      <c r="S849" s="37">
        <f>SUM(bron[[#This Row],[Januari]:[December]])</f>
        <v>1</v>
      </c>
      <c r="T849" s="42">
        <v>45905</v>
      </c>
      <c r="U849" s="5" t="s">
        <v>3503</v>
      </c>
      <c r="V849" s="38">
        <v>1</v>
      </c>
      <c r="W849" s="38"/>
      <c r="X849" t="s">
        <v>3514</v>
      </c>
      <c r="Y849" t="s">
        <v>3504</v>
      </c>
      <c r="Z849" s="2">
        <v>5931</v>
      </c>
      <c r="AA849" s="43" t="s">
        <v>3560</v>
      </c>
    </row>
    <row r="850" spans="1:27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40"/>
      <c r="H850" s="40"/>
      <c r="I850" s="40"/>
      <c r="O850" s="37">
        <v>1</v>
      </c>
      <c r="S850" s="37">
        <f>SUM(bron[[#This Row],[Januari]:[December]])</f>
        <v>1</v>
      </c>
      <c r="T850" s="42">
        <v>45907</v>
      </c>
      <c r="U850" s="8" t="s">
        <v>3548</v>
      </c>
      <c r="V850" s="38">
        <v>1</v>
      </c>
      <c r="W850" s="38"/>
      <c r="X850" t="s">
        <v>3515</v>
      </c>
      <c r="Y850" t="s">
        <v>13</v>
      </c>
      <c r="Z850" s="2">
        <v>5259</v>
      </c>
      <c r="AA850" s="43" t="s">
        <v>3560</v>
      </c>
    </row>
    <row r="851" spans="1:27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40"/>
      <c r="H851" s="40"/>
      <c r="I851" s="40"/>
      <c r="O851" s="37">
        <v>1</v>
      </c>
      <c r="S851" s="37">
        <f>SUM(bron[[#This Row],[Januari]:[December]])</f>
        <v>1</v>
      </c>
      <c r="T851" s="42">
        <v>45909</v>
      </c>
      <c r="U851" s="5" t="s">
        <v>3507</v>
      </c>
      <c r="V851" s="38"/>
      <c r="W851" s="38">
        <v>1</v>
      </c>
      <c r="X851" t="s">
        <v>3549</v>
      </c>
      <c r="Y851" t="s">
        <v>75</v>
      </c>
      <c r="Z851" s="2">
        <v>6331</v>
      </c>
      <c r="AA851" s="44" t="s">
        <v>3560</v>
      </c>
    </row>
    <row r="852" spans="1:27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40"/>
      <c r="H852" s="40"/>
      <c r="I852" s="40"/>
      <c r="O852" s="37">
        <v>1</v>
      </c>
      <c r="S852" s="37">
        <f>SUM(bron[[#This Row],[Januari]:[December]])</f>
        <v>1</v>
      </c>
      <c r="T852" s="42">
        <v>45909</v>
      </c>
      <c r="U852" s="5" t="s">
        <v>3508</v>
      </c>
      <c r="V852" s="38">
        <v>1</v>
      </c>
      <c r="W852" s="38"/>
      <c r="X852" t="s">
        <v>3513</v>
      </c>
      <c r="Y852" t="s">
        <v>119</v>
      </c>
      <c r="Z852" s="2">
        <v>5042</v>
      </c>
      <c r="AA852" s="43" t="s">
        <v>3560</v>
      </c>
    </row>
    <row r="853" spans="1:27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40"/>
      <c r="H853" s="40"/>
      <c r="I853" s="40"/>
      <c r="O853" s="37">
        <v>1</v>
      </c>
      <c r="S853" s="37">
        <f>SUM(bron[[#This Row],[Januari]:[December]])</f>
        <v>1</v>
      </c>
      <c r="T853" s="42">
        <v>45909</v>
      </c>
      <c r="U853" s="5" t="s">
        <v>3558</v>
      </c>
      <c r="V853" s="38">
        <v>1</v>
      </c>
      <c r="W853" s="38"/>
      <c r="X853" t="s">
        <v>3514</v>
      </c>
      <c r="Y853" t="s">
        <v>3559</v>
      </c>
      <c r="Z853" s="2">
        <v>4678</v>
      </c>
      <c r="AA853" s="44" t="s">
        <v>3560</v>
      </c>
    </row>
    <row r="854" spans="1:27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40"/>
      <c r="H854" s="40"/>
      <c r="I854" s="40"/>
      <c r="S854" s="37">
        <f>SUM(bron[[#This Row],[Januari]:[December]])</f>
        <v>0</v>
      </c>
      <c r="T854" s="42">
        <v>45910</v>
      </c>
      <c r="U854" s="24" t="s">
        <v>3509</v>
      </c>
      <c r="V854" s="38"/>
      <c r="W854" s="38">
        <v>1</v>
      </c>
      <c r="X854" t="s">
        <v>3550</v>
      </c>
      <c r="Y854" t="s">
        <v>3510</v>
      </c>
      <c r="Z854" s="2">
        <v>6369</v>
      </c>
      <c r="AA854" s="44" t="s">
        <v>3560</v>
      </c>
    </row>
    <row r="855" spans="1:27" x14ac:dyDescent="0.3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40"/>
      <c r="H855" s="40"/>
      <c r="I855" s="40"/>
      <c r="S855" s="37">
        <f>SUM(bron[[#This Row],[Januari]:[December]])</f>
        <v>0</v>
      </c>
      <c r="T855" s="42">
        <v>45912</v>
      </c>
      <c r="U855" s="5" t="s">
        <v>3563</v>
      </c>
      <c r="V855" s="38">
        <v>1</v>
      </c>
      <c r="W855" s="38"/>
      <c r="X855" t="s">
        <v>3515</v>
      </c>
      <c r="Y855" t="s">
        <v>48</v>
      </c>
      <c r="Z855" s="2">
        <v>5265</v>
      </c>
      <c r="AA855" s="44" t="s">
        <v>3560</v>
      </c>
    </row>
    <row r="856" spans="1:27" x14ac:dyDescent="0.3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40"/>
      <c r="H856" s="40"/>
      <c r="I856" s="40"/>
      <c r="S856" s="37">
        <f>SUM(bron[[#This Row],[Januari]:[December]])</f>
        <v>0</v>
      </c>
      <c r="T856" s="42">
        <v>45912</v>
      </c>
      <c r="U856" s="5" t="s">
        <v>3568</v>
      </c>
      <c r="V856" s="38">
        <v>1</v>
      </c>
      <c r="W856" s="38"/>
      <c r="X856" t="s">
        <v>3515</v>
      </c>
      <c r="Y856" t="s">
        <v>100</v>
      </c>
      <c r="Z856" s="2">
        <v>2193</v>
      </c>
      <c r="AA856" s="44" t="s">
        <v>3560</v>
      </c>
    </row>
    <row r="857" spans="1:27" x14ac:dyDescent="0.3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40"/>
      <c r="H857" s="40"/>
      <c r="I857" s="40"/>
      <c r="O857" s="37">
        <v>1</v>
      </c>
      <c r="S857" s="37">
        <f>SUM(bron[[#This Row],[Januari]:[December]])</f>
        <v>1</v>
      </c>
      <c r="T857" s="42">
        <v>45914</v>
      </c>
      <c r="U857" s="5" t="s">
        <v>3551</v>
      </c>
      <c r="V857" s="38"/>
      <c r="W857" s="38">
        <v>1</v>
      </c>
      <c r="X857" t="s">
        <v>3550</v>
      </c>
      <c r="Y857" t="s">
        <v>3552</v>
      </c>
      <c r="Z857" s="2">
        <v>6374</v>
      </c>
      <c r="AA857" s="44" t="s">
        <v>3561</v>
      </c>
    </row>
    <row r="858" spans="1:27" x14ac:dyDescent="0.3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40"/>
      <c r="H858" s="40"/>
      <c r="I858" s="40"/>
      <c r="O858" s="37">
        <v>1</v>
      </c>
      <c r="S858" s="37">
        <f>SUM(bron[[#This Row],[Januari]:[December]])</f>
        <v>1</v>
      </c>
      <c r="T858" s="42">
        <v>45915</v>
      </c>
      <c r="U858" s="5" t="s">
        <v>3553</v>
      </c>
      <c r="V858" s="38">
        <v>1</v>
      </c>
      <c r="W858" s="38"/>
      <c r="X858" t="s">
        <v>3513</v>
      </c>
      <c r="Y858" t="s">
        <v>25</v>
      </c>
      <c r="Z858" s="2">
        <v>5237</v>
      </c>
      <c r="AA858" s="43" t="s">
        <v>3560</v>
      </c>
    </row>
    <row r="859" spans="1:27" x14ac:dyDescent="0.3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40"/>
      <c r="H859" s="40"/>
      <c r="I859" s="40"/>
      <c r="O859" s="37">
        <v>1</v>
      </c>
      <c r="S859" s="37">
        <f>SUM(bron[[#This Row],[Januari]:[December]])</f>
        <v>1</v>
      </c>
      <c r="T859" s="42">
        <v>45915</v>
      </c>
      <c r="U859" s="5" t="s">
        <v>3555</v>
      </c>
      <c r="V859" s="38">
        <v>1</v>
      </c>
      <c r="W859" s="38"/>
      <c r="X859" t="s">
        <v>3514</v>
      </c>
      <c r="Y859" t="s">
        <v>51</v>
      </c>
      <c r="Z859" s="2">
        <v>5763</v>
      </c>
      <c r="AA859" s="43" t="s">
        <v>3560</v>
      </c>
    </row>
    <row r="860" spans="1:27" x14ac:dyDescent="0.3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40"/>
      <c r="H860" s="40"/>
      <c r="I860" s="40"/>
      <c r="O860" s="37">
        <v>1</v>
      </c>
      <c r="S860" s="37">
        <f>SUM(bron[[#This Row],[Januari]:[December]])</f>
        <v>1</v>
      </c>
      <c r="T860" s="42">
        <v>45915</v>
      </c>
      <c r="U860" s="5" t="s">
        <v>3554</v>
      </c>
      <c r="V860" s="38">
        <v>1</v>
      </c>
      <c r="W860" s="38"/>
      <c r="X860" t="s">
        <v>3514</v>
      </c>
      <c r="Y860" t="s">
        <v>3552</v>
      </c>
      <c r="Z860" s="2">
        <v>5488</v>
      </c>
      <c r="AA860" s="43" t="s">
        <v>3560</v>
      </c>
    </row>
    <row r="861" spans="1:27" x14ac:dyDescent="0.3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40"/>
      <c r="H861" s="40"/>
      <c r="I861" s="40"/>
      <c r="O861" s="37">
        <v>1</v>
      </c>
      <c r="S861" s="37">
        <f>SUM(bron[[#This Row],[Januari]:[December]])</f>
        <v>1</v>
      </c>
      <c r="T861" s="42">
        <v>45916</v>
      </c>
      <c r="U861" s="5" t="s">
        <v>3557</v>
      </c>
      <c r="V861" s="38"/>
      <c r="W861" s="38">
        <v>1</v>
      </c>
      <c r="X861" t="s">
        <v>3549</v>
      </c>
      <c r="Y861" t="s">
        <v>1314</v>
      </c>
      <c r="Z861" s="2">
        <v>6334</v>
      </c>
      <c r="AA861" s="43" t="s">
        <v>3561</v>
      </c>
    </row>
    <row r="862" spans="1:27" x14ac:dyDescent="0.3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40"/>
      <c r="H862" s="40"/>
      <c r="I862" s="40"/>
      <c r="S862" s="37">
        <f>SUM(bron[[#This Row],[Januari]:[December]])</f>
        <v>0</v>
      </c>
      <c r="T862" s="42">
        <v>45917</v>
      </c>
      <c r="U862" s="5" t="s">
        <v>3564</v>
      </c>
      <c r="V862" s="38"/>
      <c r="W862" s="38"/>
      <c r="X862" t="s">
        <v>3514</v>
      </c>
      <c r="Y862" t="s">
        <v>3565</v>
      </c>
      <c r="Z862" s="2">
        <v>5913</v>
      </c>
      <c r="AA862" s="44" t="s">
        <v>3560</v>
      </c>
    </row>
    <row r="863" spans="1:27" x14ac:dyDescent="0.3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40"/>
      <c r="H863" s="40"/>
      <c r="I863" s="40"/>
      <c r="S863" s="37">
        <f>SUM(bron[[#This Row],[Januari]:[December]])</f>
        <v>0</v>
      </c>
      <c r="T863" s="42">
        <v>45917</v>
      </c>
      <c r="U863" s="5" t="s">
        <v>3626</v>
      </c>
      <c r="V863" s="38"/>
      <c r="W863" s="38"/>
      <c r="X863" t="s">
        <v>3514</v>
      </c>
      <c r="Y863" t="s">
        <v>28</v>
      </c>
      <c r="Z863" s="2">
        <v>5488</v>
      </c>
      <c r="AA863" s="44" t="s">
        <v>3560</v>
      </c>
    </row>
    <row r="864" spans="1:27" x14ac:dyDescent="0.3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40"/>
      <c r="H864" s="40"/>
      <c r="I864" s="40"/>
      <c r="S864" s="37">
        <f>SUM(bron[[#This Row],[Januari]:[December]])</f>
        <v>0</v>
      </c>
      <c r="T864" s="42">
        <v>45919</v>
      </c>
      <c r="U864" s="5" t="s">
        <v>3625</v>
      </c>
      <c r="V864" s="38">
        <v>1</v>
      </c>
      <c r="W864" s="38"/>
      <c r="X864" t="s">
        <v>3514</v>
      </c>
      <c r="Y864" t="s">
        <v>535</v>
      </c>
      <c r="Z864" s="2">
        <v>5488</v>
      </c>
      <c r="AA864" s="44" t="s">
        <v>3561</v>
      </c>
    </row>
    <row r="865" spans="1:27" x14ac:dyDescent="0.3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40"/>
      <c r="H865" s="40"/>
      <c r="I865" s="40"/>
      <c r="S865" s="37">
        <f>SUM(bron[[#This Row],[Januari]:[December]])</f>
        <v>0</v>
      </c>
      <c r="T865" s="42">
        <v>45919</v>
      </c>
      <c r="U865" s="5" t="s">
        <v>3630</v>
      </c>
      <c r="V865" s="38"/>
      <c r="W865" s="38"/>
      <c r="X865" t="s">
        <v>3514</v>
      </c>
      <c r="Y865" t="s">
        <v>84</v>
      </c>
      <c r="Z865" s="2">
        <v>5923</v>
      </c>
      <c r="AA865" s="44" t="s">
        <v>3560</v>
      </c>
    </row>
    <row r="866" spans="1:27" x14ac:dyDescent="0.3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40"/>
      <c r="H866" s="40"/>
      <c r="I866" s="40"/>
      <c r="S866" s="37">
        <f>SUM(bron[[#This Row],[Januari]:[December]])</f>
        <v>0</v>
      </c>
      <c r="T866" s="42">
        <v>45922</v>
      </c>
      <c r="U866" s="5" t="s">
        <v>3627</v>
      </c>
      <c r="V866" s="38"/>
      <c r="W866" s="38"/>
      <c r="X866" t="s">
        <v>3514</v>
      </c>
      <c r="Y866" t="s">
        <v>3628</v>
      </c>
      <c r="Z866" s="2">
        <v>2047</v>
      </c>
      <c r="AA866" s="44" t="s">
        <v>3560</v>
      </c>
    </row>
    <row r="867" spans="1:27" x14ac:dyDescent="0.3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40"/>
      <c r="H867" s="40"/>
      <c r="I867" s="40"/>
      <c r="S867" s="37">
        <f>SUM(bron[[#This Row],[Januari]:[December]])</f>
        <v>0</v>
      </c>
      <c r="T867" s="42">
        <v>45922</v>
      </c>
      <c r="U867" s="5" t="s">
        <v>3629</v>
      </c>
      <c r="V867" s="38"/>
      <c r="W867" s="38"/>
      <c r="X867" t="s">
        <v>3550</v>
      </c>
      <c r="Y867" t="s">
        <v>5</v>
      </c>
      <c r="Z867" s="2">
        <v>6375</v>
      </c>
      <c r="AA867" s="44" t="s">
        <v>3560</v>
      </c>
    </row>
    <row r="868" spans="1:27" x14ac:dyDescent="0.3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40"/>
      <c r="H868" s="40"/>
      <c r="I868" s="40"/>
      <c r="S868" s="37">
        <f>SUM(bron[[#This Row],[Januari]:[December]])</f>
        <v>0</v>
      </c>
      <c r="T868" s="42">
        <v>45922</v>
      </c>
      <c r="U868" s="5" t="s">
        <v>3631</v>
      </c>
      <c r="V868" s="38"/>
      <c r="W868" s="38"/>
      <c r="X868" t="s">
        <v>3515</v>
      </c>
      <c r="Y868" t="s">
        <v>3632</v>
      </c>
      <c r="Z868" s="2">
        <v>5225</v>
      </c>
      <c r="AA868" s="44" t="s">
        <v>3633</v>
      </c>
    </row>
    <row r="869" spans="1:27" x14ac:dyDescent="0.3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40"/>
      <c r="H869" s="40"/>
      <c r="I869" s="40"/>
      <c r="S869" s="37">
        <f>SUM(bron[[#This Row],[Januari]:[December]])</f>
        <v>0</v>
      </c>
      <c r="T869" s="42">
        <v>45923</v>
      </c>
      <c r="U869" s="5" t="s">
        <v>3634</v>
      </c>
      <c r="V869" s="38"/>
      <c r="W869" s="38"/>
      <c r="X869" t="s">
        <v>3514</v>
      </c>
      <c r="Y869" t="s">
        <v>40</v>
      </c>
      <c r="Z869" s="2">
        <v>2047</v>
      </c>
      <c r="AA869" s="44" t="s">
        <v>3560</v>
      </c>
    </row>
    <row r="870" spans="1:27" x14ac:dyDescent="0.3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40"/>
      <c r="H870" s="40"/>
      <c r="I870" s="40"/>
      <c r="S870" s="37">
        <f>SUM(bron[[#This Row],[Januari]:[December]])</f>
        <v>0</v>
      </c>
      <c r="T870" s="42">
        <v>45923</v>
      </c>
      <c r="U870" s="5" t="s">
        <v>3636</v>
      </c>
      <c r="V870" s="38"/>
      <c r="W870" s="38"/>
      <c r="X870" t="s">
        <v>3549</v>
      </c>
      <c r="Y870" t="s">
        <v>75</v>
      </c>
      <c r="Z870" s="2">
        <v>6328</v>
      </c>
      <c r="AA870" s="44" t="s">
        <v>3561</v>
      </c>
    </row>
    <row r="871" spans="1:27" x14ac:dyDescent="0.3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40"/>
      <c r="H871" s="40"/>
      <c r="I871" s="40"/>
      <c r="S871" s="37">
        <f>SUM(bron[[#This Row],[Januari]:[December]])</f>
        <v>0</v>
      </c>
      <c r="T871" s="42">
        <v>45924</v>
      </c>
      <c r="U871" s="5" t="s">
        <v>3635</v>
      </c>
      <c r="V871" s="38"/>
      <c r="W871" s="38"/>
      <c r="X871" t="s">
        <v>3514</v>
      </c>
      <c r="Y871" t="s">
        <v>3628</v>
      </c>
      <c r="Z871" s="2">
        <v>2085</v>
      </c>
      <c r="AA871" s="44" t="s">
        <v>3560</v>
      </c>
    </row>
    <row r="872" spans="1:27" x14ac:dyDescent="0.3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40"/>
      <c r="H872" s="40"/>
      <c r="I872" s="40"/>
      <c r="S872" s="37">
        <f>SUM(bron[[#This Row],[Januari]:[December]])</f>
        <v>0</v>
      </c>
      <c r="T872" s="42">
        <v>45924</v>
      </c>
      <c r="U872" s="5" t="s">
        <v>3637</v>
      </c>
      <c r="V872" s="38"/>
      <c r="W872" s="38"/>
      <c r="X872" t="s">
        <v>3514</v>
      </c>
      <c r="Y872" t="s">
        <v>3638</v>
      </c>
      <c r="Z872" s="2">
        <v>5922</v>
      </c>
      <c r="AA872" s="44" t="s">
        <v>3561</v>
      </c>
    </row>
    <row r="873" spans="1:27" x14ac:dyDescent="0.3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40"/>
      <c r="H873" s="40"/>
      <c r="I873" s="40"/>
      <c r="S873" s="37">
        <f>SUM(bron[[#This Row],[Januari]:[December]])</f>
        <v>0</v>
      </c>
      <c r="T873" s="42">
        <v>45925</v>
      </c>
      <c r="U873" s="5" t="s">
        <v>3639</v>
      </c>
      <c r="V873" s="38"/>
      <c r="W873" s="38"/>
      <c r="X873" t="s">
        <v>3514</v>
      </c>
      <c r="Y873" t="s">
        <v>1325</v>
      </c>
      <c r="Z873" s="2">
        <v>5938</v>
      </c>
      <c r="AA873" s="44" t="s">
        <v>3561</v>
      </c>
    </row>
    <row r="874" spans="1:27" x14ac:dyDescent="0.3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40"/>
      <c r="H874" s="40"/>
      <c r="I874" s="40"/>
      <c r="S874" s="37">
        <f>SUM(bron[[#This Row],[Januari]:[December]])</f>
        <v>0</v>
      </c>
      <c r="T874" s="42">
        <v>45926</v>
      </c>
      <c r="U874" s="5" t="s">
        <v>3640</v>
      </c>
      <c r="V874" s="38"/>
      <c r="W874" s="38"/>
      <c r="X874" t="s">
        <v>3514</v>
      </c>
      <c r="Y874" t="s">
        <v>16</v>
      </c>
      <c r="Z874" s="2">
        <v>5773</v>
      </c>
      <c r="AA874" s="44" t="s">
        <v>3560</v>
      </c>
    </row>
    <row r="875" spans="1:27" x14ac:dyDescent="0.3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40"/>
      <c r="H875" s="40"/>
      <c r="I875" s="40"/>
      <c r="S875" s="37">
        <f>SUM(bron[[#This Row],[Januari]:[December]])</f>
        <v>0</v>
      </c>
      <c r="T875" s="42">
        <v>45924</v>
      </c>
      <c r="U875" s="5" t="s">
        <v>3641</v>
      </c>
      <c r="V875" s="38"/>
      <c r="W875" s="38"/>
      <c r="X875" t="s">
        <v>3515</v>
      </c>
      <c r="Y875" t="s">
        <v>113</v>
      </c>
      <c r="Z875" s="2">
        <v>2190</v>
      </c>
      <c r="AA875" s="44" t="s">
        <v>3560</v>
      </c>
    </row>
    <row r="876" spans="1:27" x14ac:dyDescent="0.3">
      <c r="B876" t="e">
        <f>_xlfn.CONCAT(bron[[#This Row],[personeelsnr]]," ",bron[[#This Row],[achternaam]]," ",bron[[#This Row],[voornaam]])</f>
        <v>#N/A</v>
      </c>
      <c r="C876" t="e">
        <f>VLOOKUP(bron[[#This Row],[personeelsnr]],'data hastus'!$A:$C,2,0)</f>
        <v>#N/A</v>
      </c>
      <c r="D876" t="e">
        <f>VLOOKUP(bron[[#This Row],[personeelsnr]],'data hastus'!$A:$C,3,0)</f>
        <v>#N/A</v>
      </c>
      <c r="E876" s="2" t="e">
        <f>VLOOKUP(bron[[#This Row],[personeelsnr]],'data hastus'!A:K,11,FALSE)</f>
        <v>#N/A</v>
      </c>
      <c r="G876" s="40"/>
      <c r="H876" s="40"/>
      <c r="I876" s="40"/>
      <c r="S876" s="37">
        <f>SUM(bron[[#This Row],[Januari]:[December]])</f>
        <v>0</v>
      </c>
      <c r="V876" s="38"/>
      <c r="W876" s="38"/>
    </row>
    <row r="877" spans="1:27" x14ac:dyDescent="0.3">
      <c r="B877" t="e">
        <f>_xlfn.CONCAT(bron[[#This Row],[personeelsnr]]," ",bron[[#This Row],[achternaam]]," ",bron[[#This Row],[voornaam]])</f>
        <v>#N/A</v>
      </c>
      <c r="C877" t="e">
        <f>VLOOKUP(bron[[#This Row],[personeelsnr]],'data hastus'!$A:$C,2,0)</f>
        <v>#N/A</v>
      </c>
      <c r="D877" t="e">
        <f>VLOOKUP(bron[[#This Row],[personeelsnr]],'data hastus'!$A:$C,3,0)</f>
        <v>#N/A</v>
      </c>
      <c r="E877" s="2" t="e">
        <f>VLOOKUP(bron[[#This Row],[personeelsnr]],'data hastus'!A:K,11,FALSE)</f>
        <v>#N/A</v>
      </c>
      <c r="G877" s="40"/>
      <c r="H877" s="40"/>
      <c r="I877" s="40"/>
      <c r="S877" s="37">
        <f>SUM(bron[[#This Row],[Januari]:[December]])</f>
        <v>0</v>
      </c>
      <c r="V877" s="38"/>
      <c r="W877" s="38"/>
    </row>
    <row r="878" spans="1:27" x14ac:dyDescent="0.3">
      <c r="B878" t="e">
        <f>_xlfn.CONCAT(bron[[#This Row],[personeelsnr]]," ",bron[[#This Row],[achternaam]]," ",bron[[#This Row],[voornaam]])</f>
        <v>#N/A</v>
      </c>
      <c r="C878" t="e">
        <f>VLOOKUP(bron[[#This Row],[personeelsnr]],'data hastus'!$A:$C,2,0)</f>
        <v>#N/A</v>
      </c>
      <c r="D878" t="e">
        <f>VLOOKUP(bron[[#This Row],[personeelsnr]],'data hastus'!$A:$C,3,0)</f>
        <v>#N/A</v>
      </c>
      <c r="E878" s="2" t="e">
        <f>VLOOKUP(bron[[#This Row],[personeelsnr]],'data hastus'!A:K,11,FALSE)</f>
        <v>#N/A</v>
      </c>
      <c r="G878" s="40"/>
      <c r="H878" s="40"/>
      <c r="I878" s="40"/>
      <c r="S878" s="37">
        <f>SUM(bron[[#This Row],[Januari]:[December]])</f>
        <v>0</v>
      </c>
      <c r="V878" s="38"/>
      <c r="W878" s="38"/>
    </row>
    <row r="879" spans="1:27" x14ac:dyDescent="0.3">
      <c r="B879" t="e">
        <f>_xlfn.CONCAT(bron[[#This Row],[personeelsnr]]," ",bron[[#This Row],[achternaam]]," ",bron[[#This Row],[voornaam]])</f>
        <v>#N/A</v>
      </c>
      <c r="C879" t="e">
        <f>VLOOKUP(bron[[#This Row],[personeelsnr]],'data hastus'!$A:$C,2,0)</f>
        <v>#N/A</v>
      </c>
      <c r="D879" t="e">
        <f>VLOOKUP(bron[[#This Row],[personeelsnr]],'data hastus'!$A:$C,3,0)</f>
        <v>#N/A</v>
      </c>
      <c r="E879" s="2" t="e">
        <f>VLOOKUP(bron[[#This Row],[personeelsnr]],'data hastus'!A:K,11,FALSE)</f>
        <v>#N/A</v>
      </c>
      <c r="G879" s="40"/>
      <c r="H879" s="40"/>
      <c r="I879" s="40"/>
      <c r="S879" s="37">
        <f>SUM(bron[[#This Row],[Januari]:[December]])</f>
        <v>0</v>
      </c>
      <c r="V879" s="38"/>
      <c r="W879" s="38"/>
    </row>
    <row r="880" spans="1:27" x14ac:dyDescent="0.3">
      <c r="B880" t="e">
        <f>_xlfn.CONCAT(bron[[#This Row],[personeelsnr]]," ",bron[[#This Row],[achternaam]]," ",bron[[#This Row],[voornaam]])</f>
        <v>#N/A</v>
      </c>
      <c r="C880" t="e">
        <f>VLOOKUP(bron[[#This Row],[personeelsnr]],'data hastus'!$A:$C,2,0)</f>
        <v>#N/A</v>
      </c>
      <c r="D880" t="e">
        <f>VLOOKUP(bron[[#This Row],[personeelsnr]],'data hastus'!$A:$C,3,0)</f>
        <v>#N/A</v>
      </c>
      <c r="E880" s="2" t="e">
        <f>VLOOKUP(bron[[#This Row],[personeelsnr]],'data hastus'!A:K,11,FALSE)</f>
        <v>#N/A</v>
      </c>
      <c r="G880" s="40"/>
      <c r="H880" s="40"/>
      <c r="I880" s="40"/>
      <c r="S880" s="37">
        <f>SUM(bron[[#This Row],[Januari]:[December]])</f>
        <v>0</v>
      </c>
      <c r="V880" s="38"/>
      <c r="W880" s="38"/>
    </row>
    <row r="881" spans="2:23" x14ac:dyDescent="0.3">
      <c r="B881" t="e">
        <f>_xlfn.CONCAT(bron[[#This Row],[personeelsnr]]," ",bron[[#This Row],[achternaam]]," ",bron[[#This Row],[voornaam]])</f>
        <v>#N/A</v>
      </c>
      <c r="C881" t="e">
        <f>VLOOKUP(bron[[#This Row],[personeelsnr]],'data hastus'!$A:$C,2,0)</f>
        <v>#N/A</v>
      </c>
      <c r="D881" t="e">
        <f>VLOOKUP(bron[[#This Row],[personeelsnr]],'data hastus'!$A:$C,3,0)</f>
        <v>#N/A</v>
      </c>
      <c r="E881" s="2" t="e">
        <f>VLOOKUP(bron[[#This Row],[personeelsnr]],'data hastus'!A:K,11,FALSE)</f>
        <v>#N/A</v>
      </c>
      <c r="G881" s="40"/>
      <c r="H881" s="40"/>
      <c r="I881" s="40"/>
      <c r="S881" s="37">
        <f>SUM(bron[[#This Row],[Januari]:[December]])</f>
        <v>0</v>
      </c>
      <c r="V881" s="38"/>
      <c r="W881" s="38"/>
    </row>
    <row r="882" spans="2:23" x14ac:dyDescent="0.3">
      <c r="B882" t="e">
        <f>_xlfn.CONCAT(bron[[#This Row],[personeelsnr]]," ",bron[[#This Row],[achternaam]]," ",bron[[#This Row],[voornaam]])</f>
        <v>#N/A</v>
      </c>
      <c r="C882" t="e">
        <f>VLOOKUP(bron[[#This Row],[personeelsnr]],'data hastus'!$A:$C,2,0)</f>
        <v>#N/A</v>
      </c>
      <c r="D882" t="e">
        <f>VLOOKUP(bron[[#This Row],[personeelsnr]],'data hastus'!$A:$C,3,0)</f>
        <v>#N/A</v>
      </c>
      <c r="E882" s="2" t="e">
        <f>VLOOKUP(bron[[#This Row],[personeelsnr]],'data hastus'!A:K,11,FALSE)</f>
        <v>#N/A</v>
      </c>
      <c r="G882" s="40"/>
      <c r="H882" s="40"/>
      <c r="I882" s="40"/>
      <c r="S882" s="37">
        <f>SUM(bron[[#This Row],[Januari]:[December]])</f>
        <v>0</v>
      </c>
      <c r="V882" s="38"/>
      <c r="W882" s="38"/>
    </row>
    <row r="883" spans="2:23" x14ac:dyDescent="0.3">
      <c r="B883" t="e">
        <f>_xlfn.CONCAT(bron[[#This Row],[personeelsnr]]," ",bron[[#This Row],[achternaam]]," ",bron[[#This Row],[voornaam]])</f>
        <v>#N/A</v>
      </c>
      <c r="C883" t="e">
        <f>VLOOKUP(bron[[#This Row],[personeelsnr]],'data hastus'!$A:$C,2,0)</f>
        <v>#N/A</v>
      </c>
      <c r="D883" t="e">
        <f>VLOOKUP(bron[[#This Row],[personeelsnr]],'data hastus'!$A:$C,3,0)</f>
        <v>#N/A</v>
      </c>
      <c r="E883" s="2" t="e">
        <f>VLOOKUP(bron[[#This Row],[personeelsnr]],'data hastus'!A:K,11,FALSE)</f>
        <v>#N/A</v>
      </c>
      <c r="G883" s="40"/>
      <c r="H883" s="40"/>
      <c r="I883" s="40"/>
      <c r="S883" s="37">
        <f>SUM(bron[[#This Row],[Januari]:[December]])</f>
        <v>0</v>
      </c>
      <c r="V883" s="38"/>
      <c r="W883" s="38"/>
    </row>
    <row r="884" spans="2:23" x14ac:dyDescent="0.3">
      <c r="B884" t="e">
        <f>_xlfn.CONCAT(bron[[#This Row],[personeelsnr]]," ",bron[[#This Row],[achternaam]]," ",bron[[#This Row],[voornaam]])</f>
        <v>#N/A</v>
      </c>
      <c r="C884" t="e">
        <f>VLOOKUP(bron[[#This Row],[personeelsnr]],'data hastus'!$A:$C,2,0)</f>
        <v>#N/A</v>
      </c>
      <c r="D884" t="e">
        <f>VLOOKUP(bron[[#This Row],[personeelsnr]],'data hastus'!$A:$C,3,0)</f>
        <v>#N/A</v>
      </c>
      <c r="E884" s="2" t="e">
        <f>VLOOKUP(bron[[#This Row],[personeelsnr]],'data hastus'!A:K,11,FALSE)</f>
        <v>#N/A</v>
      </c>
      <c r="G884" s="40"/>
      <c r="H884" s="40"/>
      <c r="I884" s="40"/>
      <c r="S884" s="37">
        <f>SUM(bron[[#This Row],[Januari]:[December]])</f>
        <v>0</v>
      </c>
      <c r="V884" s="38"/>
      <c r="W884" s="38"/>
    </row>
    <row r="885" spans="2:23" x14ac:dyDescent="0.3">
      <c r="B885" t="e">
        <f>_xlfn.CONCAT(bron[[#This Row],[personeelsnr]]," ",bron[[#This Row],[achternaam]]," ",bron[[#This Row],[voornaam]])</f>
        <v>#N/A</v>
      </c>
      <c r="C885" t="e">
        <f>VLOOKUP(bron[[#This Row],[personeelsnr]],'data hastus'!$A:$C,2,0)</f>
        <v>#N/A</v>
      </c>
      <c r="D885" t="e">
        <f>VLOOKUP(bron[[#This Row],[personeelsnr]],'data hastus'!$A:$C,3,0)</f>
        <v>#N/A</v>
      </c>
      <c r="E885" s="2" t="e">
        <f>VLOOKUP(bron[[#This Row],[personeelsnr]],'data hastus'!A:K,11,FALSE)</f>
        <v>#N/A</v>
      </c>
      <c r="G885" s="40"/>
      <c r="H885" s="40"/>
      <c r="I885" s="40"/>
      <c r="S885" s="37">
        <f>SUM(bron[[#This Row],[Januari]:[December]])</f>
        <v>0</v>
      </c>
      <c r="V885" s="38"/>
      <c r="W885" s="38"/>
    </row>
    <row r="886" spans="2:23" x14ac:dyDescent="0.3">
      <c r="B886" t="e">
        <f>_xlfn.CONCAT(bron[[#This Row],[personeelsnr]]," ",bron[[#This Row],[achternaam]]," ",bron[[#This Row],[voornaam]])</f>
        <v>#N/A</v>
      </c>
      <c r="C886" t="e">
        <f>VLOOKUP(bron[[#This Row],[personeelsnr]],'data hastus'!$A:$C,2,0)</f>
        <v>#N/A</v>
      </c>
      <c r="D886" t="e">
        <f>VLOOKUP(bron[[#This Row],[personeelsnr]],'data hastus'!$A:$C,3,0)</f>
        <v>#N/A</v>
      </c>
      <c r="E886" s="2" t="e">
        <f>VLOOKUP(bron[[#This Row],[personeelsnr]],'data hastus'!A:K,11,FALSE)</f>
        <v>#N/A</v>
      </c>
      <c r="G886" s="40"/>
      <c r="H886" s="40"/>
      <c r="I886" s="40"/>
      <c r="S886" s="37">
        <f>SUM(bron[[#This Row],[Januari]:[December]])</f>
        <v>0</v>
      </c>
      <c r="V886" s="38"/>
      <c r="W886" s="38"/>
    </row>
    <row r="887" spans="2:23" x14ac:dyDescent="0.3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s="2" t="e">
        <f>VLOOKUP(bron[[#This Row],[personeelsnr]],'data hastus'!A:K,11,FALSE)</f>
        <v>#N/A</v>
      </c>
      <c r="G887" s="40"/>
      <c r="H887" s="40"/>
      <c r="I887" s="40"/>
      <c r="S887" s="37">
        <f>SUM(bron[[#This Row],[Januari]:[December]])</f>
        <v>0</v>
      </c>
      <c r="V887" s="38"/>
      <c r="W887" s="38"/>
    </row>
    <row r="888" spans="2:23" x14ac:dyDescent="0.3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s="2" t="e">
        <f>VLOOKUP(bron[[#This Row],[personeelsnr]],'data hastus'!A:K,11,FALSE)</f>
        <v>#N/A</v>
      </c>
      <c r="G888" s="40"/>
      <c r="H888" s="40"/>
      <c r="I888" s="40"/>
      <c r="S888" s="37">
        <f>SUM(bron[[#This Row],[Januari]:[December]])</f>
        <v>0</v>
      </c>
      <c r="V888" s="38"/>
      <c r="W888" s="38"/>
    </row>
    <row r="889" spans="2:23" x14ac:dyDescent="0.3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s="2" t="e">
        <f>VLOOKUP(bron[[#This Row],[personeelsnr]],'data hastus'!A:K,11,FALSE)</f>
        <v>#N/A</v>
      </c>
      <c r="G889" s="40"/>
      <c r="H889" s="40"/>
      <c r="I889" s="40"/>
      <c r="S889" s="37">
        <f>SUM(bron[[#This Row],[Januari]:[December]])</f>
        <v>0</v>
      </c>
      <c r="V889" s="38"/>
      <c r="W889" s="38"/>
    </row>
    <row r="890" spans="2:23" x14ac:dyDescent="0.3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s="2" t="e">
        <f>VLOOKUP(bron[[#This Row],[personeelsnr]],'data hastus'!A:K,11,FALSE)</f>
        <v>#N/A</v>
      </c>
      <c r="G890" s="40"/>
      <c r="H890" s="40"/>
      <c r="I890" s="40"/>
      <c r="S890" s="37">
        <f>SUM(bron[[#This Row],[Januari]:[December]])</f>
        <v>0</v>
      </c>
      <c r="V890" s="38"/>
      <c r="W890" s="38"/>
    </row>
    <row r="891" spans="2:23" x14ac:dyDescent="0.3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s="2" t="e">
        <f>VLOOKUP(bron[[#This Row],[personeelsnr]],'data hastus'!A:K,11,FALSE)</f>
        <v>#N/A</v>
      </c>
      <c r="G891" s="40"/>
      <c r="H891" s="40"/>
      <c r="I891" s="40"/>
      <c r="S891" s="37">
        <f>SUM(bron[[#This Row],[Januari]:[December]])</f>
        <v>0</v>
      </c>
      <c r="V891" s="38"/>
      <c r="W891" s="38"/>
    </row>
    <row r="892" spans="2:23" x14ac:dyDescent="0.3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s="2" t="e">
        <f>VLOOKUP(bron[[#This Row],[personeelsnr]],'data hastus'!A:K,11,FALSE)</f>
        <v>#N/A</v>
      </c>
      <c r="G892" s="40"/>
      <c r="H892" s="40"/>
      <c r="I892" s="40"/>
      <c r="S892" s="37">
        <f>SUM(bron[[#This Row],[Januari]:[December]])</f>
        <v>0</v>
      </c>
      <c r="V892" s="38"/>
      <c r="W892" s="38"/>
    </row>
    <row r="893" spans="2:23" x14ac:dyDescent="0.3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s="2" t="e">
        <f>VLOOKUP(bron[[#This Row],[personeelsnr]],'data hastus'!A:K,11,FALSE)</f>
        <v>#N/A</v>
      </c>
      <c r="G893" s="40"/>
      <c r="H893" s="40"/>
      <c r="I893" s="40"/>
      <c r="S893" s="37">
        <f>SUM(bron[[#This Row],[Januari]:[December]])</f>
        <v>0</v>
      </c>
      <c r="V893" s="38"/>
      <c r="W893" s="38"/>
    </row>
    <row r="894" spans="2:23" x14ac:dyDescent="0.3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s="2" t="e">
        <f>VLOOKUP(bron[[#This Row],[personeelsnr]],'data hastus'!A:K,11,FALSE)</f>
        <v>#N/A</v>
      </c>
      <c r="G894" s="40"/>
      <c r="H894" s="40"/>
      <c r="I894" s="40"/>
      <c r="S894" s="37">
        <f>SUM(bron[[#This Row],[Januari]:[December]])</f>
        <v>0</v>
      </c>
      <c r="V894" s="38"/>
      <c r="W894" s="38"/>
    </row>
    <row r="895" spans="2:23" x14ac:dyDescent="0.3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40"/>
      <c r="H895" s="40"/>
      <c r="I895" s="40"/>
      <c r="S895" s="37">
        <f>SUM(bron[[#This Row],[Januari]:[December]])</f>
        <v>0</v>
      </c>
      <c r="V895" s="38"/>
      <c r="W895" s="38"/>
    </row>
    <row r="896" spans="2:23" x14ac:dyDescent="0.3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40"/>
      <c r="H896" s="40"/>
      <c r="I896" s="40"/>
      <c r="S896" s="37">
        <f>SUM(bron[[#This Row],[Januari]:[December]])</f>
        <v>0</v>
      </c>
      <c r="V896" s="38"/>
      <c r="W896" s="38"/>
    </row>
    <row r="897" spans="2:23" x14ac:dyDescent="0.3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40"/>
      <c r="H897" s="40"/>
      <c r="I897" s="40"/>
      <c r="S897" s="37">
        <f>SUM(bron[[#This Row],[Januari]:[December]])</f>
        <v>0</v>
      </c>
      <c r="V897" s="38"/>
      <c r="W897" s="38"/>
    </row>
    <row r="898" spans="2:23" x14ac:dyDescent="0.3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40"/>
      <c r="H898" s="40"/>
      <c r="I898" s="40"/>
      <c r="S898" s="37">
        <f>SUM(bron[[#This Row],[Januari]:[December]])</f>
        <v>0</v>
      </c>
      <c r="V898" s="38"/>
      <c r="W898" s="38"/>
    </row>
    <row r="899" spans="2:23" x14ac:dyDescent="0.3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40"/>
      <c r="H899" s="40"/>
      <c r="I899" s="40"/>
      <c r="S899" s="37">
        <f>SUM(bron[[#This Row],[Januari]:[December]])</f>
        <v>0</v>
      </c>
      <c r="V899" s="38"/>
      <c r="W899" s="38"/>
    </row>
    <row r="900" spans="2:23" x14ac:dyDescent="0.3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40"/>
      <c r="H900" s="40"/>
      <c r="I900" s="40"/>
      <c r="S900" s="37">
        <f>SUM(bron[[#This Row],[Januari]:[December]])</f>
        <v>0</v>
      </c>
      <c r="V900" s="38"/>
      <c r="W900" s="38"/>
    </row>
    <row r="901" spans="2:23" x14ac:dyDescent="0.3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40"/>
      <c r="H901" s="40"/>
      <c r="I901" s="40"/>
      <c r="S901" s="37">
        <f>SUM(bron[[#This Row],[Januari]:[December]])</f>
        <v>0</v>
      </c>
      <c r="V901" s="38"/>
      <c r="W901" s="38"/>
    </row>
    <row r="902" spans="2:23" x14ac:dyDescent="0.3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40"/>
      <c r="H902" s="40"/>
      <c r="I902" s="40"/>
      <c r="S902" s="37">
        <f>SUM(bron[[#This Row],[Januari]:[December]])</f>
        <v>0</v>
      </c>
      <c r="V902" s="38"/>
      <c r="W902" s="38"/>
    </row>
    <row r="903" spans="2:23" x14ac:dyDescent="0.3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40"/>
      <c r="H903" s="40"/>
      <c r="I903" s="40"/>
      <c r="S903" s="37">
        <f>SUM(bron[[#This Row],[Januari]:[December]])</f>
        <v>0</v>
      </c>
      <c r="V903" s="38"/>
      <c r="W903" s="38"/>
    </row>
    <row r="904" spans="2:23" x14ac:dyDescent="0.3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40"/>
      <c r="H904" s="40"/>
      <c r="I904" s="40"/>
      <c r="S904" s="37">
        <f>SUM(bron[[#This Row],[Januari]:[December]])</f>
        <v>0</v>
      </c>
      <c r="V904" s="38"/>
      <c r="W904" s="38"/>
    </row>
    <row r="905" spans="2:23" x14ac:dyDescent="0.3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40"/>
      <c r="H905" s="40"/>
      <c r="I905" s="40"/>
      <c r="S905" s="37">
        <f>SUM(bron[[#This Row],[Januari]:[December]])</f>
        <v>0</v>
      </c>
      <c r="V905" s="38"/>
      <c r="W905" s="38"/>
    </row>
    <row r="906" spans="2:23" x14ac:dyDescent="0.3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40"/>
      <c r="H906" s="40"/>
      <c r="I906" s="40"/>
      <c r="S906" s="37">
        <f>SUM(bron[[#This Row],[Januari]:[December]])</f>
        <v>0</v>
      </c>
      <c r="V906" s="38"/>
      <c r="W906" s="38"/>
    </row>
    <row r="907" spans="2:23" x14ac:dyDescent="0.3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40"/>
      <c r="H907" s="40"/>
      <c r="I907" s="40"/>
      <c r="S907" s="37">
        <f>SUM(bron[[#This Row],[Januari]:[December]])</f>
        <v>0</v>
      </c>
      <c r="V907" s="38"/>
      <c r="W907" s="38"/>
    </row>
    <row r="908" spans="2:23" x14ac:dyDescent="0.3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40"/>
      <c r="H908" s="40"/>
      <c r="I908" s="40"/>
      <c r="S908" s="37">
        <f>SUM(bron[[#This Row],[Januari]:[December]])</f>
        <v>0</v>
      </c>
      <c r="V908" s="38"/>
      <c r="W908" s="38"/>
    </row>
    <row r="909" spans="2:23" x14ac:dyDescent="0.3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40"/>
      <c r="H909" s="40"/>
      <c r="I909" s="40"/>
      <c r="S909" s="37">
        <f>SUM(bron[[#This Row],[Januari]:[December]])</f>
        <v>0</v>
      </c>
      <c r="V909" s="38"/>
      <c r="W909" s="38"/>
    </row>
    <row r="910" spans="2:23" x14ac:dyDescent="0.3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40"/>
      <c r="H910" s="40"/>
      <c r="I910" s="40"/>
      <c r="S910" s="37">
        <f>SUM(bron[[#This Row],[Januari]:[December]])</f>
        <v>0</v>
      </c>
      <c r="V910" s="38"/>
      <c r="W910" s="38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1342</v>
      </c>
      <c r="B1" t="s">
        <v>1343</v>
      </c>
      <c r="C1" t="s">
        <v>1344</v>
      </c>
    </row>
    <row r="2" spans="1:3" x14ac:dyDescent="0.3">
      <c r="A2">
        <v>29076</v>
      </c>
      <c r="B2" t="s">
        <v>1345</v>
      </c>
      <c r="C2" s="8" t="s">
        <v>1346</v>
      </c>
    </row>
    <row r="3" spans="1:3" x14ac:dyDescent="0.3">
      <c r="A3">
        <v>35348</v>
      </c>
      <c r="B3" t="s">
        <v>1347</v>
      </c>
      <c r="C3" s="8" t="s">
        <v>1348</v>
      </c>
    </row>
    <row r="4" spans="1:3" x14ac:dyDescent="0.3">
      <c r="A4">
        <v>10170</v>
      </c>
      <c r="B4" t="s">
        <v>1349</v>
      </c>
      <c r="C4" s="8" t="s">
        <v>1350</v>
      </c>
    </row>
    <row r="5" spans="1:3" x14ac:dyDescent="0.3">
      <c r="A5">
        <v>5579</v>
      </c>
      <c r="B5" t="s">
        <v>1351</v>
      </c>
      <c r="C5" s="8" t="s">
        <v>1352</v>
      </c>
    </row>
    <row r="6" spans="1:3" x14ac:dyDescent="0.3">
      <c r="A6">
        <v>4597</v>
      </c>
      <c r="B6" t="s">
        <v>1353</v>
      </c>
      <c r="C6" s="8" t="s">
        <v>1354</v>
      </c>
    </row>
    <row r="7" spans="1:3" x14ac:dyDescent="0.3">
      <c r="A7">
        <v>26268</v>
      </c>
      <c r="B7" t="s">
        <v>1355</v>
      </c>
      <c r="C7" s="8" t="s">
        <v>1356</v>
      </c>
    </row>
    <row r="8" spans="1:3" x14ac:dyDescent="0.3">
      <c r="A8">
        <v>23897</v>
      </c>
      <c r="B8" t="s">
        <v>1357</v>
      </c>
      <c r="C8" s="8" t="s">
        <v>1358</v>
      </c>
    </row>
    <row r="9" spans="1:3" x14ac:dyDescent="0.3">
      <c r="A9">
        <v>30456</v>
      </c>
      <c r="B9" t="s">
        <v>1359</v>
      </c>
      <c r="C9" s="8" t="s">
        <v>1360</v>
      </c>
    </row>
    <row r="10" spans="1:3" x14ac:dyDescent="0.3">
      <c r="A10">
        <v>7839</v>
      </c>
      <c r="B10" t="s">
        <v>1351</v>
      </c>
      <c r="C10" s="8" t="s">
        <v>1361</v>
      </c>
    </row>
    <row r="11" spans="1:3" x14ac:dyDescent="0.3">
      <c r="A11">
        <v>28740</v>
      </c>
      <c r="B11" t="s">
        <v>1362</v>
      </c>
      <c r="C11" s="8" t="s">
        <v>1363</v>
      </c>
    </row>
    <row r="12" spans="1:3" x14ac:dyDescent="0.3">
      <c r="A12">
        <v>32219</v>
      </c>
      <c r="B12" t="s">
        <v>1364</v>
      </c>
      <c r="C12" s="8" t="s">
        <v>1365</v>
      </c>
    </row>
    <row r="13" spans="1:3" x14ac:dyDescent="0.3">
      <c r="A13">
        <v>33531</v>
      </c>
      <c r="B13" t="s">
        <v>1366</v>
      </c>
      <c r="C13" s="8" t="s">
        <v>1367</v>
      </c>
    </row>
    <row r="14" spans="1:3" x14ac:dyDescent="0.3">
      <c r="A14">
        <v>10072</v>
      </c>
      <c r="B14" t="s">
        <v>1368</v>
      </c>
      <c r="C14" s="8" t="s">
        <v>1369</v>
      </c>
    </row>
    <row r="15" spans="1:3" x14ac:dyDescent="0.3">
      <c r="A15">
        <v>33429</v>
      </c>
      <c r="B15" t="s">
        <v>1370</v>
      </c>
      <c r="C15" s="8" t="s">
        <v>1371</v>
      </c>
    </row>
    <row r="16" spans="1:3" x14ac:dyDescent="0.3">
      <c r="A16">
        <v>15673</v>
      </c>
      <c r="B16" t="s">
        <v>1372</v>
      </c>
      <c r="C16" s="8" t="s">
        <v>1373</v>
      </c>
    </row>
    <row r="17" spans="1:3" x14ac:dyDescent="0.3">
      <c r="A17">
        <v>6046</v>
      </c>
      <c r="B17" t="s">
        <v>3516</v>
      </c>
      <c r="C17" s="8" t="s">
        <v>3517</v>
      </c>
    </row>
    <row r="18" spans="1:3" x14ac:dyDescent="0.3">
      <c r="A18">
        <v>4691</v>
      </c>
      <c r="B18" t="s">
        <v>1474</v>
      </c>
      <c r="C18" s="8" t="s">
        <v>3518</v>
      </c>
    </row>
    <row r="19" spans="1:3" x14ac:dyDescent="0.3">
      <c r="A19">
        <v>22812</v>
      </c>
      <c r="B19" t="s">
        <v>1572</v>
      </c>
      <c r="C19" s="8" t="s">
        <v>3519</v>
      </c>
    </row>
    <row r="20" spans="1:3" x14ac:dyDescent="0.3">
      <c r="A20">
        <v>25875</v>
      </c>
      <c r="B20" t="s">
        <v>3520</v>
      </c>
      <c r="C20" s="8" t="s">
        <v>3521</v>
      </c>
    </row>
    <row r="21" spans="1:3" x14ac:dyDescent="0.3">
      <c r="A21">
        <v>10905</v>
      </c>
      <c r="B21" t="s">
        <v>3522</v>
      </c>
      <c r="C21" s="8" t="s">
        <v>3523</v>
      </c>
    </row>
    <row r="22" spans="1:3" x14ac:dyDescent="0.3">
      <c r="A22">
        <v>17552</v>
      </c>
      <c r="B22" t="s">
        <v>3524</v>
      </c>
      <c r="C22" s="8" t="s">
        <v>3525</v>
      </c>
    </row>
    <row r="23" spans="1:3" x14ac:dyDescent="0.3">
      <c r="A23">
        <v>29544</v>
      </c>
      <c r="B23" t="s">
        <v>3526</v>
      </c>
      <c r="C23" s="8" t="s">
        <v>3527</v>
      </c>
    </row>
    <row r="24" spans="1:3" x14ac:dyDescent="0.3">
      <c r="A24">
        <v>14537</v>
      </c>
      <c r="B24" t="s">
        <v>3369</v>
      </c>
      <c r="C24" s="8" t="s">
        <v>3528</v>
      </c>
    </row>
    <row r="25" spans="1:3" x14ac:dyDescent="0.3">
      <c r="A25">
        <v>16707</v>
      </c>
      <c r="B25" t="s">
        <v>1474</v>
      </c>
      <c r="C25" s="8" t="s">
        <v>3529</v>
      </c>
    </row>
    <row r="26" spans="1:3" x14ac:dyDescent="0.3">
      <c r="A26">
        <v>7848</v>
      </c>
      <c r="B26" t="s">
        <v>2524</v>
      </c>
      <c r="C26" s="8" t="s">
        <v>3530</v>
      </c>
    </row>
    <row r="27" spans="1:3" x14ac:dyDescent="0.3">
      <c r="A27">
        <v>32710</v>
      </c>
      <c r="B27" t="s">
        <v>3037</v>
      </c>
      <c r="C27" s="8" t="s">
        <v>3531</v>
      </c>
    </row>
    <row r="28" spans="1:3" x14ac:dyDescent="0.3">
      <c r="A28">
        <v>20541</v>
      </c>
      <c r="B28" t="s">
        <v>1834</v>
      </c>
      <c r="C28" s="8" t="s">
        <v>3532</v>
      </c>
    </row>
    <row r="29" spans="1:3" x14ac:dyDescent="0.3">
      <c r="A29">
        <v>26202</v>
      </c>
      <c r="B29" t="s">
        <v>3533</v>
      </c>
      <c r="C29" s="8" t="s">
        <v>3534</v>
      </c>
    </row>
    <row r="30" spans="1:3" x14ac:dyDescent="0.3">
      <c r="A30">
        <v>27081</v>
      </c>
      <c r="B30" t="s">
        <v>3535</v>
      </c>
      <c r="C30" s="8" t="s">
        <v>3536</v>
      </c>
    </row>
    <row r="31" spans="1:3" x14ac:dyDescent="0.3">
      <c r="A31">
        <v>24577</v>
      </c>
      <c r="B31" t="s">
        <v>3537</v>
      </c>
      <c r="C31" s="8" t="s">
        <v>3538</v>
      </c>
    </row>
    <row r="32" spans="1:3" x14ac:dyDescent="0.3">
      <c r="A32">
        <v>29909</v>
      </c>
      <c r="B32" t="s">
        <v>3539</v>
      </c>
      <c r="C32" s="8" t="s">
        <v>3540</v>
      </c>
    </row>
    <row r="33" spans="1:3" x14ac:dyDescent="0.3">
      <c r="A33">
        <v>31154</v>
      </c>
      <c r="B33" t="s">
        <v>3541</v>
      </c>
      <c r="C33" s="8" t="s">
        <v>3542</v>
      </c>
    </row>
    <row r="34" spans="1:3" x14ac:dyDescent="0.3">
      <c r="A34">
        <v>4707</v>
      </c>
      <c r="B34" t="s">
        <v>1951</v>
      </c>
      <c r="C34" s="8" t="s">
        <v>3543</v>
      </c>
    </row>
    <row r="35" spans="1:3" x14ac:dyDescent="0.3">
      <c r="A35">
        <v>8538</v>
      </c>
      <c r="B35" t="s">
        <v>1933</v>
      </c>
      <c r="C35" s="8" t="s">
        <v>3544</v>
      </c>
    </row>
    <row r="36" spans="1:3" x14ac:dyDescent="0.3">
      <c r="A36">
        <v>27105</v>
      </c>
      <c r="B36" t="s">
        <v>3545</v>
      </c>
      <c r="C36" s="8" t="s">
        <v>3546</v>
      </c>
    </row>
    <row r="37" spans="1:3" x14ac:dyDescent="0.3">
      <c r="A37">
        <v>4692</v>
      </c>
      <c r="B37" t="s">
        <v>3037</v>
      </c>
      <c r="C37" s="8" t="s">
        <v>3547</v>
      </c>
    </row>
    <row r="38" spans="1:3" x14ac:dyDescent="0.3">
      <c r="A38">
        <v>90649</v>
      </c>
      <c r="B38" t="s">
        <v>2603</v>
      </c>
      <c r="C38" s="8" t="s">
        <v>3566</v>
      </c>
    </row>
    <row r="39" spans="1:3" x14ac:dyDescent="0.3">
      <c r="A39">
        <v>23079</v>
      </c>
      <c r="B39" t="s">
        <v>3545</v>
      </c>
      <c r="C39" s="8" t="s">
        <v>3567</v>
      </c>
    </row>
    <row r="40" spans="1:3" x14ac:dyDescent="0.3">
      <c r="A40">
        <v>40152</v>
      </c>
      <c r="B40" t="s">
        <v>3623</v>
      </c>
      <c r="C40" s="8" t="s">
        <v>3624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3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3569</v>
      </c>
      <c r="C40" t="s">
        <v>3570</v>
      </c>
      <c r="D40" s="3">
        <v>38253</v>
      </c>
      <c r="E40" t="s">
        <v>1400</v>
      </c>
      <c r="G40" s="3">
        <v>45918</v>
      </c>
      <c r="H40" t="s">
        <v>3571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3572</v>
      </c>
      <c r="J41" t="s">
        <v>1857</v>
      </c>
      <c r="K41" t="s">
        <v>61</v>
      </c>
      <c r="L41" s="3">
        <v>1</v>
      </c>
      <c r="M41" s="3">
        <v>1</v>
      </c>
      <c r="N41" t="s">
        <v>3573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3574</v>
      </c>
      <c r="C42" t="s">
        <v>3575</v>
      </c>
      <c r="D42" s="3">
        <v>30518</v>
      </c>
      <c r="E42" t="s">
        <v>1400</v>
      </c>
      <c r="G42" s="3">
        <v>45918</v>
      </c>
      <c r="H42" t="s">
        <v>3576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3445</v>
      </c>
      <c r="C43" t="s">
        <v>3577</v>
      </c>
      <c r="D43" s="3">
        <v>36642</v>
      </c>
      <c r="E43" t="s">
        <v>1400</v>
      </c>
      <c r="G43" s="3">
        <v>45903</v>
      </c>
      <c r="H43" t="s">
        <v>3578</v>
      </c>
      <c r="J43" t="s">
        <v>1857</v>
      </c>
      <c r="K43" t="s">
        <v>61</v>
      </c>
      <c r="L43" s="3">
        <v>1</v>
      </c>
      <c r="M43" s="3">
        <v>1</v>
      </c>
      <c r="N43" t="s">
        <v>3579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3580</v>
      </c>
      <c r="C44" t="s">
        <v>3460</v>
      </c>
      <c r="D44" s="3">
        <v>37782</v>
      </c>
      <c r="E44" t="s">
        <v>1400</v>
      </c>
      <c r="G44" s="3">
        <v>45903</v>
      </c>
      <c r="H44" t="s">
        <v>3581</v>
      </c>
      <c r="J44" t="s">
        <v>1857</v>
      </c>
      <c r="K44" t="s">
        <v>61</v>
      </c>
      <c r="L44" s="3">
        <v>1</v>
      </c>
      <c r="M44" s="3">
        <v>1</v>
      </c>
      <c r="N44" t="s">
        <v>3582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3583</v>
      </c>
      <c r="C45" t="s">
        <v>1684</v>
      </c>
      <c r="D45" s="3">
        <v>24857</v>
      </c>
      <c r="E45" t="s">
        <v>1400</v>
      </c>
      <c r="G45" s="3">
        <v>45903</v>
      </c>
      <c r="H45" t="s">
        <v>3584</v>
      </c>
      <c r="J45" t="s">
        <v>1857</v>
      </c>
      <c r="K45" t="s">
        <v>64</v>
      </c>
      <c r="L45" s="3">
        <v>1</v>
      </c>
      <c r="M45" s="3">
        <v>1</v>
      </c>
      <c r="N45" t="s">
        <v>3585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2028</v>
      </c>
      <c r="C46" t="s">
        <v>3586</v>
      </c>
      <c r="D46" s="3">
        <v>37215</v>
      </c>
      <c r="E46" t="s">
        <v>1400</v>
      </c>
      <c r="G46" s="3">
        <v>45903</v>
      </c>
      <c r="H46" t="s">
        <v>3587</v>
      </c>
      <c r="J46" t="s">
        <v>1857</v>
      </c>
      <c r="K46" t="s">
        <v>70</v>
      </c>
      <c r="L46" s="3">
        <v>1</v>
      </c>
      <c r="M46" s="3">
        <v>1</v>
      </c>
      <c r="N46" t="s">
        <v>3588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3589</v>
      </c>
      <c r="C47" t="s">
        <v>3590</v>
      </c>
      <c r="D47" s="3">
        <v>36604</v>
      </c>
      <c r="E47" t="s">
        <v>1400</v>
      </c>
      <c r="G47" s="3">
        <v>45889</v>
      </c>
      <c r="H47" t="s">
        <v>3591</v>
      </c>
      <c r="J47" t="s">
        <v>1857</v>
      </c>
      <c r="K47" t="s">
        <v>64</v>
      </c>
      <c r="L47" s="3">
        <v>1</v>
      </c>
      <c r="M47" s="3">
        <v>1</v>
      </c>
      <c r="N47" t="s">
        <v>3592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3593</v>
      </c>
      <c r="C48" t="s">
        <v>3594</v>
      </c>
      <c r="D48" s="3">
        <v>37251</v>
      </c>
      <c r="E48" t="s">
        <v>1400</v>
      </c>
      <c r="G48" s="3">
        <v>45903</v>
      </c>
      <c r="H48" t="s">
        <v>3595</v>
      </c>
      <c r="J48" t="s">
        <v>1408</v>
      </c>
      <c r="K48" t="s">
        <v>55</v>
      </c>
      <c r="L48" s="3">
        <v>1</v>
      </c>
      <c r="M48" s="3">
        <v>1</v>
      </c>
      <c r="N48" t="s">
        <v>3596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3597</v>
      </c>
      <c r="C49" t="s">
        <v>3598</v>
      </c>
      <c r="D49" s="3">
        <v>33465</v>
      </c>
      <c r="E49" t="s">
        <v>1400</v>
      </c>
      <c r="G49" s="3">
        <v>45889</v>
      </c>
      <c r="H49" t="s">
        <v>3599</v>
      </c>
      <c r="J49" t="s">
        <v>1408</v>
      </c>
      <c r="K49" t="s">
        <v>70</v>
      </c>
      <c r="L49" s="3">
        <v>1</v>
      </c>
      <c r="M49" s="3">
        <v>1</v>
      </c>
      <c r="N49" t="s">
        <v>3600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3601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3602</v>
      </c>
      <c r="C53" t="s">
        <v>3603</v>
      </c>
      <c r="D53" s="3">
        <v>35367</v>
      </c>
      <c r="E53" t="s">
        <v>1400</v>
      </c>
      <c r="G53" s="3">
        <v>45889</v>
      </c>
      <c r="H53" t="s">
        <v>3604</v>
      </c>
      <c r="J53" t="s">
        <v>1408</v>
      </c>
      <c r="K53" t="s">
        <v>58</v>
      </c>
      <c r="L53" s="3">
        <v>1</v>
      </c>
      <c r="M53" s="3">
        <v>1</v>
      </c>
      <c r="N53" t="s">
        <v>3605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3606</v>
      </c>
      <c r="C54" t="s">
        <v>3607</v>
      </c>
      <c r="D54" s="3">
        <v>32154</v>
      </c>
      <c r="E54" t="s">
        <v>1400</v>
      </c>
      <c r="G54" s="3">
        <v>45889</v>
      </c>
      <c r="H54" t="s">
        <v>3608</v>
      </c>
      <c r="J54" t="s">
        <v>1408</v>
      </c>
      <c r="K54" t="s">
        <v>55</v>
      </c>
      <c r="L54" s="3">
        <v>1</v>
      </c>
      <c r="M54" s="3">
        <v>1</v>
      </c>
      <c r="N54" t="s">
        <v>3609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3610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3611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3612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3613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3614</v>
      </c>
      <c r="J151" t="s">
        <v>1857</v>
      </c>
      <c r="K151" t="s">
        <v>55</v>
      </c>
      <c r="L151" s="3">
        <v>47302</v>
      </c>
      <c r="M151" s="3">
        <v>47100</v>
      </c>
      <c r="N151" t="s">
        <v>3615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3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3616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3617</v>
      </c>
      <c r="C270" t="s">
        <v>3618</v>
      </c>
      <c r="D270" s="3">
        <v>36246</v>
      </c>
      <c r="E270" t="s">
        <v>1400</v>
      </c>
      <c r="G270" s="3">
        <v>44312</v>
      </c>
      <c r="H270" t="s">
        <v>3619</v>
      </c>
      <c r="J270" t="s">
        <v>1408</v>
      </c>
      <c r="K270" t="s">
        <v>58</v>
      </c>
      <c r="L270" s="3">
        <v>46152</v>
      </c>
      <c r="M270" s="3">
        <v>46090</v>
      </c>
      <c r="N270" t="s">
        <v>3620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3621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2025-09-26T15:03:25Z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