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0" documentId="13_ncr:1_{10FCACA5-8197-478D-90D3-5F83063FB753}" xr6:coauthVersionLast="47" xr6:coauthVersionMax="47" xr10:uidLastSave="{E4A8057F-E311-4128-A07E-B2C34B0FCB2E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<sst xmlns="http://schemas.openxmlformats.org/spreadsheetml/2006/main" count="8855" uniqueCount="3796">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</sst>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71" sqref="A97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U968" s="5" t="s">
        <v>3793</v>
      </c>
      <c r="V968" s="37"/>
      <c r="W968" s="37"/>
      <c r="X968" t="s">
        <v>3513</v>
      </c>
      <c r="Y968" t="s">
        <v>117</v>
      </c>
      <c r="Z968" s="2">
        <v>5045</v>
      </c>
      <c r="AA968" s="43" t="s">
        <v>3558</v>
      </c>
    </row>
    <row r="969" spans="1:27" x14ac:dyDescent="0.25">
      <c r="A969">
        <v>29746</v>
      </c>
      <c r="B969" t="str">
        <f>_xlfn.CONCAT(bron[[#This Row],[personeelsnr]]," ",bron[[#This Row],[achternaam]]," ",bron[[#This Row],[voornaam]])</f>
        <v>29746 Huyse Annicke</v>
      </c>
      <c r="C969" t="str">
        <f>VLOOKUP(bron[[#This Row],[personeelsnr]],'data hastus'!$A:$C,2,0)</f>
        <v>Huyse</v>
      </c>
      <c r="D969" t="str">
        <f>VLOOKUP(bron[[#This Row],[personeelsnr]],'data hastus'!$A:$C,3,0)</f>
        <v>Annicke</v>
      </c>
      <c r="E969" s="2" t="str">
        <f>VLOOKUP(bron[[#This Row],[personeelsnr]],'data hastus'!A:K,11,FALSE)</f>
        <v>Bart Van Der Beken</v>
      </c>
      <c r="F969" s="10"/>
      <c r="G969" s="39"/>
      <c r="H969" s="39"/>
      <c r="I969" s="39"/>
      <c r="S969" s="44">
        <f>SUM(bron[[#This Row],[Januari]:[December]])</f>
        <v>0</v>
      </c>
      <c r="T969" s="41">
        <v>45971</v>
      </c>
      <c r="U969" s="5" t="s">
        <v>3794</v>
      </c>
      <c r="V969" s="37"/>
      <c r="W969" s="37"/>
      <c r="X969" t="s">
        <v>3548</v>
      </c>
      <c r="Y969" t="s">
        <v>40</v>
      </c>
      <c r="Z969" s="2">
        <v>6358</v>
      </c>
      <c r="AA969" s="43" t="s">
        <v>3559</v>
      </c>
    </row>
    <row r="970" spans="1:27" x14ac:dyDescent="0.25">
      <c r="A970">
        <v>40403</v>
      </c>
      <c r="B970" t="str">
        <f>_xlfn.CONCAT(bron[[#This Row],[personeelsnr]]," ",bron[[#This Row],[achternaam]]," ",bron[[#This Row],[voornaam]])</f>
        <v>40403 Prové Michaël</v>
      </c>
      <c r="C970" t="str">
        <f>VLOOKUP(bron[[#This Row],[personeelsnr]],'data hastus'!$A:$C,2,0)</f>
        <v>Prové</v>
      </c>
      <c r="D970" t="str">
        <f>VLOOKUP(bron[[#This Row],[personeelsnr]],'data hastus'!$A:$C,3,0)</f>
        <v>Michaël</v>
      </c>
      <c r="E970" s="2" t="str">
        <f>VLOOKUP(bron[[#This Row],[personeelsnr]],'data hastus'!A:K,11,FALSE)</f>
        <v>Dominique De Clercq</v>
      </c>
      <c r="F970" s="10"/>
      <c r="G970" s="39"/>
      <c r="H970" s="39"/>
      <c r="I970" s="39"/>
      <c r="S970" s="44">
        <f>SUM(bron[[#This Row],[Januari]:[December]])</f>
        <v>0</v>
      </c>
      <c r="T970" s="41">
        <v>45974</v>
      </c>
      <c r="U970" s="5" t="s">
        <v>3795</v>
      </c>
      <c r="V970" s="37"/>
      <c r="W970" s="37"/>
      <c r="X970" t="s">
        <v>3513</v>
      </c>
      <c r="Y970" t="s">
        <v>106</v>
      </c>
      <c r="Z970" s="2">
        <v>5233</v>
      </c>
      <c r="AA970" s="43" t="s">
        <v>3558</v>
      </c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2025-11-14T08:34:41Z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