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82" documentId="8_{E6BCF386-B104-424C-B4A8-F32964540273}" xr6:coauthVersionLast="47" xr6:coauthVersionMax="47" xr10:uidLastSave="{C857F52F-1E29-4A59-987B-F293592E481D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1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3" i="1" l="1"/>
  <c r="B823" i="1" s="1"/>
  <c r="D823" i="1"/>
  <c r="E823" i="1"/>
  <c r="S823" i="1"/>
  <c r="C822" i="1" l="1"/>
  <c r="B822" i="1" s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B812" i="1" s="1"/>
  <c r="D812" i="1"/>
  <c r="E812" i="1"/>
  <c r="C784" i="1"/>
  <c r="D784" i="1"/>
  <c r="E784" i="1"/>
  <c r="S784" i="1"/>
  <c r="B784" i="1" l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B785" i="1" s="1"/>
  <c r="D785" i="1"/>
  <c r="E785" i="1"/>
  <c r="S785" i="1"/>
  <c r="C2" i="12"/>
  <c r="C3" i="12"/>
  <c r="C679" i="1"/>
  <c r="D679" i="1"/>
  <c r="E679" i="1"/>
  <c r="S679" i="1"/>
  <c r="B679" i="1" l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B821" i="1" s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B819" i="1" s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B818" i="1" s="1"/>
  <c r="D818" i="1"/>
  <c r="E818" i="1"/>
  <c r="C817" i="1"/>
  <c r="D817" i="1"/>
  <c r="E817" i="1"/>
  <c r="S817" i="1"/>
  <c r="C773" i="1"/>
  <c r="D773" i="1"/>
  <c r="E773" i="1"/>
  <c r="S773" i="1"/>
  <c r="B817" i="1" l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B765" i="1" s="1"/>
  <c r="D765" i="1"/>
  <c r="E765" i="1"/>
  <c r="S765" i="1"/>
  <c r="C816" i="1" l="1"/>
  <c r="D816" i="1"/>
  <c r="E816" i="1"/>
  <c r="S816" i="1"/>
  <c r="C770" i="1"/>
  <c r="D770" i="1"/>
  <c r="E770" i="1"/>
  <c r="S770" i="1"/>
  <c r="B816" i="1" l="1"/>
  <c r="B770" i="1"/>
  <c r="C815" i="1"/>
  <c r="B815" i="1" s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4" i="1" l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B494" i="1" s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198" i="1" l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B552" i="1" s="1"/>
  <c r="D552" i="1"/>
  <c r="E552" i="1"/>
  <c r="C796" i="1"/>
  <c r="D796" i="1"/>
  <c r="E796" i="1"/>
  <c r="B796" i="1" l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B531" i="1" s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B612" i="1" s="1"/>
  <c r="D612" i="1"/>
  <c r="C535" i="1"/>
  <c r="D535" i="1"/>
  <c r="C600" i="1"/>
  <c r="D600" i="1"/>
  <c r="C597" i="1"/>
  <c r="D597" i="1"/>
  <c r="C579" i="1"/>
  <c r="B579" i="1" s="1"/>
  <c r="D579" i="1"/>
  <c r="C582" i="1"/>
  <c r="D582" i="1"/>
  <c r="C581" i="1"/>
  <c r="D581" i="1"/>
  <c r="C585" i="1"/>
  <c r="D585" i="1"/>
  <c r="C577" i="1"/>
  <c r="B577" i="1" s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B524" i="1" s="1"/>
  <c r="C645" i="1"/>
  <c r="C622" i="1"/>
  <c r="C685" i="1"/>
  <c r="B685" i="1" s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B811" i="1" s="1"/>
  <c r="C576" i="1"/>
  <c r="C638" i="1"/>
  <c r="C795" i="1"/>
  <c r="B795" i="1" s="1"/>
  <c r="C522" i="1"/>
  <c r="B522" i="1" s="1"/>
  <c r="C610" i="1"/>
  <c r="C526" i="1"/>
  <c r="B526" i="1" s="1"/>
  <c r="C789" i="1"/>
  <c r="C602" i="1"/>
  <c r="B602" i="1" s="1"/>
  <c r="C573" i="1"/>
  <c r="C558" i="1"/>
  <c r="C519" i="1"/>
  <c r="B519" i="1" s="1"/>
  <c r="C590" i="1"/>
  <c r="B590" i="1" s="1"/>
  <c r="C516" i="1"/>
  <c r="C798" i="1"/>
  <c r="B798" i="1" s="1"/>
  <c r="C653" i="1"/>
  <c r="C639" i="1"/>
  <c r="B639" i="1" s="1"/>
  <c r="C544" i="1"/>
  <c r="C586" i="1"/>
  <c r="C801" i="1"/>
  <c r="B801" i="1" s="1"/>
  <c r="C546" i="1"/>
  <c r="B546" i="1" s="1"/>
  <c r="C807" i="1"/>
  <c r="C636" i="1"/>
  <c r="B636" i="1" s="1"/>
  <c r="C790" i="1"/>
  <c r="C664" i="1"/>
  <c r="B664" i="1" s="1"/>
  <c r="C589" i="1"/>
  <c r="C611" i="1"/>
  <c r="C682" i="1"/>
  <c r="B682" i="1" s="1"/>
  <c r="C687" i="1"/>
  <c r="B687" i="1" s="1"/>
  <c r="C631" i="1"/>
  <c r="C649" i="1"/>
  <c r="B649" i="1" s="1"/>
  <c r="C656" i="1"/>
  <c r="C605" i="1"/>
  <c r="B605" i="1" s="1"/>
  <c r="C529" i="1"/>
  <c r="C647" i="1"/>
  <c r="C595" i="1"/>
  <c r="B595" i="1" s="1"/>
  <c r="C802" i="1"/>
  <c r="B802" i="1" s="1"/>
  <c r="C628" i="1"/>
  <c r="C574" i="1"/>
  <c r="B574" i="1" s="1"/>
  <c r="C559" i="1"/>
  <c r="C808" i="1"/>
  <c r="B808" i="1" s="1"/>
  <c r="C551" i="1"/>
  <c r="C545" i="1"/>
  <c r="C787" i="1"/>
  <c r="B787" i="1" s="1"/>
  <c r="C594" i="1"/>
  <c r="B594" i="1" s="1"/>
  <c r="C655" i="1"/>
  <c r="C629" i="1"/>
  <c r="B629" i="1" s="1"/>
  <c r="C567" i="1"/>
  <c r="C568" i="1"/>
  <c r="B568" i="1" s="1"/>
  <c r="C674" i="1"/>
  <c r="C569" i="1"/>
  <c r="C547" i="1"/>
  <c r="B547" i="1" s="1"/>
  <c r="C619" i="1"/>
  <c r="B619" i="1" s="1"/>
  <c r="C604" i="1"/>
  <c r="C803" i="1"/>
  <c r="B803" i="1" s="1"/>
  <c r="C644" i="1"/>
  <c r="C670" i="1"/>
  <c r="B670" i="1" s="1"/>
  <c r="C689" i="1"/>
  <c r="C606" i="1"/>
  <c r="C635" i="1"/>
  <c r="B635" i="1" s="1"/>
  <c r="C613" i="1"/>
  <c r="B613" i="1" s="1"/>
  <c r="C654" i="1"/>
  <c r="C561" i="1"/>
  <c r="B561" i="1" s="1"/>
  <c r="C540" i="1"/>
  <c r="C634" i="1"/>
  <c r="B634" i="1" s="1"/>
  <c r="C570" i="1"/>
  <c r="C686" i="1"/>
  <c r="C627" i="1"/>
  <c r="B627" i="1" s="1"/>
  <c r="C596" i="1"/>
  <c r="B596" i="1" s="1"/>
  <c r="C538" i="1"/>
  <c r="C580" i="1"/>
  <c r="B580" i="1" s="1"/>
  <c r="C661" i="1"/>
  <c r="C625" i="1"/>
  <c r="B625" i="1" s="1"/>
  <c r="C618" i="1"/>
  <c r="C549" i="1"/>
  <c r="C609" i="1"/>
  <c r="B609" i="1" s="1"/>
  <c r="C521" i="1"/>
  <c r="B521" i="1" s="1"/>
  <c r="C666" i="1"/>
  <c r="C793" i="1"/>
  <c r="B793" i="1" s="1"/>
  <c r="C652" i="1"/>
  <c r="C633" i="1"/>
  <c r="B633" i="1" s="1"/>
  <c r="D599" i="1"/>
  <c r="C599" i="1"/>
  <c r="B618" i="1" l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<sst xmlns="http://schemas.openxmlformats.org/spreadsheetml/2006/main" count="7251" uniqueCount="3470">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</sst>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6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9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19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3" totalsRowShown="0" headerRowDxfId="10">
  <autoFilter ref="A1:Y823" xr:uid="{2FDE3AF6-1CE1-4F38-BD72-1F03CD30F4FC}"/>
  <sortState xmlns:xlrd2="http://schemas.microsoft.com/office/spreadsheetml/2017/richdata2" ref="A2:Y821">
    <sortCondition ref="T1:T821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3294</v>
      </c>
      <c r="D13" s="35">
        <v>6</v>
      </c>
      <c r="F13" s="2" t="s">
        <v>19</v>
      </c>
      <c r="G13" s="35">
        <v>13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3295</v>
      </c>
      <c r="D14" s="35">
        <v>5</v>
      </c>
      <c r="F14" s="2" t="s">
        <v>18</v>
      </c>
      <c r="G14" s="35">
        <v>12</v>
      </c>
      <c r="I14" s="2" t="s">
        <v>2914</v>
      </c>
      <c r="J14" s="35">
        <v>29</v>
      </c>
      <c r="K14" s="35">
        <v>12</v>
      </c>
    </row>
    <row r="15" spans="3:19" x14ac:dyDescent="0.25">
      <c r="C15" s="2" t="s">
        <v>3297</v>
      </c>
      <c r="D15" s="35">
        <v>4</v>
      </c>
      <c r="F15" s="2" t="s">
        <v>29</v>
      </c>
      <c r="G15" s="35">
        <v>9</v>
      </c>
      <c r="I15" s="2" t="s">
        <v>2915</v>
      </c>
      <c r="J15" s="35">
        <v>37</v>
      </c>
      <c r="K15" s="35">
        <v>8</v>
      </c>
    </row>
    <row r="16" spans="3:19" x14ac:dyDescent="0.25">
      <c r="C16" s="2" t="s">
        <v>3298</v>
      </c>
      <c r="D16" s="35">
        <v>4</v>
      </c>
      <c r="F16" s="2" t="s">
        <v>21</v>
      </c>
      <c r="G16" s="35">
        <v>9</v>
      </c>
      <c r="I16" s="2" t="s">
        <v>2916</v>
      </c>
      <c r="J16" s="35">
        <v>33</v>
      </c>
      <c r="K16" s="35">
        <v>4</v>
      </c>
    </row>
    <row r="17" spans="2:11" x14ac:dyDescent="0.25">
      <c r="C17" s="2" t="s">
        <v>3296</v>
      </c>
      <c r="D17" s="35">
        <v>4</v>
      </c>
      <c r="F17" s="2" t="s">
        <v>28</v>
      </c>
      <c r="G17" s="35">
        <v>7</v>
      </c>
      <c r="I17" s="2" t="s">
        <v>63</v>
      </c>
      <c r="J17" s="35">
        <v>27</v>
      </c>
      <c r="K17" s="35">
        <v>12</v>
      </c>
    </row>
    <row r="18" spans="2:11" x14ac:dyDescent="0.25">
      <c r="C18" s="2" t="s">
        <v>3300</v>
      </c>
      <c r="D18" s="35">
        <v>3</v>
      </c>
      <c r="F18" s="2" t="s">
        <v>41</v>
      </c>
      <c r="G18" s="35">
        <v>6</v>
      </c>
      <c r="I18" s="2" t="s">
        <v>65</v>
      </c>
      <c r="J18" s="35">
        <v>20</v>
      </c>
      <c r="K18" s="35">
        <v>7</v>
      </c>
    </row>
    <row r="19" spans="2:11" x14ac:dyDescent="0.25">
      <c r="C19" s="2" t="s">
        <v>9</v>
      </c>
      <c r="D19" s="35">
        <v>3</v>
      </c>
      <c r="F19" s="2" t="s">
        <v>30</v>
      </c>
      <c r="G19" s="35">
        <v>6</v>
      </c>
      <c r="I19" s="2" t="s">
        <v>67</v>
      </c>
      <c r="J19" s="35">
        <v>25</v>
      </c>
      <c r="K19" s="35">
        <v>7</v>
      </c>
    </row>
    <row r="20" spans="2:11" x14ac:dyDescent="0.25">
      <c r="C20" s="2" t="s">
        <v>3301</v>
      </c>
      <c r="D20" s="35">
        <v>3</v>
      </c>
      <c r="F20" s="2" t="s">
        <v>26</v>
      </c>
      <c r="G20" s="35">
        <v>6</v>
      </c>
      <c r="I20" s="2" t="s">
        <v>69</v>
      </c>
      <c r="J20" s="35">
        <v>29</v>
      </c>
      <c r="K20" s="35">
        <v>8</v>
      </c>
    </row>
    <row r="21" spans="2:11" x14ac:dyDescent="0.25">
      <c r="C21" s="2" t="s">
        <v>3302</v>
      </c>
      <c r="D21" s="35">
        <v>3</v>
      </c>
      <c r="F21" s="2" t="s">
        <v>24</v>
      </c>
      <c r="G21" s="35">
        <v>6</v>
      </c>
      <c r="I21" s="2" t="s">
        <v>71</v>
      </c>
      <c r="J21" s="35"/>
      <c r="K21" s="35"/>
    </row>
    <row r="22" spans="2:11" x14ac:dyDescent="0.25">
      <c r="C22" s="2" t="s">
        <v>3299</v>
      </c>
      <c r="D22" s="35">
        <v>3</v>
      </c>
      <c r="F22" s="2" t="s">
        <v>25</v>
      </c>
      <c r="G22" s="35">
        <v>6</v>
      </c>
      <c r="I22" s="2" t="s">
        <v>73</v>
      </c>
      <c r="J22" s="35"/>
      <c r="K22" s="35"/>
    </row>
    <row r="23" spans="2:11" x14ac:dyDescent="0.25">
      <c r="C23" s="2" t="s">
        <v>3303</v>
      </c>
      <c r="D23" s="35">
        <v>3</v>
      </c>
      <c r="F23" s="2" t="s">
        <v>61</v>
      </c>
      <c r="G23" s="35">
        <v>5</v>
      </c>
      <c r="I23" s="2" t="s">
        <v>75</v>
      </c>
      <c r="J23" s="35"/>
      <c r="K23" s="35"/>
    </row>
    <row r="24" spans="2:11" x14ac:dyDescent="0.25">
      <c r="C24" s="2" t="s">
        <v>3337</v>
      </c>
      <c r="D24" s="35">
        <v>3</v>
      </c>
      <c r="F24" s="2" t="s">
        <v>45</v>
      </c>
      <c r="G24" s="35">
        <v>5</v>
      </c>
      <c r="I24" s="2" t="s">
        <v>77</v>
      </c>
      <c r="J24" s="35"/>
      <c r="K24" s="35"/>
    </row>
    <row r="25" spans="2:11" x14ac:dyDescent="0.25">
      <c r="C25" s="2" t="s">
        <v>3304</v>
      </c>
      <c r="D25" s="35">
        <v>3</v>
      </c>
      <c r="F25" s="2" t="s">
        <v>52</v>
      </c>
      <c r="G25" s="35">
        <v>5</v>
      </c>
      <c r="I25" s="2" t="s">
        <v>79</v>
      </c>
      <c r="J25" s="35"/>
      <c r="K25" s="35"/>
    </row>
    <row r="26" spans="2:11" x14ac:dyDescent="0.25">
      <c r="C26" s="2" t="s">
        <v>3305</v>
      </c>
      <c r="D26" s="35">
        <v>3</v>
      </c>
      <c r="F26" s="2" t="s">
        <v>20</v>
      </c>
      <c r="G26" s="35">
        <v>5</v>
      </c>
    </row>
    <row r="27" spans="2:11" x14ac:dyDescent="0.25">
      <c r="C27" s="2" t="s">
        <v>3312</v>
      </c>
      <c r="D27" s="35">
        <v>2</v>
      </c>
      <c r="F27" s="2" t="s">
        <v>53</v>
      </c>
      <c r="G27" s="35">
        <v>4</v>
      </c>
      <c r="I27" s="1" t="s">
        <v>2923</v>
      </c>
      <c r="J27" t="s">
        <v>17</v>
      </c>
    </row>
    <row r="28" spans="2:11" x14ac:dyDescent="0.25">
      <c r="C28" s="2" t="s">
        <v>3327</v>
      </c>
      <c r="D28" s="35">
        <v>2</v>
      </c>
      <c r="F28" s="2" t="s">
        <v>88</v>
      </c>
      <c r="G28" s="35">
        <v>3</v>
      </c>
      <c r="I28" s="2" t="s">
        <v>36</v>
      </c>
      <c r="J28" s="35">
        <v>48</v>
      </c>
    </row>
    <row r="29" spans="2:11" x14ac:dyDescent="0.25">
      <c r="C29" s="2" t="s">
        <v>3323</v>
      </c>
      <c r="D29" s="35">
        <v>2</v>
      </c>
      <c r="F29" s="2" t="s">
        <v>97</v>
      </c>
      <c r="G29" s="35">
        <v>3</v>
      </c>
      <c r="I29" s="2" t="s">
        <v>38</v>
      </c>
      <c r="J29" s="35">
        <v>41</v>
      </c>
    </row>
    <row r="30" spans="2:11" x14ac:dyDescent="0.25">
      <c r="C30" s="2" t="s">
        <v>3309</v>
      </c>
      <c r="D30" s="35">
        <v>2</v>
      </c>
      <c r="F30" s="2" t="s">
        <v>103</v>
      </c>
      <c r="G30" s="35">
        <v>3</v>
      </c>
      <c r="I30" s="2" t="s">
        <v>42</v>
      </c>
      <c r="J30" s="35">
        <v>37</v>
      </c>
    </row>
    <row r="31" spans="2:11" x14ac:dyDescent="0.25">
      <c r="B31" s="34">
        <f>AVERAGE(D13:D196)</f>
        <v>1.3858695652173914</v>
      </c>
      <c r="C31" s="2" t="s">
        <v>3331</v>
      </c>
      <c r="D31" s="35">
        <v>2</v>
      </c>
      <c r="F31" s="2" t="s">
        <v>70</v>
      </c>
      <c r="G31" s="35">
        <v>3</v>
      </c>
      <c r="I31" s="2" t="s">
        <v>40</v>
      </c>
      <c r="J31" s="35">
        <v>32</v>
      </c>
    </row>
    <row r="32" spans="2:11" x14ac:dyDescent="0.25">
      <c r="C32" s="2" t="s">
        <v>3311</v>
      </c>
      <c r="D32" s="35">
        <v>2</v>
      </c>
      <c r="F32" s="2" t="s">
        <v>43</v>
      </c>
      <c r="G32" s="35">
        <v>3</v>
      </c>
      <c r="I32" s="2" t="s">
        <v>46</v>
      </c>
      <c r="J32" s="35">
        <v>26</v>
      </c>
    </row>
    <row r="33" spans="3:15" x14ac:dyDescent="0.25">
      <c r="C33" s="2" t="s">
        <v>3352</v>
      </c>
      <c r="D33" s="35">
        <v>2</v>
      </c>
      <c r="F33" s="2" t="s">
        <v>95</v>
      </c>
      <c r="G33" s="35">
        <v>3</v>
      </c>
      <c r="I33" s="2" t="s">
        <v>50</v>
      </c>
      <c r="J33" s="35">
        <v>25</v>
      </c>
    </row>
    <row r="34" spans="3:15" x14ac:dyDescent="0.25">
      <c r="C34" s="2" t="s">
        <v>3313</v>
      </c>
      <c r="D34" s="35">
        <v>2</v>
      </c>
      <c r="F34" s="2" t="s">
        <v>93</v>
      </c>
      <c r="G34" s="35">
        <v>3</v>
      </c>
      <c r="I34" s="2" t="s">
        <v>44</v>
      </c>
      <c r="J34" s="35">
        <v>23</v>
      </c>
    </row>
    <row r="35" spans="3:15" x14ac:dyDescent="0.25">
      <c r="C35" s="2" t="s">
        <v>3325</v>
      </c>
      <c r="D35" s="35">
        <v>2</v>
      </c>
      <c r="F35" s="2" t="s">
        <v>140</v>
      </c>
      <c r="G35" s="35">
        <v>3</v>
      </c>
      <c r="I35" s="2" t="s">
        <v>48</v>
      </c>
      <c r="J35" s="35">
        <v>22</v>
      </c>
    </row>
    <row r="36" spans="3:15" x14ac:dyDescent="0.25">
      <c r="C36" s="2" t="s">
        <v>3315</v>
      </c>
      <c r="D36" s="35">
        <v>2</v>
      </c>
      <c r="F36" s="2" t="s">
        <v>27</v>
      </c>
      <c r="G36" s="35">
        <v>3</v>
      </c>
      <c r="I36" s="2" t="s">
        <v>810</v>
      </c>
      <c r="J36" s="35">
        <v>4</v>
      </c>
    </row>
    <row r="37" spans="3:15" x14ac:dyDescent="0.25">
      <c r="C37" s="2" t="s">
        <v>3329</v>
      </c>
      <c r="D37" s="35">
        <v>2</v>
      </c>
      <c r="F37" s="2" t="s">
        <v>34</v>
      </c>
      <c r="G37" s="35">
        <v>3</v>
      </c>
      <c r="I37" s="2" t="s">
        <v>2926</v>
      </c>
      <c r="J37" s="35">
        <v>3</v>
      </c>
    </row>
    <row r="38" spans="3:15" x14ac:dyDescent="0.25">
      <c r="C38" s="2" t="s">
        <v>3</v>
      </c>
      <c r="D38" s="35">
        <v>2</v>
      </c>
      <c r="F38" s="2" t="s">
        <v>222</v>
      </c>
      <c r="G38" s="35">
        <v>2</v>
      </c>
      <c r="I38" s="2" t="s">
        <v>16</v>
      </c>
      <c r="J38" s="35">
        <v>261</v>
      </c>
    </row>
    <row r="39" spans="3:15" x14ac:dyDescent="0.25">
      <c r="C39" s="2" t="s">
        <v>3306</v>
      </c>
      <c r="D39" s="35">
        <v>2</v>
      </c>
      <c r="F39" s="2" t="s">
        <v>111</v>
      </c>
      <c r="G39" s="35">
        <v>2</v>
      </c>
      <c r="I39"/>
      <c r="J39"/>
    </row>
    <row r="40" spans="3:15" x14ac:dyDescent="0.25">
      <c r="C40" s="2" t="s">
        <v>3318</v>
      </c>
      <c r="D40" s="35">
        <v>2</v>
      </c>
      <c r="F40" s="2" t="s">
        <v>22</v>
      </c>
      <c r="G40" s="35">
        <v>2</v>
      </c>
    </row>
    <row r="41" spans="3:15" x14ac:dyDescent="0.25">
      <c r="C41" s="2" t="s">
        <v>3334</v>
      </c>
      <c r="D41" s="35">
        <v>2</v>
      </c>
      <c r="F41" s="2" t="s">
        <v>105</v>
      </c>
      <c r="G41" s="35">
        <v>2</v>
      </c>
      <c r="I41" s="36" t="s">
        <v>2918</v>
      </c>
      <c r="J41" s="36"/>
      <c r="K41" s="36"/>
      <c r="L41" s="25"/>
      <c r="M41" s="36" t="s">
        <v>2917</v>
      </c>
      <c r="N41" s="36"/>
      <c r="O41" s="36"/>
    </row>
    <row r="42" spans="3:15" x14ac:dyDescent="0.25">
      <c r="C42" s="2" t="s">
        <v>3320</v>
      </c>
      <c r="D42" s="35">
        <v>2</v>
      </c>
      <c r="F42" s="2" t="s">
        <v>89</v>
      </c>
      <c r="G42" s="35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25">
      <c r="C43" s="2" t="s">
        <v>3314</v>
      </c>
      <c r="D43" s="35">
        <v>2</v>
      </c>
      <c r="F43" s="2" t="s">
        <v>64</v>
      </c>
      <c r="G43" s="35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7</v>
      </c>
      <c r="D44" s="35">
        <v>2</v>
      </c>
      <c r="F44" s="2" t="s">
        <v>108</v>
      </c>
      <c r="G44" s="35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2" t="s">
        <v>3307</v>
      </c>
      <c r="D45" s="35">
        <v>2</v>
      </c>
      <c r="F45" s="2" t="s">
        <v>114</v>
      </c>
      <c r="G45" s="3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3322</v>
      </c>
      <c r="D46" s="35">
        <v>2</v>
      </c>
      <c r="F46" s="2" t="s">
        <v>87</v>
      </c>
      <c r="G46" s="35">
        <v>2</v>
      </c>
      <c r="I46" s="13">
        <f>'[1]Ingeplande per TC'!$A$6</f>
        <v>6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2" t="s">
        <v>3316</v>
      </c>
      <c r="D47" s="35">
        <v>2</v>
      </c>
      <c r="F47" s="2" t="s">
        <v>62</v>
      </c>
      <c r="G47" s="35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3324</v>
      </c>
      <c r="D48" s="35">
        <v>2</v>
      </c>
      <c r="F48" s="2" t="s">
        <v>116</v>
      </c>
      <c r="G48" s="35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3310</v>
      </c>
      <c r="D49" s="35">
        <v>2</v>
      </c>
      <c r="F49" s="2" t="s">
        <v>142</v>
      </c>
      <c r="G49" s="35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19</v>
      </c>
      <c r="N49" s="13" t="str">
        <f>'[1]Ingeplande per TC'!$B$9</f>
        <v>Kenneth De Rick</v>
      </c>
      <c r="O49" s="13"/>
    </row>
    <row r="50" spans="3:15" x14ac:dyDescent="0.25">
      <c r="C50" s="2" t="s">
        <v>3326</v>
      </c>
      <c r="D50" s="35">
        <v>2</v>
      </c>
      <c r="F50" s="2" t="s">
        <v>178</v>
      </c>
      <c r="G50" s="35">
        <v>2</v>
      </c>
      <c r="I50" s="14">
        <f>SUM(I42:I49)</f>
        <v>58</v>
      </c>
      <c r="J50" s="14" t="s">
        <v>248</v>
      </c>
      <c r="K50" s="14"/>
      <c r="L50" s="25"/>
      <c r="M50" s="14">
        <f>SUM(M42:M49)</f>
        <v>153</v>
      </c>
      <c r="N50" s="14" t="s">
        <v>248</v>
      </c>
      <c r="O50" s="14"/>
    </row>
    <row r="51" spans="3:15" x14ac:dyDescent="0.25">
      <c r="C51" s="2" t="s">
        <v>3317</v>
      </c>
      <c r="D51" s="35">
        <v>2</v>
      </c>
      <c r="F51" s="2" t="s">
        <v>51</v>
      </c>
      <c r="G51" s="35">
        <v>2</v>
      </c>
    </row>
    <row r="52" spans="3:15" x14ac:dyDescent="0.25">
      <c r="C52" s="2" t="s">
        <v>3328</v>
      </c>
      <c r="D52" s="35">
        <v>2</v>
      </c>
      <c r="F52" s="2" t="s">
        <v>68</v>
      </c>
      <c r="G52" s="35">
        <v>2</v>
      </c>
    </row>
    <row r="53" spans="3:15" x14ac:dyDescent="0.25">
      <c r="C53" s="2" t="s">
        <v>3333</v>
      </c>
      <c r="D53" s="35">
        <v>2</v>
      </c>
      <c r="F53" s="2" t="s">
        <v>157</v>
      </c>
      <c r="G53" s="35">
        <v>2</v>
      </c>
    </row>
    <row r="54" spans="3:15" x14ac:dyDescent="0.25">
      <c r="C54" s="2" t="s">
        <v>3330</v>
      </c>
      <c r="D54" s="35">
        <v>2</v>
      </c>
      <c r="F54" s="2" t="s">
        <v>138</v>
      </c>
      <c r="G54" s="35">
        <v>2</v>
      </c>
    </row>
    <row r="55" spans="3:15" x14ac:dyDescent="0.25">
      <c r="C55" s="2" t="s">
        <v>3335</v>
      </c>
      <c r="D55" s="35">
        <v>2</v>
      </c>
      <c r="F55" s="2" t="s">
        <v>39</v>
      </c>
      <c r="G55" s="35">
        <v>2</v>
      </c>
    </row>
    <row r="56" spans="3:15" x14ac:dyDescent="0.25">
      <c r="C56" s="2" t="s">
        <v>3321</v>
      </c>
      <c r="D56" s="35">
        <v>2</v>
      </c>
      <c r="F56" s="2" t="s">
        <v>102</v>
      </c>
      <c r="G56" s="35">
        <v>2</v>
      </c>
    </row>
    <row r="57" spans="3:15" x14ac:dyDescent="0.25">
      <c r="C57" s="2" t="s">
        <v>3332</v>
      </c>
      <c r="D57" s="35">
        <v>2</v>
      </c>
      <c r="F57" s="2" t="s">
        <v>130</v>
      </c>
      <c r="G57" s="35">
        <v>2</v>
      </c>
    </row>
    <row r="58" spans="3:15" x14ac:dyDescent="0.25">
      <c r="C58" s="2" t="s">
        <v>3308</v>
      </c>
      <c r="D58" s="35">
        <v>2</v>
      </c>
      <c r="F58" s="2" t="s">
        <v>3293</v>
      </c>
      <c r="G58" s="35">
        <v>2</v>
      </c>
    </row>
    <row r="59" spans="3:15" x14ac:dyDescent="0.25">
      <c r="C59" s="2" t="s">
        <v>13</v>
      </c>
      <c r="D59" s="35">
        <v>2</v>
      </c>
      <c r="F59" s="2" t="s">
        <v>2896</v>
      </c>
      <c r="G59" s="35">
        <v>2</v>
      </c>
    </row>
    <row r="60" spans="3:15" x14ac:dyDescent="0.25">
      <c r="C60" s="2" t="s">
        <v>10</v>
      </c>
      <c r="D60" s="35">
        <v>2</v>
      </c>
      <c r="F60" s="2" t="s">
        <v>96</v>
      </c>
      <c r="G60" s="35">
        <v>2</v>
      </c>
    </row>
    <row r="61" spans="3:15" x14ac:dyDescent="0.25">
      <c r="C61" s="2" t="s">
        <v>3336</v>
      </c>
      <c r="D61" s="35">
        <v>2</v>
      </c>
      <c r="F61" s="2" t="s">
        <v>128</v>
      </c>
      <c r="G61" s="35">
        <v>1</v>
      </c>
    </row>
    <row r="62" spans="3:15" x14ac:dyDescent="0.25">
      <c r="C62" s="2" t="s">
        <v>3386</v>
      </c>
      <c r="D62" s="35">
        <v>1</v>
      </c>
      <c r="F62" s="2" t="s">
        <v>229</v>
      </c>
      <c r="G62" s="35">
        <v>1</v>
      </c>
    </row>
    <row r="63" spans="3:15" x14ac:dyDescent="0.25">
      <c r="C63" s="2" t="s">
        <v>3359</v>
      </c>
      <c r="D63" s="35">
        <v>1</v>
      </c>
      <c r="F63" s="2" t="s">
        <v>243</v>
      </c>
      <c r="G63" s="35">
        <v>1</v>
      </c>
    </row>
    <row r="64" spans="3:15" x14ac:dyDescent="0.25">
      <c r="C64" s="2" t="s">
        <v>3356</v>
      </c>
      <c r="D64" s="35">
        <v>1</v>
      </c>
      <c r="F64" s="2" t="s">
        <v>156</v>
      </c>
      <c r="G64" s="35">
        <v>1</v>
      </c>
    </row>
    <row r="65" spans="3:7" x14ac:dyDescent="0.25">
      <c r="C65" s="2" t="s">
        <v>3343</v>
      </c>
      <c r="D65" s="35">
        <v>1</v>
      </c>
      <c r="F65" s="2" t="s">
        <v>2907</v>
      </c>
      <c r="G65" s="35">
        <v>1</v>
      </c>
    </row>
    <row r="66" spans="3:7" x14ac:dyDescent="0.25">
      <c r="C66" s="2" t="s">
        <v>3441</v>
      </c>
      <c r="D66" s="35">
        <v>1</v>
      </c>
      <c r="F66" s="2" t="s">
        <v>35</v>
      </c>
      <c r="G66" s="35">
        <v>1</v>
      </c>
    </row>
    <row r="67" spans="3:7" x14ac:dyDescent="0.25">
      <c r="C67" s="2" t="s">
        <v>3345</v>
      </c>
      <c r="D67" s="35">
        <v>1</v>
      </c>
      <c r="F67" s="2" t="s">
        <v>197</v>
      </c>
      <c r="G67" s="35">
        <v>1</v>
      </c>
    </row>
    <row r="68" spans="3:7" x14ac:dyDescent="0.25">
      <c r="C68" s="2" t="s">
        <v>3402</v>
      </c>
      <c r="D68" s="35">
        <v>1</v>
      </c>
      <c r="F68" s="2" t="s">
        <v>170</v>
      </c>
      <c r="G68" s="35">
        <v>1</v>
      </c>
    </row>
    <row r="69" spans="3:7" x14ac:dyDescent="0.25">
      <c r="C69" s="2" t="s">
        <v>3347</v>
      </c>
      <c r="D69" s="35">
        <v>1</v>
      </c>
      <c r="F69" s="2" t="s">
        <v>215</v>
      </c>
      <c r="G69" s="35">
        <v>1</v>
      </c>
    </row>
    <row r="70" spans="3:7" x14ac:dyDescent="0.25">
      <c r="C70" s="2" t="s">
        <v>3357</v>
      </c>
      <c r="D70" s="35">
        <v>1</v>
      </c>
      <c r="F70" s="2" t="s">
        <v>2900</v>
      </c>
      <c r="G70" s="35">
        <v>1</v>
      </c>
    </row>
    <row r="71" spans="3:7" x14ac:dyDescent="0.25">
      <c r="C71" s="2" t="s">
        <v>3349</v>
      </c>
      <c r="D71" s="35">
        <v>1</v>
      </c>
      <c r="F71" s="2" t="s">
        <v>91</v>
      </c>
      <c r="G71" s="35">
        <v>1</v>
      </c>
    </row>
    <row r="72" spans="3:7" x14ac:dyDescent="0.25">
      <c r="C72" s="2" t="s">
        <v>3319</v>
      </c>
      <c r="D72" s="35">
        <v>1</v>
      </c>
      <c r="F72" s="2" t="s">
        <v>86</v>
      </c>
      <c r="G72" s="35">
        <v>1</v>
      </c>
    </row>
    <row r="73" spans="3:7" x14ac:dyDescent="0.25">
      <c r="C73" s="2" t="s">
        <v>3351</v>
      </c>
      <c r="D73" s="35">
        <v>1</v>
      </c>
      <c r="F73" s="2" t="s">
        <v>186</v>
      </c>
      <c r="G73" s="35">
        <v>1</v>
      </c>
    </row>
    <row r="74" spans="3:7" x14ac:dyDescent="0.25">
      <c r="C74" s="2" t="s">
        <v>3387</v>
      </c>
      <c r="D74" s="35">
        <v>1</v>
      </c>
      <c r="F74" s="2" t="s">
        <v>60</v>
      </c>
      <c r="G74" s="35">
        <v>1</v>
      </c>
    </row>
    <row r="75" spans="3:7" x14ac:dyDescent="0.25">
      <c r="C75" s="2" t="s">
        <v>3353</v>
      </c>
      <c r="D75" s="35">
        <v>1</v>
      </c>
      <c r="F75" s="2" t="s">
        <v>234</v>
      </c>
      <c r="G75" s="35">
        <v>1</v>
      </c>
    </row>
    <row r="76" spans="3:7" x14ac:dyDescent="0.25">
      <c r="C76" s="2" t="s">
        <v>3344</v>
      </c>
      <c r="D76" s="35">
        <v>1</v>
      </c>
      <c r="F76" s="2" t="s">
        <v>143</v>
      </c>
      <c r="G76" s="35">
        <v>1</v>
      </c>
    </row>
    <row r="77" spans="3:7" x14ac:dyDescent="0.25">
      <c r="C77" s="2" t="s">
        <v>3355</v>
      </c>
      <c r="D77" s="35">
        <v>1</v>
      </c>
      <c r="F77" s="2" t="s">
        <v>66</v>
      </c>
      <c r="G77" s="35">
        <v>1</v>
      </c>
    </row>
    <row r="78" spans="3:7" x14ac:dyDescent="0.25">
      <c r="C78" s="2" t="s">
        <v>3340</v>
      </c>
      <c r="D78" s="35">
        <v>1</v>
      </c>
      <c r="F78" s="2" t="s">
        <v>187</v>
      </c>
      <c r="G78" s="35">
        <v>1</v>
      </c>
    </row>
    <row r="79" spans="3:7" x14ac:dyDescent="0.25">
      <c r="C79" s="2" t="s">
        <v>5</v>
      </c>
      <c r="D79" s="35">
        <v>1</v>
      </c>
      <c r="F79" s="2" t="s">
        <v>209</v>
      </c>
      <c r="G79" s="35">
        <v>1</v>
      </c>
    </row>
    <row r="80" spans="3:7" x14ac:dyDescent="0.25">
      <c r="C80" s="2" t="s">
        <v>3346</v>
      </c>
      <c r="D80" s="35">
        <v>1</v>
      </c>
      <c r="F80" s="2" t="s">
        <v>76</v>
      </c>
      <c r="G80" s="35">
        <v>1</v>
      </c>
    </row>
    <row r="81" spans="3:7" x14ac:dyDescent="0.25">
      <c r="C81" s="2" t="s">
        <v>3358</v>
      </c>
      <c r="D81" s="35">
        <v>1</v>
      </c>
      <c r="F81" s="2" t="s">
        <v>179</v>
      </c>
      <c r="G81" s="35">
        <v>1</v>
      </c>
    </row>
    <row r="82" spans="3:7" x14ac:dyDescent="0.25">
      <c r="C82" s="2" t="s">
        <v>3421</v>
      </c>
      <c r="D82" s="35">
        <v>1</v>
      </c>
      <c r="F82" s="2" t="s">
        <v>173</v>
      </c>
      <c r="G82" s="35">
        <v>1</v>
      </c>
    </row>
    <row r="83" spans="3:7" x14ac:dyDescent="0.25">
      <c r="C83" s="2" t="s">
        <v>3360</v>
      </c>
      <c r="D83" s="35">
        <v>1</v>
      </c>
      <c r="F83" s="2" t="s">
        <v>154</v>
      </c>
      <c r="G83" s="35">
        <v>1</v>
      </c>
    </row>
    <row r="84" spans="3:7" x14ac:dyDescent="0.25">
      <c r="C84" s="2" t="s">
        <v>3381</v>
      </c>
      <c r="D84" s="35">
        <v>1</v>
      </c>
      <c r="F84" s="2" t="s">
        <v>151</v>
      </c>
      <c r="G84" s="35">
        <v>1</v>
      </c>
    </row>
    <row r="85" spans="3:7" x14ac:dyDescent="0.25">
      <c r="C85" s="2" t="s">
        <v>0</v>
      </c>
      <c r="D85" s="35">
        <v>1</v>
      </c>
      <c r="F85" s="2" t="s">
        <v>2911</v>
      </c>
      <c r="G85" s="35">
        <v>1</v>
      </c>
    </row>
    <row r="86" spans="3:7" x14ac:dyDescent="0.25">
      <c r="C86" s="2" t="s">
        <v>4</v>
      </c>
      <c r="D86" s="35">
        <v>1</v>
      </c>
      <c r="F86" s="2" t="s">
        <v>31</v>
      </c>
      <c r="G86" s="35">
        <v>1</v>
      </c>
    </row>
    <row r="87" spans="3:7" x14ac:dyDescent="0.25">
      <c r="C87" s="2" t="s">
        <v>3363</v>
      </c>
      <c r="D87" s="35">
        <v>1</v>
      </c>
      <c r="F87" s="2" t="s">
        <v>106</v>
      </c>
      <c r="G87" s="35">
        <v>1</v>
      </c>
    </row>
    <row r="88" spans="3:7" x14ac:dyDescent="0.25">
      <c r="C88" s="2" t="s">
        <v>3412</v>
      </c>
      <c r="D88" s="35">
        <v>1</v>
      </c>
      <c r="F88" s="2" t="s">
        <v>189</v>
      </c>
      <c r="G88" s="35">
        <v>1</v>
      </c>
    </row>
    <row r="89" spans="3:7" x14ac:dyDescent="0.25">
      <c r="C89" s="2" t="s">
        <v>3365</v>
      </c>
      <c r="D89" s="35">
        <v>1</v>
      </c>
      <c r="F89" s="2" t="s">
        <v>113</v>
      </c>
      <c r="G89" s="35">
        <v>1</v>
      </c>
    </row>
    <row r="90" spans="3:7" x14ac:dyDescent="0.25">
      <c r="C90" s="2" t="s">
        <v>3420</v>
      </c>
      <c r="D90" s="35">
        <v>1</v>
      </c>
      <c r="F90" s="2" t="s">
        <v>112</v>
      </c>
      <c r="G90" s="35">
        <v>1</v>
      </c>
    </row>
    <row r="91" spans="3:7" x14ac:dyDescent="0.25">
      <c r="C91" s="2" t="s">
        <v>3367</v>
      </c>
      <c r="D91" s="35">
        <v>1</v>
      </c>
      <c r="F91" s="2" t="s">
        <v>150</v>
      </c>
      <c r="G91" s="35">
        <v>1</v>
      </c>
    </row>
    <row r="92" spans="3:7" x14ac:dyDescent="0.25">
      <c r="C92" s="2" t="s">
        <v>3368</v>
      </c>
      <c r="D92" s="35">
        <v>1</v>
      </c>
      <c r="F92" s="2" t="s">
        <v>160</v>
      </c>
      <c r="G92" s="35">
        <v>1</v>
      </c>
    </row>
    <row r="93" spans="3:7" x14ac:dyDescent="0.25">
      <c r="C93" s="2" t="s">
        <v>3369</v>
      </c>
      <c r="D93" s="35">
        <v>1</v>
      </c>
      <c r="F93" s="2" t="s">
        <v>2912</v>
      </c>
      <c r="G93" s="35">
        <v>1</v>
      </c>
    </row>
    <row r="94" spans="3:7" x14ac:dyDescent="0.25">
      <c r="C94" s="2" t="s">
        <v>3394</v>
      </c>
      <c r="D94" s="35">
        <v>1</v>
      </c>
      <c r="F94" s="2" t="s">
        <v>245</v>
      </c>
      <c r="G94" s="35">
        <v>1</v>
      </c>
    </row>
    <row r="95" spans="3:7" x14ac:dyDescent="0.25">
      <c r="C95" s="2" t="s">
        <v>3371</v>
      </c>
      <c r="D95" s="35">
        <v>1</v>
      </c>
      <c r="F95" s="2" t="s">
        <v>149</v>
      </c>
      <c r="G95" s="35">
        <v>1</v>
      </c>
    </row>
    <row r="96" spans="3:7" x14ac:dyDescent="0.25">
      <c r="C96" s="2" t="s">
        <v>3388</v>
      </c>
      <c r="D96" s="35">
        <v>1</v>
      </c>
      <c r="F96" s="2" t="s">
        <v>2905</v>
      </c>
      <c r="G96" s="35">
        <v>1</v>
      </c>
    </row>
    <row r="97" spans="3:7" x14ac:dyDescent="0.25">
      <c r="C97" s="2" t="s">
        <v>6</v>
      </c>
      <c r="D97" s="35">
        <v>1</v>
      </c>
      <c r="F97" s="2" t="s">
        <v>110</v>
      </c>
      <c r="G97" s="35">
        <v>1</v>
      </c>
    </row>
    <row r="98" spans="3:7" x14ac:dyDescent="0.25">
      <c r="C98" s="2" t="s">
        <v>12</v>
      </c>
      <c r="D98" s="35">
        <v>1</v>
      </c>
      <c r="F98" s="2" t="s">
        <v>148</v>
      </c>
      <c r="G98" s="35">
        <v>1</v>
      </c>
    </row>
    <row r="99" spans="3:7" x14ac:dyDescent="0.25">
      <c r="C99" s="2" t="s">
        <v>3373</v>
      </c>
      <c r="D99" s="35">
        <v>1</v>
      </c>
      <c r="F99" s="2" t="s">
        <v>94</v>
      </c>
      <c r="G99" s="35">
        <v>1</v>
      </c>
    </row>
    <row r="100" spans="3:7" x14ac:dyDescent="0.25">
      <c r="C100" s="2" t="s">
        <v>3374</v>
      </c>
      <c r="D100" s="35">
        <v>1</v>
      </c>
      <c r="F100" s="2" t="s">
        <v>74</v>
      </c>
      <c r="G100" s="35">
        <v>1</v>
      </c>
    </row>
    <row r="101" spans="3:7" x14ac:dyDescent="0.25">
      <c r="C101" s="2" t="s">
        <v>3375</v>
      </c>
      <c r="D101" s="35">
        <v>1</v>
      </c>
      <c r="F101" s="2" t="s">
        <v>212</v>
      </c>
      <c r="G101" s="35">
        <v>1</v>
      </c>
    </row>
    <row r="102" spans="3:7" x14ac:dyDescent="0.25">
      <c r="C102" s="2" t="s">
        <v>3376</v>
      </c>
      <c r="D102" s="35">
        <v>1</v>
      </c>
      <c r="F102" s="2" t="s">
        <v>246</v>
      </c>
      <c r="G102" s="35">
        <v>1</v>
      </c>
    </row>
    <row r="103" spans="3:7" x14ac:dyDescent="0.25">
      <c r="C103" s="2" t="s">
        <v>3377</v>
      </c>
      <c r="D103" s="35">
        <v>1</v>
      </c>
      <c r="F103" s="2" t="s">
        <v>158</v>
      </c>
      <c r="G103" s="35">
        <v>1</v>
      </c>
    </row>
    <row r="104" spans="3:7" x14ac:dyDescent="0.25">
      <c r="C104" s="2" t="s">
        <v>3348</v>
      </c>
      <c r="D104" s="35">
        <v>1</v>
      </c>
      <c r="F104" s="2" t="s">
        <v>134</v>
      </c>
      <c r="G104" s="35">
        <v>1</v>
      </c>
    </row>
    <row r="105" spans="3:7" x14ac:dyDescent="0.25">
      <c r="C105" s="2" t="s">
        <v>3393</v>
      </c>
      <c r="D105" s="35">
        <v>1</v>
      </c>
      <c r="F105" s="2" t="s">
        <v>181</v>
      </c>
      <c r="G105" s="35">
        <v>1</v>
      </c>
    </row>
    <row r="106" spans="3:7" x14ac:dyDescent="0.25">
      <c r="C106" s="2" t="s">
        <v>3379</v>
      </c>
      <c r="D106" s="35">
        <v>1</v>
      </c>
      <c r="F106" s="2" t="s">
        <v>132</v>
      </c>
      <c r="G106" s="35">
        <v>1</v>
      </c>
    </row>
    <row r="107" spans="3:7" x14ac:dyDescent="0.25">
      <c r="C107" s="2" t="s">
        <v>3380</v>
      </c>
      <c r="D107" s="35">
        <v>1</v>
      </c>
      <c r="F107" s="2" t="s">
        <v>55</v>
      </c>
      <c r="G107" s="35">
        <v>1</v>
      </c>
    </row>
    <row r="108" spans="3:7" x14ac:dyDescent="0.25">
      <c r="C108" s="2" t="s">
        <v>3378</v>
      </c>
      <c r="D108" s="35">
        <v>1</v>
      </c>
      <c r="F108" s="2" t="s">
        <v>174</v>
      </c>
      <c r="G108" s="35">
        <v>1</v>
      </c>
    </row>
    <row r="109" spans="3:7" x14ac:dyDescent="0.25">
      <c r="C109" s="2" t="s">
        <v>3382</v>
      </c>
      <c r="D109" s="35">
        <v>1</v>
      </c>
      <c r="F109" s="2" t="s">
        <v>2908</v>
      </c>
      <c r="G109" s="35">
        <v>1</v>
      </c>
    </row>
    <row r="110" spans="3:7" x14ac:dyDescent="0.25">
      <c r="C110" s="2" t="s">
        <v>3383</v>
      </c>
      <c r="D110" s="35">
        <v>1</v>
      </c>
      <c r="F110" s="2" t="s">
        <v>81</v>
      </c>
      <c r="G110" s="35">
        <v>1</v>
      </c>
    </row>
    <row r="111" spans="3:7" x14ac:dyDescent="0.25">
      <c r="C111" s="2" t="s">
        <v>3384</v>
      </c>
      <c r="D111" s="35">
        <v>1</v>
      </c>
      <c r="F111" s="2" t="s">
        <v>155</v>
      </c>
      <c r="G111" s="35">
        <v>1</v>
      </c>
    </row>
    <row r="112" spans="3:7" x14ac:dyDescent="0.25">
      <c r="C112" s="2" t="s">
        <v>3437</v>
      </c>
      <c r="D112" s="35">
        <v>1</v>
      </c>
      <c r="F112" s="2" t="s">
        <v>2904</v>
      </c>
      <c r="G112" s="35">
        <v>1</v>
      </c>
    </row>
    <row r="113" spans="3:7" x14ac:dyDescent="0.25">
      <c r="C113" s="2" t="s">
        <v>3407</v>
      </c>
      <c r="D113" s="35">
        <v>1</v>
      </c>
      <c r="F113" s="2" t="s">
        <v>166</v>
      </c>
      <c r="G113" s="35">
        <v>1</v>
      </c>
    </row>
    <row r="114" spans="3:7" x14ac:dyDescent="0.25">
      <c r="C114" s="2" t="s">
        <v>3361</v>
      </c>
      <c r="D114" s="35">
        <v>1</v>
      </c>
      <c r="F114" s="2" t="s">
        <v>235</v>
      </c>
      <c r="G114" s="35">
        <v>1</v>
      </c>
    </row>
    <row r="115" spans="3:7" x14ac:dyDescent="0.25">
      <c r="C115" s="2" t="s">
        <v>8</v>
      </c>
      <c r="D115" s="35">
        <v>1</v>
      </c>
      <c r="F115" s="2" t="s">
        <v>2899</v>
      </c>
      <c r="G115" s="35">
        <v>1</v>
      </c>
    </row>
    <row r="116" spans="3:7" x14ac:dyDescent="0.25">
      <c r="C116" s="2" t="s">
        <v>3342</v>
      </c>
      <c r="D116" s="35">
        <v>1</v>
      </c>
      <c r="F116" s="2" t="s">
        <v>2902</v>
      </c>
      <c r="G116" s="35">
        <v>1</v>
      </c>
    </row>
    <row r="117" spans="3:7" x14ac:dyDescent="0.25">
      <c r="C117" s="2" t="s">
        <v>3389</v>
      </c>
      <c r="D117" s="35">
        <v>1</v>
      </c>
      <c r="F117" s="2" t="s">
        <v>182</v>
      </c>
      <c r="G117" s="35">
        <v>1</v>
      </c>
    </row>
    <row r="118" spans="3:7" x14ac:dyDescent="0.25">
      <c r="C118" s="2" t="s">
        <v>3414</v>
      </c>
      <c r="D118" s="35">
        <v>1</v>
      </c>
      <c r="F118" s="2" t="s">
        <v>2949</v>
      </c>
      <c r="G118" s="35">
        <v>1</v>
      </c>
    </row>
    <row r="119" spans="3:7" x14ac:dyDescent="0.25">
      <c r="C119" s="2" t="s">
        <v>3391</v>
      </c>
      <c r="D119" s="35">
        <v>1</v>
      </c>
      <c r="F119" s="2" t="s">
        <v>122</v>
      </c>
      <c r="G119" s="35">
        <v>1</v>
      </c>
    </row>
    <row r="120" spans="3:7" x14ac:dyDescent="0.25">
      <c r="C120" s="2" t="s">
        <v>3418</v>
      </c>
      <c r="D120" s="35">
        <v>1</v>
      </c>
      <c r="F120" s="2" t="s">
        <v>161</v>
      </c>
      <c r="G120" s="35">
        <v>1</v>
      </c>
    </row>
    <row r="121" spans="3:7" x14ac:dyDescent="0.25">
      <c r="C121" s="2" t="s">
        <v>3398</v>
      </c>
      <c r="D121" s="35">
        <v>1</v>
      </c>
      <c r="F121" s="2" t="s">
        <v>47</v>
      </c>
      <c r="G121" s="35">
        <v>1</v>
      </c>
    </row>
    <row r="122" spans="3:7" x14ac:dyDescent="0.25">
      <c r="C122" s="2" t="s">
        <v>3422</v>
      </c>
      <c r="D122" s="35">
        <v>1</v>
      </c>
      <c r="F122" s="2" t="s">
        <v>2897</v>
      </c>
      <c r="G122" s="35">
        <v>1</v>
      </c>
    </row>
    <row r="123" spans="3:7" x14ac:dyDescent="0.25">
      <c r="C123" s="2" t="s">
        <v>3354</v>
      </c>
      <c r="D123" s="35">
        <v>1</v>
      </c>
      <c r="F123" s="2" t="s">
        <v>218</v>
      </c>
      <c r="G123" s="35">
        <v>1</v>
      </c>
    </row>
    <row r="124" spans="3:7" x14ac:dyDescent="0.25">
      <c r="C124" s="2" t="s">
        <v>3341</v>
      </c>
      <c r="D124" s="35">
        <v>1</v>
      </c>
      <c r="F124" s="2" t="s">
        <v>198</v>
      </c>
      <c r="G124" s="35">
        <v>1</v>
      </c>
    </row>
    <row r="125" spans="3:7" x14ac:dyDescent="0.25">
      <c r="C125" s="2" t="s">
        <v>3396</v>
      </c>
      <c r="D125" s="35">
        <v>1</v>
      </c>
      <c r="F125" s="2" t="s">
        <v>228</v>
      </c>
      <c r="G125" s="35">
        <v>1</v>
      </c>
    </row>
    <row r="126" spans="3:7" x14ac:dyDescent="0.25">
      <c r="C126" s="2" t="s">
        <v>11</v>
      </c>
      <c r="D126" s="35">
        <v>1</v>
      </c>
      <c r="F126" s="2" t="s">
        <v>2909</v>
      </c>
      <c r="G126" s="35">
        <v>1</v>
      </c>
    </row>
    <row r="127" spans="3:7" x14ac:dyDescent="0.25">
      <c r="C127" s="2" t="s">
        <v>2</v>
      </c>
      <c r="D127" s="35">
        <v>1</v>
      </c>
      <c r="F127" s="2" t="s">
        <v>92</v>
      </c>
      <c r="G127" s="35">
        <v>1</v>
      </c>
    </row>
    <row r="128" spans="3:7" x14ac:dyDescent="0.25">
      <c r="C128" s="2" t="s">
        <v>3400</v>
      </c>
      <c r="D128" s="35">
        <v>1</v>
      </c>
      <c r="F128" s="2" t="s">
        <v>59</v>
      </c>
      <c r="G128" s="35">
        <v>1</v>
      </c>
    </row>
    <row r="129" spans="3:7" x14ac:dyDescent="0.25">
      <c r="C129" s="2" t="s">
        <v>3399</v>
      </c>
      <c r="D129" s="35">
        <v>1</v>
      </c>
      <c r="F129" s="2" t="s">
        <v>37</v>
      </c>
      <c r="G129" s="35">
        <v>1</v>
      </c>
    </row>
    <row r="130" spans="3:7" x14ac:dyDescent="0.25">
      <c r="C130" s="2" t="s">
        <v>3370</v>
      </c>
      <c r="D130" s="35">
        <v>1</v>
      </c>
      <c r="F130" s="2" t="s">
        <v>193</v>
      </c>
      <c r="G130" s="35">
        <v>1</v>
      </c>
    </row>
    <row r="131" spans="3:7" x14ac:dyDescent="0.25">
      <c r="C131" s="2" t="s">
        <v>3401</v>
      </c>
      <c r="D131" s="35">
        <v>1</v>
      </c>
      <c r="F131" s="2" t="s">
        <v>2906</v>
      </c>
      <c r="G131" s="35">
        <v>1</v>
      </c>
    </row>
    <row r="132" spans="3:7" x14ac:dyDescent="0.25">
      <c r="C132" s="2" t="s">
        <v>3404</v>
      </c>
      <c r="D132" s="35">
        <v>1</v>
      </c>
      <c r="F132" s="2" t="s">
        <v>139</v>
      </c>
      <c r="G132" s="35">
        <v>1</v>
      </c>
    </row>
    <row r="133" spans="3:7" x14ac:dyDescent="0.25">
      <c r="C133" s="2" t="s">
        <v>3403</v>
      </c>
      <c r="D133" s="35">
        <v>1</v>
      </c>
      <c r="F133" s="2" t="s">
        <v>199</v>
      </c>
      <c r="G133" s="35">
        <v>1</v>
      </c>
    </row>
    <row r="134" spans="3:7" x14ac:dyDescent="0.25">
      <c r="C134" s="2" t="s">
        <v>3372</v>
      </c>
      <c r="D134" s="35">
        <v>1</v>
      </c>
      <c r="F134" s="2" t="s">
        <v>169</v>
      </c>
      <c r="G134" s="35">
        <v>1</v>
      </c>
    </row>
    <row r="135" spans="3:7" x14ac:dyDescent="0.25">
      <c r="C135" s="2" t="s">
        <v>3405</v>
      </c>
      <c r="D135" s="35">
        <v>1</v>
      </c>
      <c r="F135" s="2" t="s">
        <v>137</v>
      </c>
      <c r="G135" s="35">
        <v>1</v>
      </c>
    </row>
    <row r="136" spans="3:7" x14ac:dyDescent="0.25">
      <c r="C136" s="2" t="s">
        <v>3408</v>
      </c>
      <c r="D136" s="35">
        <v>1</v>
      </c>
      <c r="F136" s="2" t="s">
        <v>201</v>
      </c>
      <c r="G136" s="35">
        <v>1</v>
      </c>
    </row>
    <row r="137" spans="3:7" x14ac:dyDescent="0.25">
      <c r="C137" s="2" t="s">
        <v>3416</v>
      </c>
      <c r="D137" s="35">
        <v>1</v>
      </c>
      <c r="F137" s="2" t="s">
        <v>206</v>
      </c>
      <c r="G137" s="35">
        <v>1</v>
      </c>
    </row>
    <row r="138" spans="3:7" x14ac:dyDescent="0.25">
      <c r="C138" s="2" t="s">
        <v>3410</v>
      </c>
      <c r="D138" s="35">
        <v>1</v>
      </c>
      <c r="F138" s="2" t="s">
        <v>124</v>
      </c>
      <c r="G138" s="35">
        <v>1</v>
      </c>
    </row>
    <row r="139" spans="3:7" x14ac:dyDescent="0.25">
      <c r="C139" s="2" t="s">
        <v>3409</v>
      </c>
      <c r="D139" s="35">
        <v>1</v>
      </c>
      <c r="F139" s="2" t="s">
        <v>162</v>
      </c>
      <c r="G139" s="35">
        <v>1</v>
      </c>
    </row>
    <row r="140" spans="3:7" x14ac:dyDescent="0.25">
      <c r="C140" s="2" t="s">
        <v>3411</v>
      </c>
      <c r="D140" s="35">
        <v>1</v>
      </c>
      <c r="F140" s="2" t="s">
        <v>233</v>
      </c>
      <c r="G140" s="35">
        <v>1</v>
      </c>
    </row>
    <row r="141" spans="3:7" x14ac:dyDescent="0.25">
      <c r="C141" s="2" t="s">
        <v>3444</v>
      </c>
      <c r="D141" s="35">
        <v>1</v>
      </c>
      <c r="F141" s="2" t="s">
        <v>180</v>
      </c>
      <c r="G141" s="35">
        <v>1</v>
      </c>
    </row>
    <row r="142" spans="3:7" x14ac:dyDescent="0.25">
      <c r="C142" s="2" t="s">
        <v>3413</v>
      </c>
      <c r="D142" s="35">
        <v>1</v>
      </c>
      <c r="F142"/>
      <c r="G142"/>
    </row>
    <row r="143" spans="3:7" x14ac:dyDescent="0.25">
      <c r="C143" s="2" t="s">
        <v>3456</v>
      </c>
      <c r="D143" s="35">
        <v>1</v>
      </c>
      <c r="F143"/>
      <c r="G143"/>
    </row>
    <row r="144" spans="3:7" x14ac:dyDescent="0.25">
      <c r="C144" s="2" t="s">
        <v>3415</v>
      </c>
      <c r="D144" s="35">
        <v>1</v>
      </c>
      <c r="F144"/>
      <c r="G144"/>
    </row>
    <row r="145" spans="3:7" x14ac:dyDescent="0.25">
      <c r="C145" s="2" t="s">
        <v>15</v>
      </c>
      <c r="D145" s="35">
        <v>1</v>
      </c>
      <c r="F145"/>
      <c r="G145"/>
    </row>
    <row r="146" spans="3:7" x14ac:dyDescent="0.25">
      <c r="C146" s="2" t="s">
        <v>3417</v>
      </c>
      <c r="D146" s="35">
        <v>1</v>
      </c>
      <c r="F146"/>
      <c r="G146"/>
    </row>
    <row r="147" spans="3:7" x14ac:dyDescent="0.25">
      <c r="C147" s="2" t="s">
        <v>3451</v>
      </c>
      <c r="D147" s="35">
        <v>1</v>
      </c>
      <c r="F147"/>
      <c r="G147"/>
    </row>
    <row r="148" spans="3:7" x14ac:dyDescent="0.25">
      <c r="C148" s="2" t="s">
        <v>3419</v>
      </c>
      <c r="D148" s="35">
        <v>1</v>
      </c>
      <c r="F148"/>
      <c r="G148"/>
    </row>
    <row r="149" spans="3:7" x14ac:dyDescent="0.25">
      <c r="C149" s="2" t="s">
        <v>3461</v>
      </c>
      <c r="D149" s="35">
        <v>1</v>
      </c>
      <c r="F149"/>
      <c r="G149"/>
    </row>
    <row r="150" spans="3:7" x14ac:dyDescent="0.25">
      <c r="C150" s="2" t="s">
        <v>3406</v>
      </c>
      <c r="D150" s="35">
        <v>1</v>
      </c>
      <c r="F150"/>
      <c r="G150"/>
    </row>
    <row r="151" spans="3:7" x14ac:dyDescent="0.25">
      <c r="C151" s="2" t="s">
        <v>3453</v>
      </c>
      <c r="D151" s="35">
        <v>1</v>
      </c>
      <c r="F151"/>
      <c r="G151"/>
    </row>
    <row r="152" spans="3:7" x14ac:dyDescent="0.25">
      <c r="C152" s="2" t="s">
        <v>3339</v>
      </c>
      <c r="D152" s="35">
        <v>1</v>
      </c>
      <c r="F152"/>
      <c r="G152"/>
    </row>
    <row r="153" spans="3:7" x14ac:dyDescent="0.25">
      <c r="C153" s="2" t="s">
        <v>3455</v>
      </c>
      <c r="D153" s="35">
        <v>1</v>
      </c>
      <c r="F153"/>
      <c r="G153"/>
    </row>
    <row r="154" spans="3:7" x14ac:dyDescent="0.25">
      <c r="C154" s="2" t="s">
        <v>3425</v>
      </c>
      <c r="D154" s="35">
        <v>1</v>
      </c>
      <c r="F154"/>
      <c r="G154"/>
    </row>
    <row r="155" spans="3:7" x14ac:dyDescent="0.25">
      <c r="C155" s="2" t="s">
        <v>3446</v>
      </c>
      <c r="D155" s="35">
        <v>1</v>
      </c>
      <c r="F155"/>
      <c r="G155"/>
    </row>
    <row r="156" spans="3:7" x14ac:dyDescent="0.25">
      <c r="C156" s="2" t="s">
        <v>3423</v>
      </c>
      <c r="D156" s="35">
        <v>1</v>
      </c>
      <c r="F156"/>
      <c r="G156"/>
    </row>
    <row r="157" spans="3:7" x14ac:dyDescent="0.25">
      <c r="C157" s="2" t="s">
        <v>3448</v>
      </c>
      <c r="D157" s="35">
        <v>1</v>
      </c>
      <c r="F157"/>
      <c r="G157"/>
    </row>
    <row r="158" spans="3:7" x14ac:dyDescent="0.25">
      <c r="C158" s="2" t="s">
        <v>3428</v>
      </c>
      <c r="D158" s="35">
        <v>1</v>
      </c>
      <c r="F158"/>
      <c r="G158"/>
    </row>
    <row r="159" spans="3:7" x14ac:dyDescent="0.25">
      <c r="C159" s="2" t="s">
        <v>3431</v>
      </c>
      <c r="D159" s="35">
        <v>1</v>
      </c>
      <c r="F159"/>
      <c r="G159"/>
    </row>
    <row r="160" spans="3:7" x14ac:dyDescent="0.25">
      <c r="C160" s="2" t="s">
        <v>3430</v>
      </c>
      <c r="D160" s="35">
        <v>1</v>
      </c>
      <c r="F160"/>
      <c r="G160"/>
    </row>
    <row r="161" spans="3:7" x14ac:dyDescent="0.25">
      <c r="C161" s="2" t="s">
        <v>3424</v>
      </c>
      <c r="D161" s="35">
        <v>1</v>
      </c>
      <c r="F161"/>
      <c r="G161"/>
    </row>
    <row r="162" spans="3:7" x14ac:dyDescent="0.25">
      <c r="C162" s="2" t="s">
        <v>3385</v>
      </c>
      <c r="D162" s="35">
        <v>1</v>
      </c>
      <c r="F162"/>
      <c r="G162"/>
    </row>
    <row r="163" spans="3:7" x14ac:dyDescent="0.25">
      <c r="C163" s="2" t="s">
        <v>3434</v>
      </c>
      <c r="D163" s="35">
        <v>1</v>
      </c>
      <c r="F163"/>
      <c r="G163"/>
    </row>
    <row r="164" spans="3:7" x14ac:dyDescent="0.25">
      <c r="C164" s="2" t="s">
        <v>3433</v>
      </c>
      <c r="D164" s="35">
        <v>1</v>
      </c>
      <c r="F164"/>
      <c r="G164"/>
    </row>
    <row r="165" spans="3:7" x14ac:dyDescent="0.25">
      <c r="C165" s="2" t="s">
        <v>3436</v>
      </c>
      <c r="D165" s="35">
        <v>1</v>
      </c>
      <c r="F165"/>
      <c r="G165"/>
    </row>
    <row r="166" spans="3:7" x14ac:dyDescent="0.25">
      <c r="C166" s="2" t="s">
        <v>3435</v>
      </c>
      <c r="D166" s="35">
        <v>1</v>
      </c>
      <c r="F166"/>
      <c r="G166"/>
    </row>
    <row r="167" spans="3:7" x14ac:dyDescent="0.25">
      <c r="C167" s="2" t="s">
        <v>3438</v>
      </c>
      <c r="D167" s="35">
        <v>1</v>
      </c>
      <c r="F167"/>
      <c r="G167"/>
    </row>
    <row r="168" spans="3:7" x14ac:dyDescent="0.25">
      <c r="C168" s="2" t="s">
        <v>3362</v>
      </c>
      <c r="D168" s="35">
        <v>1</v>
      </c>
      <c r="F168"/>
      <c r="G168"/>
    </row>
    <row r="169" spans="3:7" x14ac:dyDescent="0.25">
      <c r="C169" s="2" t="s">
        <v>3440</v>
      </c>
      <c r="D169" s="35">
        <v>1</v>
      </c>
      <c r="F169"/>
      <c r="G169"/>
    </row>
    <row r="170" spans="3:7" x14ac:dyDescent="0.25">
      <c r="C170" s="2" t="s">
        <v>3439</v>
      </c>
      <c r="D170" s="35">
        <v>1</v>
      </c>
      <c r="F170"/>
      <c r="G170"/>
    </row>
    <row r="171" spans="3:7" x14ac:dyDescent="0.25">
      <c r="C171" s="2" t="s">
        <v>3442</v>
      </c>
      <c r="D171" s="35">
        <v>1</v>
      </c>
      <c r="F171"/>
      <c r="G171"/>
    </row>
    <row r="172" spans="3:7" x14ac:dyDescent="0.25">
      <c r="C172" s="2" t="s">
        <v>3426</v>
      </c>
      <c r="D172" s="35">
        <v>1</v>
      </c>
      <c r="F172"/>
      <c r="G172"/>
    </row>
    <row r="173" spans="3:7" x14ac:dyDescent="0.25">
      <c r="C173" s="2" t="s">
        <v>3443</v>
      </c>
      <c r="D173" s="35">
        <v>1</v>
      </c>
      <c r="F173"/>
      <c r="G173"/>
    </row>
    <row r="174" spans="3:7" x14ac:dyDescent="0.25">
      <c r="C174" s="2" t="s">
        <v>1</v>
      </c>
      <c r="D174" s="35">
        <v>1</v>
      </c>
      <c r="F174"/>
      <c r="G174"/>
    </row>
    <row r="175" spans="3:7" x14ac:dyDescent="0.25">
      <c r="C175" s="2" t="s">
        <v>3427</v>
      </c>
      <c r="D175" s="35">
        <v>1</v>
      </c>
      <c r="F175"/>
      <c r="G175"/>
    </row>
    <row r="176" spans="3:7" x14ac:dyDescent="0.25">
      <c r="C176" s="2" t="s">
        <v>3445</v>
      </c>
      <c r="D176" s="35">
        <v>1</v>
      </c>
      <c r="F176"/>
      <c r="G176"/>
    </row>
    <row r="177" spans="3:7" x14ac:dyDescent="0.25">
      <c r="C177" s="2" t="s">
        <v>3390</v>
      </c>
      <c r="D177" s="35">
        <v>1</v>
      </c>
      <c r="F177"/>
      <c r="G177"/>
    </row>
    <row r="178" spans="3:7" x14ac:dyDescent="0.25">
      <c r="C178" s="2" t="s">
        <v>3447</v>
      </c>
      <c r="D178" s="35">
        <v>1</v>
      </c>
      <c r="F178"/>
      <c r="G178"/>
    </row>
    <row r="179" spans="3:7" x14ac:dyDescent="0.25">
      <c r="C179" s="2" t="s">
        <v>3364</v>
      </c>
      <c r="D179" s="35">
        <v>1</v>
      </c>
      <c r="F179"/>
      <c r="G179"/>
    </row>
    <row r="180" spans="3:7" x14ac:dyDescent="0.25">
      <c r="C180" s="2" t="s">
        <v>3449</v>
      </c>
      <c r="D180" s="35">
        <v>1</v>
      </c>
      <c r="F180"/>
      <c r="G180"/>
    </row>
    <row r="181" spans="3:7" x14ac:dyDescent="0.25">
      <c r="C181" s="2" t="s">
        <v>3392</v>
      </c>
      <c r="D181" s="35">
        <v>1</v>
      </c>
      <c r="F181"/>
      <c r="G181"/>
    </row>
    <row r="182" spans="3:7" x14ac:dyDescent="0.25">
      <c r="C182" s="2" t="s">
        <v>3450</v>
      </c>
      <c r="D182" s="35">
        <v>1</v>
      </c>
      <c r="F182"/>
      <c r="G182"/>
    </row>
    <row r="183" spans="3:7" x14ac:dyDescent="0.25">
      <c r="C183" s="2" t="s">
        <v>3338</v>
      </c>
      <c r="D183" s="35">
        <v>1</v>
      </c>
      <c r="F183"/>
      <c r="G183"/>
    </row>
    <row r="184" spans="3:7" x14ac:dyDescent="0.25">
      <c r="C184" s="2" t="s">
        <v>3452</v>
      </c>
      <c r="D184" s="35">
        <v>1</v>
      </c>
      <c r="F184"/>
      <c r="G184"/>
    </row>
    <row r="185" spans="3:7" x14ac:dyDescent="0.25">
      <c r="C185" s="2" t="s">
        <v>3432</v>
      </c>
      <c r="D185" s="35">
        <v>1</v>
      </c>
      <c r="F185"/>
      <c r="G185"/>
    </row>
    <row r="186" spans="3:7" x14ac:dyDescent="0.25">
      <c r="C186" s="2" t="s">
        <v>3454</v>
      </c>
      <c r="D186" s="35">
        <v>1</v>
      </c>
      <c r="F186"/>
      <c r="G186"/>
    </row>
    <row r="187" spans="3:7" x14ac:dyDescent="0.25">
      <c r="C187" s="2" t="s">
        <v>3366</v>
      </c>
      <c r="D187" s="35">
        <v>1</v>
      </c>
      <c r="F187"/>
      <c r="G187"/>
    </row>
    <row r="188" spans="3:7" x14ac:dyDescent="0.25">
      <c r="C188" s="2" t="s">
        <v>14</v>
      </c>
      <c r="D188" s="35">
        <v>1</v>
      </c>
      <c r="F188"/>
      <c r="G188"/>
    </row>
    <row r="189" spans="3:7" x14ac:dyDescent="0.25">
      <c r="C189" s="2" t="s">
        <v>3350</v>
      </c>
      <c r="D189" s="35">
        <v>1</v>
      </c>
      <c r="F189"/>
      <c r="G189"/>
    </row>
    <row r="190" spans="3:7" x14ac:dyDescent="0.25">
      <c r="C190" s="2" t="s">
        <v>3397</v>
      </c>
      <c r="D190" s="35">
        <v>1</v>
      </c>
      <c r="F190"/>
      <c r="G190"/>
    </row>
    <row r="191" spans="3:7" x14ac:dyDescent="0.25">
      <c r="C191" s="2" t="s">
        <v>3395</v>
      </c>
      <c r="D191" s="35">
        <v>1</v>
      </c>
      <c r="F191"/>
      <c r="G191"/>
    </row>
    <row r="192" spans="3:7" x14ac:dyDescent="0.25">
      <c r="C192" s="2" t="s">
        <v>3429</v>
      </c>
      <c r="D192" s="35">
        <v>1</v>
      </c>
      <c r="F192"/>
      <c r="G192"/>
    </row>
    <row r="193" spans="3:7" x14ac:dyDescent="0.25">
      <c r="C193" s="2" t="s">
        <v>3458</v>
      </c>
      <c r="D193" s="35">
        <v>1</v>
      </c>
      <c r="F193"/>
      <c r="G193"/>
    </row>
    <row r="194" spans="3:7" x14ac:dyDescent="0.25">
      <c r="C194" s="2" t="s">
        <v>3457</v>
      </c>
      <c r="D194" s="35">
        <v>1</v>
      </c>
      <c r="F194"/>
      <c r="G194"/>
    </row>
    <row r="195" spans="3:7" x14ac:dyDescent="0.25">
      <c r="C195" s="2" t="s">
        <v>3460</v>
      </c>
      <c r="D195" s="35">
        <v>1</v>
      </c>
      <c r="F195"/>
      <c r="G195"/>
    </row>
    <row r="196" spans="3:7" x14ac:dyDescent="0.25">
      <c r="C196" s="2" t="s">
        <v>3459</v>
      </c>
      <c r="D196" s="35">
        <v>1</v>
      </c>
      <c r="F196"/>
      <c r="G196"/>
    </row>
    <row r="197" spans="3:7" x14ac:dyDescent="0.25">
      <c r="C197" s="2" t="s">
        <v>16</v>
      </c>
      <c r="D197" s="35">
        <v>255</v>
      </c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25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23"/>
  <sheetViews>
    <sheetView tabSelected="1" topLeftCell="C1" zoomScale="93" zoomScaleNormal="93" workbookViewId="0">
      <pane ySplit="1" topLeftCell="A794" activePane="bottomLeft" state="frozen"/>
      <selection pane="bottomLeft" activeCell="Y823" sqref="Y823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x14ac:dyDescent="0.25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25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x14ac:dyDescent="0.25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x14ac:dyDescent="0.25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x14ac:dyDescent="0.25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x14ac:dyDescent="0.25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x14ac:dyDescent="0.25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x14ac:dyDescent="0.25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x14ac:dyDescent="0.25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x14ac:dyDescent="0.25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x14ac:dyDescent="0.25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x14ac:dyDescent="0.25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x14ac:dyDescent="0.25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x14ac:dyDescent="0.25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x14ac:dyDescent="0.25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25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x14ac:dyDescent="0.25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x14ac:dyDescent="0.25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x14ac:dyDescent="0.25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x14ac:dyDescent="0.25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x14ac:dyDescent="0.25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x14ac:dyDescent="0.25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x14ac:dyDescent="0.25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x14ac:dyDescent="0.25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x14ac:dyDescent="0.25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x14ac:dyDescent="0.25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x14ac:dyDescent="0.25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x14ac:dyDescent="0.25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x14ac:dyDescent="0.25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x14ac:dyDescent="0.25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x14ac:dyDescent="0.25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x14ac:dyDescent="0.25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x14ac:dyDescent="0.25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x14ac:dyDescent="0.25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x14ac:dyDescent="0.25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x14ac:dyDescent="0.25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x14ac:dyDescent="0.25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x14ac:dyDescent="0.25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x14ac:dyDescent="0.25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x14ac:dyDescent="0.25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x14ac:dyDescent="0.25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x14ac:dyDescent="0.25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x14ac:dyDescent="0.25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x14ac:dyDescent="0.25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x14ac:dyDescent="0.25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x14ac:dyDescent="0.25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x14ac:dyDescent="0.25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x14ac:dyDescent="0.25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x14ac:dyDescent="0.25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x14ac:dyDescent="0.25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x14ac:dyDescent="0.25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x14ac:dyDescent="0.25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x14ac:dyDescent="0.25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x14ac:dyDescent="0.25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x14ac:dyDescent="0.25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x14ac:dyDescent="0.25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x14ac:dyDescent="0.25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x14ac:dyDescent="0.25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x14ac:dyDescent="0.25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x14ac:dyDescent="0.25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x14ac:dyDescent="0.25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x14ac:dyDescent="0.25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x14ac:dyDescent="0.25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x14ac:dyDescent="0.25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x14ac:dyDescent="0.25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x14ac:dyDescent="0.25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x14ac:dyDescent="0.25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x14ac:dyDescent="0.25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x14ac:dyDescent="0.25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x14ac:dyDescent="0.25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x14ac:dyDescent="0.25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x14ac:dyDescent="0.25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x14ac:dyDescent="0.25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x14ac:dyDescent="0.25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x14ac:dyDescent="0.25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x14ac:dyDescent="0.25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x14ac:dyDescent="0.25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x14ac:dyDescent="0.25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x14ac:dyDescent="0.25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25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3204</v>
      </c>
      <c r="V688" s="8">
        <v>1</v>
      </c>
      <c r="W688" s="8"/>
      <c r="X688" t="s">
        <v>57</v>
      </c>
      <c r="Y688" t="s">
        <v>24</v>
      </c>
    </row>
    <row r="689" spans="1:25" x14ac:dyDescent="0.25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x14ac:dyDescent="0.25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x14ac:dyDescent="0.25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x14ac:dyDescent="0.25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x14ac:dyDescent="0.25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x14ac:dyDescent="0.25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x14ac:dyDescent="0.25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x14ac:dyDescent="0.25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x14ac:dyDescent="0.25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x14ac:dyDescent="0.25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x14ac:dyDescent="0.25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x14ac:dyDescent="0.25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x14ac:dyDescent="0.25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x14ac:dyDescent="0.25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x14ac:dyDescent="0.25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x14ac:dyDescent="0.25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x14ac:dyDescent="0.25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x14ac:dyDescent="0.25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x14ac:dyDescent="0.25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x14ac:dyDescent="0.25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x14ac:dyDescent="0.25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x14ac:dyDescent="0.25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x14ac:dyDescent="0.25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x14ac:dyDescent="0.25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x14ac:dyDescent="0.25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x14ac:dyDescent="0.25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x14ac:dyDescent="0.25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x14ac:dyDescent="0.25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x14ac:dyDescent="0.25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x14ac:dyDescent="0.25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x14ac:dyDescent="0.25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x14ac:dyDescent="0.25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x14ac:dyDescent="0.25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x14ac:dyDescent="0.25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x14ac:dyDescent="0.25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x14ac:dyDescent="0.25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x14ac:dyDescent="0.25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x14ac:dyDescent="0.25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x14ac:dyDescent="0.25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x14ac:dyDescent="0.25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x14ac:dyDescent="0.25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x14ac:dyDescent="0.25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x14ac:dyDescent="0.25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x14ac:dyDescent="0.25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x14ac:dyDescent="0.25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x14ac:dyDescent="0.25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x14ac:dyDescent="0.25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x14ac:dyDescent="0.25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x14ac:dyDescent="0.25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x14ac:dyDescent="0.25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x14ac:dyDescent="0.25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x14ac:dyDescent="0.25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x14ac:dyDescent="0.25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x14ac:dyDescent="0.25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x14ac:dyDescent="0.25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x14ac:dyDescent="0.25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x14ac:dyDescent="0.25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x14ac:dyDescent="0.25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x14ac:dyDescent="0.25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x14ac:dyDescent="0.25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x14ac:dyDescent="0.25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x14ac:dyDescent="0.25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x14ac:dyDescent="0.25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x14ac:dyDescent="0.25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x14ac:dyDescent="0.25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x14ac:dyDescent="0.25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x14ac:dyDescent="0.25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x14ac:dyDescent="0.25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x14ac:dyDescent="0.25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x14ac:dyDescent="0.25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x14ac:dyDescent="0.25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x14ac:dyDescent="0.25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x14ac:dyDescent="0.25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x14ac:dyDescent="0.25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x14ac:dyDescent="0.25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x14ac:dyDescent="0.25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x14ac:dyDescent="0.25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x14ac:dyDescent="0.25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x14ac:dyDescent="0.25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x14ac:dyDescent="0.25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x14ac:dyDescent="0.25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x14ac:dyDescent="0.25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25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x14ac:dyDescent="0.25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x14ac:dyDescent="0.25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x14ac:dyDescent="0.25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x14ac:dyDescent="0.25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x14ac:dyDescent="0.25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x14ac:dyDescent="0.25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</row>
    <row r="785" spans="1:25" x14ac:dyDescent="0.25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x14ac:dyDescent="0.25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x14ac:dyDescent="0.25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x14ac:dyDescent="0.25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x14ac:dyDescent="0.25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x14ac:dyDescent="0.25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x14ac:dyDescent="0.25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x14ac:dyDescent="0.25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x14ac:dyDescent="0.25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x14ac:dyDescent="0.25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x14ac:dyDescent="0.25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x14ac:dyDescent="0.25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x14ac:dyDescent="0.25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x14ac:dyDescent="0.25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x14ac:dyDescent="0.25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x14ac:dyDescent="0.25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x14ac:dyDescent="0.25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x14ac:dyDescent="0.25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x14ac:dyDescent="0.25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x14ac:dyDescent="0.25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x14ac:dyDescent="0.25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x14ac:dyDescent="0.25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x14ac:dyDescent="0.25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x14ac:dyDescent="0.25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x14ac:dyDescent="0.25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x14ac:dyDescent="0.25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</row>
    <row r="813" spans="1:25" x14ac:dyDescent="0.25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</row>
    <row r="814" spans="1:25" x14ac:dyDescent="0.25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</row>
    <row r="815" spans="1:25" x14ac:dyDescent="0.25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</row>
    <row r="816" spans="1:25" x14ac:dyDescent="0.25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</row>
    <row r="818" spans="1:25" x14ac:dyDescent="0.25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</row>
    <row r="819" spans="1:25" x14ac:dyDescent="0.25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</row>
    <row r="820" spans="1:25" x14ac:dyDescent="0.25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</row>
    <row r="821" spans="1:25" x14ac:dyDescent="0.25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</row>
    <row r="822" spans="1:25" x14ac:dyDescent="0.25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37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</row>
    <row r="823" spans="1:25" x14ac:dyDescent="0.25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37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23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8" r:id="rId726" xr:uid="{C120082C-3A17-4BF4-9FE5-8316049E6832}"/>
    <hyperlink ref="U685" r:id="rId727" xr:uid="{6939651F-8743-40D7-8248-7C59BC326531}"/>
    <hyperlink ref="U684" r:id="rId728" xr:uid="{AE840088-FA86-44F9-8AEA-7685D8FC1882}"/>
    <hyperlink ref="U794" r:id="rId729" xr:uid="{F06FFB0D-5885-4D14-8AC6-016C02308BD6}"/>
    <hyperlink ref="U791" r:id="rId730" xr:uid="{34E44BC6-0C9A-468D-8837-FC115CC6C91C}"/>
    <hyperlink ref="U682" r:id="rId731" xr:uid="{0ED0DD59-3557-4D96-AA95-5DC7A645AE06}"/>
    <hyperlink ref="U680" r:id="rId732" xr:uid="{A2170097-8EAE-46AC-9251-EF553AB1A9D6}"/>
    <hyperlink ref="U679" r:id="rId733" xr:uid="{F8BF4E85-D8D9-47D4-AB8E-C87937357FA9}"/>
    <hyperlink ref="U806" r:id="rId734" xr:uid="{4CE98016-D7E6-4D5E-912E-DED4D44F20AD}"/>
    <hyperlink ref="U720" r:id="rId735" xr:uid="{9321BFD9-F8A8-4656-8410-61658A528AC5}"/>
    <hyperlink ref="U736" r:id="rId736" xr:uid="{A92F0936-5E6B-42FE-85E7-A4B061C5DAD3}"/>
    <hyperlink ref="U737" r:id="rId737" xr:uid="{6049A51A-F4DF-4E73-8440-DE6F40AEBDD9}"/>
    <hyperlink ref="U738" r:id="rId738" xr:uid="{7928FACB-A4C4-47AE-B295-577B8CBBB398}"/>
    <hyperlink ref="U710" r:id="rId739" xr:uid="{941EBDF1-E734-4E5A-AA48-F30D0B24F93C}"/>
    <hyperlink ref="U734" r:id="rId740" xr:uid="{574AA468-D84B-4155-9894-72B740EF0AB1}"/>
    <hyperlink ref="U706" r:id="rId741" xr:uid="{E57FF12C-76E0-4A86-99D4-5E1538E38ACD}"/>
    <hyperlink ref="U714" r:id="rId742" xr:uid="{7E75644F-64CB-4F63-924E-F8365E75C71A}"/>
    <hyperlink ref="U715" r:id="rId743" xr:uid="{973F95B8-C132-4D72-96F7-C5CD97AB7E19}"/>
    <hyperlink ref="U731" r:id="rId744" xr:uid="{4511E0E2-3308-42B9-8AB9-1E3204BB4AB9}"/>
    <hyperlink ref="U735" r:id="rId745" xr:uid="{5805C3DE-57A9-46D6-9F19-1050F00D1E46}"/>
    <hyperlink ref="U721" r:id="rId746" xr:uid="{DAF3293A-AB51-4EAB-94D6-99379936EE9A}"/>
    <hyperlink ref="U707" r:id="rId747" xr:uid="{0D2FAD1A-6FB7-42BC-ACD4-2ED17239737A}"/>
    <hyperlink ref="U727" r:id="rId748" xr:uid="{C97D0CF5-D880-48AA-976A-46B72F6366E2}"/>
    <hyperlink ref="U718" r:id="rId749" xr:uid="{5B139B7F-C169-4457-832F-2CDEE69FD825}"/>
    <hyperlink ref="U728" r:id="rId750" xr:uid="{03CEA0C4-C067-4D36-8EC4-BD674608B5EC}"/>
    <hyperlink ref="U732" r:id="rId751" xr:uid="{7F799986-DE7E-4CB4-9450-D1751467B184}"/>
    <hyperlink ref="U711" r:id="rId752" xr:uid="{2FEEE5DD-8A0F-48EB-80CD-BE2AF1317FD9}"/>
    <hyperlink ref="U729" r:id="rId753" xr:uid="{95504083-0ADC-4023-97B7-A22841E41A0A}"/>
    <hyperlink ref="U704" r:id="rId754" xr:uid="{B3527575-B430-444E-9B0B-A3C05BCAB247}"/>
    <hyperlink ref="U708" r:id="rId755" xr:uid="{6A58F34B-5E83-417C-AE7D-F5176857093F}"/>
    <hyperlink ref="U712" r:id="rId756" xr:uid="{A65CEF8A-32E1-43C3-A6EE-B0328385DBFC}"/>
    <hyperlink ref="U725" r:id="rId757" xr:uid="{2C6873D5-430D-4DDD-932E-93E40910B97B}"/>
    <hyperlink ref="U726" r:id="rId758" xr:uid="{FCD32162-3212-4E63-83FF-A086C4015E85}"/>
    <hyperlink ref="U809" r:id="rId759" xr:uid="{43EDAC8C-154F-4594-876F-3F9377E4C0C1}"/>
    <hyperlink ref="U717" r:id="rId760" xr:uid="{8D3EABC5-7EEB-4300-9EC6-7B98D5F8E029}"/>
    <hyperlink ref="U733" r:id="rId761" xr:uid="{E0BA6773-6967-4D97-A6D9-16414C9EBA75}"/>
    <hyperlink ref="U709" r:id="rId762" xr:uid="{373A757C-29EC-4205-A1DA-27EEA898D2E7}"/>
    <hyperlink ref="U723" r:id="rId763" xr:uid="{E74A0A93-7E76-4BC0-99FA-7A5BB8BD7138}"/>
    <hyperlink ref="U805" r:id="rId764" xr:uid="{F37985B0-E9F1-438A-82A1-42D19BFF8F90}"/>
    <hyperlink ref="U716" r:id="rId765" xr:uid="{DCE67A40-B91D-42D6-B85F-800E2487CF07}"/>
    <hyperlink ref="U719" r:id="rId766" xr:uid="{23CA3DFE-A440-4845-ADDC-E00CDDC2FAB8}"/>
    <hyperlink ref="U730" r:id="rId767" xr:uid="{DC114D74-FDA1-4A5B-99B3-1F704C9F9E88}"/>
    <hyperlink ref="U797" r:id="rId768" xr:uid="{5FB200BE-8F49-4D2F-AF1F-5BDC0C88CA57}"/>
    <hyperlink ref="U713" r:id="rId769" xr:uid="{E9488F98-417D-45F0-AF31-42083D111195}"/>
    <hyperlink ref="U722" r:id="rId770" xr:uid="{F330EFD7-79BD-46D0-80F4-426AC08554CF}"/>
    <hyperlink ref="U724" r:id="rId771" xr:uid="{11491747-2133-49D4-A272-44F6FF53D9C6}"/>
    <hyperlink ref="U769" r:id="rId772" xr:uid="{93FCF700-48E1-4AAB-8495-FC2999DF82EF}"/>
    <hyperlink ref="U767" r:id="rId773" xr:uid="{254E9E40-B563-406B-8450-9FF9E949AC8C}"/>
    <hyperlink ref="U819" r:id="rId774" xr:uid="{8C7050E5-1548-47AD-9816-9F8590927730}"/>
    <hyperlink ref="U818" r:id="rId775" xr:uid="{298E54A3-9DBF-4CA6-8BA6-31974C23228C}"/>
    <hyperlink ref="U817" r:id="rId776" xr:uid="{1562B673-8C26-4B21-ACFD-266C8A1777FD}"/>
    <hyperlink ref="U773" r:id="rId777" xr:uid="{ED1DD83C-6022-4BD4-8146-1AD33BD7F5AA}"/>
    <hyperlink ref="U765" r:id="rId778" xr:uid="{8DEB09DF-90D5-4C0F-84ED-2C9E5F524D87}"/>
    <hyperlink ref="U770" r:id="rId779" xr:uid="{FA5FD159-9EBA-4548-9418-76FA3AEF3C15}"/>
    <hyperlink ref="U816" r:id="rId780" xr:uid="{77FF1940-85B2-4158-80F6-DBA00A0D3F48}"/>
    <hyperlink ref="U815" r:id="rId781" xr:uid="{59EF7A79-E073-4066-A0E3-4FBC18F26DDD}"/>
    <hyperlink ref="U772" r:id="rId782" xr:uid="{754E2135-D332-4D17-85A1-DC7CD58911BE}"/>
    <hyperlink ref="U760" r:id="rId783" xr:uid="{88F06494-6D83-4A92-B776-4B6746B0CDAD}"/>
    <hyperlink ref="U764" r:id="rId784" xr:uid="{DFC68BEC-B39F-4AC2-9D00-AF674412F4D1}"/>
    <hyperlink ref="U771" r:id="rId785" xr:uid="{D39377EB-7E62-4F41-B32C-DD7C8FD9FD9A}"/>
    <hyperlink ref="U768" r:id="rId786" xr:uid="{9929740E-87D0-46BF-BF92-B7A6F0F75EB5}"/>
    <hyperlink ref="U762" r:id="rId787" xr:uid="{E123B967-6F80-47D3-AA99-5D00D58C1C7B}"/>
    <hyperlink ref="U820" r:id="rId788" xr:uid="{BD1736A6-FDDE-4E2B-AEC4-56B7A59A4D9B}"/>
    <hyperlink ref="U763" r:id="rId789" xr:uid="{2C5F8736-DD9A-4211-A2E6-04D793B952E2}"/>
    <hyperlink ref="U761" r:id="rId790" xr:uid="{CAA0EEB7-98AD-4175-978B-3481CD4B09A2}"/>
    <hyperlink ref="U758" r:id="rId791" xr:uid="{B994F345-9D6F-49FE-936F-A1FF870DA159}"/>
    <hyperlink ref="U759" r:id="rId792" xr:uid="{4E7BD72F-64F1-4161-94B3-40F3EAD4DF8D}"/>
    <hyperlink ref="U755" r:id="rId793" xr:uid="{42CE2B8A-4445-4D38-A19B-27E617E5355F}"/>
    <hyperlink ref="U752" r:id="rId794" xr:uid="{77672107-1074-4CC5-B773-C90D586B98DC}"/>
    <hyperlink ref="U753" r:id="rId795" xr:uid="{B8BBF23F-600D-4EA8-8F9E-4C020A484596}"/>
    <hyperlink ref="U756" r:id="rId796" xr:uid="{DF5118FE-DD0A-43D5-A04A-F1BB5EC966CB}"/>
    <hyperlink ref="U757" r:id="rId797" xr:uid="{80154DBC-66DF-4433-A9D0-087580B052BE}"/>
    <hyperlink ref="U754" r:id="rId798" xr:uid="{DA9F6E43-F97B-474A-85EE-108BF5C95D67}"/>
    <hyperlink ref="U749" r:id="rId799" xr:uid="{AD697AE6-4666-4389-B2B4-38726DB31C7C}"/>
    <hyperlink ref="U750" r:id="rId800" xr:uid="{436AFDD6-523C-43FE-9A08-ED579E166D7F}"/>
    <hyperlink ref="U748" r:id="rId801" xr:uid="{D71CB4A7-6A12-475B-B09C-97A19E5BF7E7}"/>
    <hyperlink ref="U751" r:id="rId802" xr:uid="{86BB9DC2-49BD-4EA6-88AF-16451F0EF0F2}"/>
    <hyperlink ref="U739" r:id="rId803" xr:uid="{FF4ED1A0-310A-4193-BF64-B647931B2430}"/>
    <hyperlink ref="U746" r:id="rId804" xr:uid="{5C6636C1-94D3-4505-AC39-65A67FE4CB32}"/>
    <hyperlink ref="U744" r:id="rId805" xr:uid="{BB7CE327-230E-48A5-8741-25B18189C503}"/>
    <hyperlink ref="U745" r:id="rId806" xr:uid="{DD89C437-E14C-48AB-B80E-F8AF986B6A7D}"/>
    <hyperlink ref="U813" r:id="rId807" xr:uid="{5E6E094E-D08D-41A9-9AD4-AB96C0D2D0E5}"/>
    <hyperlink ref="U747" r:id="rId808" xr:uid="{738BBA94-39E1-4EAD-85E3-D6FD30B5D2A2}"/>
    <hyperlink ref="U814" r:id="rId809" xr:uid="{366A0727-3127-49A7-8A3D-1CF9FEDBA2C5}"/>
    <hyperlink ref="U742" r:id="rId810" xr:uid="{36071FA3-ED9D-4C49-BBE1-80EA68977EF9}"/>
    <hyperlink ref="U743" r:id="rId811" xr:uid="{6E08855B-C243-4269-AE79-8EAC47FB9816}"/>
    <hyperlink ref="U741" r:id="rId812" xr:uid="{3F757C3A-AABB-46B0-A376-7F8782AED0B7}"/>
    <hyperlink ref="U776" r:id="rId813" xr:uid="{E6EBA1DA-3AD1-419D-8F5E-43BB39D94529}"/>
    <hyperlink ref="U740" r:id="rId814" xr:uid="{713D8C42-321D-4476-9086-F7A96074829F}"/>
    <hyperlink ref="U785" r:id="rId815" xr:uid="{C7E0C9F1-1B82-42AF-BD02-CB6701562797}"/>
    <hyperlink ref="U812" r:id="rId816" xr:uid="{C0FAEEAC-68E5-4E84-8EFB-8E0C90520D3D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2025-08-22T11:51:05Z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