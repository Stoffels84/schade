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3" documentId="13_ncr:1_{10FCACA5-8197-478D-90D3-5F83063FB753}" xr6:coauthVersionLast="47" xr6:coauthVersionMax="47" xr10:uidLastSave="{CC037D2F-5D4C-4E88-8176-1FE939683C7F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5" i="1" l="1"/>
  <c r="B926" i="1"/>
  <c r="B927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B919" i="1" s="1"/>
  <c r="D919" i="1"/>
  <c r="E919" i="1"/>
  <c r="S919" i="1"/>
  <c r="C918" i="1"/>
  <c r="B918" i="1" s="1"/>
  <c r="D918" i="1"/>
  <c r="E918" i="1"/>
  <c r="S918" i="1"/>
  <c r="C917" i="1"/>
  <c r="B917" i="1" s="1"/>
  <c r="D917" i="1"/>
  <c r="E917" i="1"/>
  <c r="S917" i="1"/>
  <c r="C908" i="1"/>
  <c r="B908" i="1" s="1"/>
  <c r="D908" i="1"/>
  <c r="E908" i="1"/>
  <c r="S908" i="1"/>
  <c r="C916" i="1"/>
  <c r="D916" i="1"/>
  <c r="E916" i="1"/>
  <c r="S916" i="1"/>
  <c r="C915" i="1"/>
  <c r="D915" i="1"/>
  <c r="E915" i="1"/>
  <c r="S915" i="1"/>
  <c r="C912" i="1"/>
  <c r="B912" i="1" s="1"/>
  <c r="D912" i="1"/>
  <c r="E912" i="1"/>
  <c r="S912" i="1"/>
  <c r="C913" i="1"/>
  <c r="D913" i="1"/>
  <c r="E913" i="1"/>
  <c r="S913" i="1"/>
  <c r="C902" i="1"/>
  <c r="B902" i="1" s="1"/>
  <c r="D902" i="1"/>
  <c r="E902" i="1"/>
  <c r="S902" i="1"/>
  <c r="C914" i="1"/>
  <c r="B914" i="1" s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24" i="1" l="1"/>
  <c r="B923" i="1"/>
  <c r="B922" i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<sst xmlns="http://schemas.openxmlformats.org/spreadsheetml/2006/main" count="8706" uniqueCount="3739">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</sst>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29</v>
          </cell>
        </row>
        <row r="3">
          <cell r="A3">
            <v>13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27" totalsRowShown="0" headerRowDxfId="10">
  <autoFilter ref="A1:AA927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77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27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T924" sqref="T924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3">
      <c r="A923">
        <v>5559</v>
      </c>
      <c r="B923" t="str">
        <f>_xlfn.CONCAT(bron[[#This Row],[personeelsnr]]," ",bron[[#This Row],[achternaam]]," ",bron[[#This Row],[voornaam]])</f>
        <v>5559 Hoste Tania</v>
      </c>
      <c r="C923" t="str">
        <f>VLOOKUP(bron[[#This Row],[personeelsnr]],'data hastus'!$A:$C,2,0)</f>
        <v>Hoste</v>
      </c>
      <c r="D923" t="str">
        <f>VLOOKUP(bron[[#This Row],[personeelsnr]],'data hastus'!$A:$C,3,0)</f>
        <v>Tania</v>
      </c>
      <c r="E923" s="2" t="str">
        <f>VLOOKUP(bron[[#This Row],[personeelsnr]],'data hastus'!A:K,11,FALSE)</f>
        <v>Steven Storm</v>
      </c>
      <c r="F923" s="10"/>
      <c r="G923" s="39"/>
      <c r="H923" s="39"/>
      <c r="I923" s="39"/>
      <c r="S923" s="36">
        <f>SUM(bron[[#This Row],[Januari]:[December]])</f>
        <v>0</v>
      </c>
      <c r="T923" s="41">
        <v>45957</v>
      </c>
      <c r="U923" s="5" t="s">
        <v>3738</v>
      </c>
      <c r="V923" s="37"/>
      <c r="W923" s="37"/>
      <c r="X923" t="s">
        <v>3548</v>
      </c>
      <c r="Y923" t="s">
        <v>19</v>
      </c>
      <c r="Z923" s="2">
        <v>6374</v>
      </c>
      <c r="AA923" s="43" t="s">
        <v>3559</v>
      </c>
    </row>
    <row r="924" spans="1:27" x14ac:dyDescent="0.3">
      <c r="A924">
        <v>42307</v>
      </c>
      <c r="B924" t="str">
        <f>_xlfn.CONCAT(bron[[#This Row],[personeelsnr]]," ",bron[[#This Row],[achternaam]]," ",bron[[#This Row],[voornaam]])</f>
        <v>42307 Helleputte Jens</v>
      </c>
      <c r="C924" t="str">
        <f>VLOOKUP(bron[[#This Row],[personeelsnr]],'data hastus'!$A:$C,2,0)</f>
        <v>Helleputte</v>
      </c>
      <c r="D924" t="str">
        <f>VLOOKUP(bron[[#This Row],[personeelsnr]],'data hastus'!$A:$C,3,0)</f>
        <v>Jens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V924" s="37"/>
      <c r="W924" s="37"/>
    </row>
    <row r="925" spans="1:27" x14ac:dyDescent="0.3">
      <c r="B925" t="e">
        <f>_xlfn.CONCAT(bron[[#This Row],[personeelsnr]]," ",bron[[#This Row],[achternaam]]," ",bron[[#This Row],[voornaam]])</f>
        <v>#N/A</v>
      </c>
      <c r="C925" t="e">
        <f>VLOOKUP(bron[[#This Row],[personeelsnr]],'data hastus'!$A:$C,2,0)</f>
        <v>#N/A</v>
      </c>
      <c r="D925" t="e">
        <f>VLOOKUP(bron[[#This Row],[personeelsnr]],'data hastus'!$A:$C,3,0)</f>
        <v>#N/A</v>
      </c>
      <c r="E925" s="2" t="e">
        <f>VLOOKUP(bron[[#This Row],[personeelsnr]],'data hastus'!A:K,11,FALSE)</f>
        <v>#N/A</v>
      </c>
      <c r="F925" s="10"/>
      <c r="G925" s="39"/>
      <c r="H925" s="39"/>
      <c r="I925" s="39"/>
      <c r="S925" s="36">
        <f>SUM(bron[[#This Row],[Januari]:[December]])</f>
        <v>0</v>
      </c>
      <c r="V925" s="37"/>
      <c r="W925" s="37"/>
    </row>
    <row r="926" spans="1:27" x14ac:dyDescent="0.3">
      <c r="B926" t="e">
        <f>_xlfn.CONCAT(bron[[#This Row],[personeelsnr]]," ",bron[[#This Row],[achternaam]]," ",bron[[#This Row],[voornaam]])</f>
        <v>#N/A</v>
      </c>
      <c r="C926" t="e">
        <f>VLOOKUP(bron[[#This Row],[personeelsnr]],'data hastus'!$A:$C,2,0)</f>
        <v>#N/A</v>
      </c>
      <c r="D926" t="e">
        <f>VLOOKUP(bron[[#This Row],[personeelsnr]],'data hastus'!$A:$C,3,0)</f>
        <v>#N/A</v>
      </c>
      <c r="E926" s="2" t="e">
        <f>VLOOKUP(bron[[#This Row],[personeelsnr]],'data hastus'!A:K,11,FALSE)</f>
        <v>#N/A</v>
      </c>
      <c r="F926" s="10"/>
      <c r="G926" s="39"/>
      <c r="H926" s="39"/>
      <c r="I926" s="39"/>
      <c r="S926" s="36">
        <f>SUM(bron[[#This Row],[Januari]:[December]])</f>
        <v>0</v>
      </c>
      <c r="V926" s="37"/>
      <c r="W926" s="37"/>
    </row>
    <row r="927" spans="1:27" x14ac:dyDescent="0.3">
      <c r="B927" t="e">
        <f>_xlfn.CONCAT(bron[[#This Row],[personeelsnr]]," ",bron[[#This Row],[achternaam]]," ",bron[[#This Row],[voornaam]])</f>
        <v>#N/A</v>
      </c>
      <c r="C927" t="e">
        <f>VLOOKUP(bron[[#This Row],[personeelsnr]],'data hastus'!$A:$C,2,0)</f>
        <v>#N/A</v>
      </c>
      <c r="D927" t="e">
        <f>VLOOKUP(bron[[#This Row],[personeelsnr]],'data hastus'!$A:$C,3,0)</f>
        <v>#N/A</v>
      </c>
      <c r="E927" s="2" t="e">
        <f>VLOOKUP(bron[[#This Row],[personeelsnr]],'data hastus'!A:K,11,FALSE)</f>
        <v>#N/A</v>
      </c>
      <c r="F927" s="10"/>
      <c r="G927" s="39"/>
      <c r="H927" s="39"/>
      <c r="I927" s="39"/>
      <c r="S927" s="36">
        <f>SUM(bron[[#This Row],[Januari]:[December]])</f>
        <v>0</v>
      </c>
      <c r="V927" s="37"/>
      <c r="W927" s="37"/>
    </row>
  </sheetData>
  <sheetProtection sort="0" autoFilter="0"/>
  <phoneticPr fontId="1" type="noConversion"/>
  <conditionalFormatting sqref="F2:F927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2025-10-30T09:03:25Z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