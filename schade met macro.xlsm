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3" documentId="8_{21511603-A870-4D4C-809B-4C28D285AF8F}" xr6:coauthVersionLast="47" xr6:coauthVersionMax="47" xr10:uidLastSave="{986EB2D7-A826-48AB-9C8F-F3C401CC4D24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B877" i="1" s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6" i="1" l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<sst xmlns="http://schemas.openxmlformats.org/spreadsheetml/2006/main" count="8433" uniqueCount="3643">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</sst>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44140625" style="27" bestFit="1" customWidth="1"/>
    <col min="10" max="10" width="16.33203125" style="27" bestFit="1" customWidth="1"/>
    <col min="11" max="11" width="5.5546875" style="27" bestFit="1" customWidth="1"/>
    <col min="12" max="12" width="10.109375" style="27" bestFit="1" customWidth="1"/>
    <col min="13" max="13" width="18.88671875" style="27" bestFit="1" customWidth="1"/>
    <col min="14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1" t="s">
        <v>45</v>
      </c>
      <c r="D26">
        <v>3</v>
      </c>
      <c r="F26" s="2" t="s">
        <v>46</v>
      </c>
      <c r="G26">
        <v>5</v>
      </c>
    </row>
    <row r="27" spans="2:11" x14ac:dyDescent="0.3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1" t="s">
        <v>85</v>
      </c>
      <c r="D40">
        <v>2</v>
      </c>
      <c r="F40" s="2" t="s">
        <v>86</v>
      </c>
      <c r="G40">
        <v>2</v>
      </c>
    </row>
    <row r="41" spans="3:15" x14ac:dyDescent="0.3">
      <c r="C41" s="34" t="s">
        <v>87</v>
      </c>
      <c r="D41">
        <v>2</v>
      </c>
      <c r="F41" s="2" t="s">
        <v>88</v>
      </c>
      <c r="G41">
        <v>2</v>
      </c>
      <c r="I41" s="36" t="s">
        <v>89</v>
      </c>
      <c r="J41" s="36"/>
      <c r="K41" s="36"/>
      <c r="L41" s="25"/>
      <c r="M41" s="36" t="s">
        <v>90</v>
      </c>
      <c r="N41" s="36"/>
      <c r="O41" s="36"/>
    </row>
    <row r="42" spans="3:15" x14ac:dyDescent="0.3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3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3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3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3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3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3">
      <c r="C51" s="31" t="s">
        <v>110</v>
      </c>
      <c r="D51">
        <v>2</v>
      </c>
      <c r="F51" s="2" t="s">
        <v>111</v>
      </c>
      <c r="G51">
        <v>2</v>
      </c>
    </row>
    <row r="52" spans="3:15" x14ac:dyDescent="0.3">
      <c r="C52" s="34" t="s">
        <v>112</v>
      </c>
      <c r="D52">
        <v>2</v>
      </c>
      <c r="F52" s="2" t="s">
        <v>113</v>
      </c>
      <c r="G52">
        <v>2</v>
      </c>
    </row>
    <row r="53" spans="3:15" x14ac:dyDescent="0.3">
      <c r="C53" s="31" t="s">
        <v>114</v>
      </c>
      <c r="D53">
        <v>2</v>
      </c>
      <c r="F53" s="2" t="s">
        <v>115</v>
      </c>
      <c r="G53">
        <v>2</v>
      </c>
    </row>
    <row r="54" spans="3:15" x14ac:dyDescent="0.3">
      <c r="C54" s="34" t="s">
        <v>116</v>
      </c>
      <c r="D54">
        <v>2</v>
      </c>
      <c r="F54" s="2" t="s">
        <v>117</v>
      </c>
      <c r="G54">
        <v>2</v>
      </c>
    </row>
    <row r="55" spans="3:15" x14ac:dyDescent="0.3">
      <c r="C55" s="34" t="s">
        <v>118</v>
      </c>
      <c r="D55">
        <v>2</v>
      </c>
      <c r="F55" s="2" t="s">
        <v>119</v>
      </c>
      <c r="G55">
        <v>2</v>
      </c>
    </row>
    <row r="56" spans="3:15" x14ac:dyDescent="0.3">
      <c r="C56" s="34" t="s">
        <v>120</v>
      </c>
      <c r="D56">
        <v>2</v>
      </c>
      <c r="F56" s="2" t="s">
        <v>121</v>
      </c>
      <c r="G56">
        <v>2</v>
      </c>
    </row>
    <row r="57" spans="3:15" x14ac:dyDescent="0.3">
      <c r="C57" s="31" t="s">
        <v>122</v>
      </c>
      <c r="D57">
        <v>2</v>
      </c>
      <c r="F57" s="2" t="s">
        <v>123</v>
      </c>
      <c r="G57">
        <v>2</v>
      </c>
    </row>
    <row r="58" spans="3:15" x14ac:dyDescent="0.3">
      <c r="C58" s="31" t="s">
        <v>124</v>
      </c>
      <c r="D58">
        <v>2</v>
      </c>
      <c r="F58" s="2" t="s">
        <v>125</v>
      </c>
      <c r="G58">
        <v>2</v>
      </c>
    </row>
    <row r="59" spans="3:15" x14ac:dyDescent="0.3">
      <c r="C59" s="34" t="s">
        <v>126</v>
      </c>
      <c r="D59">
        <v>2</v>
      </c>
      <c r="F59" s="2" t="s">
        <v>127</v>
      </c>
      <c r="G59">
        <v>2</v>
      </c>
    </row>
    <row r="60" spans="3:15" x14ac:dyDescent="0.3">
      <c r="C60" s="31" t="s">
        <v>128</v>
      </c>
      <c r="D60">
        <v>2</v>
      </c>
      <c r="F60" s="2" t="s">
        <v>129</v>
      </c>
      <c r="G60">
        <v>2</v>
      </c>
    </row>
    <row r="61" spans="3:15" x14ac:dyDescent="0.3">
      <c r="C61" s="31" t="s">
        <v>130</v>
      </c>
      <c r="D61">
        <v>2</v>
      </c>
      <c r="F61" s="2" t="s">
        <v>131</v>
      </c>
      <c r="G61">
        <v>2</v>
      </c>
    </row>
    <row r="62" spans="3:15" x14ac:dyDescent="0.3">
      <c r="C62" s="34" t="s">
        <v>132</v>
      </c>
      <c r="D62">
        <v>2</v>
      </c>
      <c r="F62" s="2" t="s">
        <v>133</v>
      </c>
      <c r="G62">
        <v>2</v>
      </c>
    </row>
    <row r="63" spans="3:15" x14ac:dyDescent="0.3">
      <c r="C63" s="34" t="s">
        <v>134</v>
      </c>
      <c r="D63">
        <v>2</v>
      </c>
      <c r="F63" s="2" t="s">
        <v>135</v>
      </c>
      <c r="G63">
        <v>2</v>
      </c>
    </row>
    <row r="64" spans="3:15" x14ac:dyDescent="0.3">
      <c r="C64" s="31" t="s">
        <v>136</v>
      </c>
      <c r="D64">
        <v>2</v>
      </c>
      <c r="F64" s="2" t="s">
        <v>137</v>
      </c>
      <c r="G64">
        <v>1</v>
      </c>
    </row>
    <row r="65" spans="3:7" x14ac:dyDescent="0.3">
      <c r="C65" s="34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383" activePane="bottomLeft" state="frozen"/>
      <selection activeCell="F1" sqref="F1"/>
      <selection pane="bottomLeft" activeCell="A877" sqref="A87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77734375" style="2" customWidth="1"/>
    <col min="6" max="6" width="20.33203125" style="39" hidden="1" customWidth="1"/>
    <col min="7" max="7" width="11.5546875" style="37" hidden="1" customWidth="1"/>
    <col min="8" max="8" width="14.5546875" style="37" hidden="1" customWidth="1"/>
    <col min="9" max="9" width="9.5546875" style="37" hidden="1" customWidth="1"/>
    <col min="10" max="10" width="8.33203125" style="37" hidden="1" customWidth="1"/>
    <col min="11" max="11" width="10.88671875" style="37" hidden="1" customWidth="1"/>
    <col min="12" max="13" width="9.109375" style="37" hidden="1" customWidth="1"/>
    <col min="14" max="14" width="11.44140625" style="37" hidden="1" customWidth="1"/>
    <col min="15" max="15" width="13" style="37" hidden="1" customWidth="1"/>
    <col min="16" max="16" width="10.44140625" style="37" hidden="1" customWidth="1"/>
    <col min="17" max="19" width="12.5546875" style="37" hidden="1" customWidth="1"/>
    <col min="20" max="20" width="11.88671875" style="42" bestFit="1" customWidth="1"/>
    <col min="21" max="21" width="50.109375" style="5" customWidth="1"/>
    <col min="22" max="22" width="9.33203125" style="37" hidden="1" customWidth="1"/>
    <col min="23" max="23" width="6.77734375" style="37" hidden="1" customWidth="1"/>
    <col min="24" max="24" width="22" customWidth="1"/>
    <col min="25" max="25" width="31.5546875" bestFit="1" customWidth="1"/>
    <col min="26" max="26" width="16.109375" style="2" customWidth="1"/>
    <col min="27" max="27" width="12.21875" style="44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9" t="s">
        <v>373</v>
      </c>
      <c r="G1" s="40" t="s">
        <v>374</v>
      </c>
      <c r="H1" s="40" t="s">
        <v>375</v>
      </c>
      <c r="I1" s="40" t="s">
        <v>376</v>
      </c>
      <c r="J1" s="37" t="s">
        <v>377</v>
      </c>
      <c r="K1" s="37" t="s">
        <v>378</v>
      </c>
      <c r="L1" s="37" t="s">
        <v>379</v>
      </c>
      <c r="M1" s="37" t="s">
        <v>380</v>
      </c>
      <c r="N1" s="37" t="s">
        <v>381</v>
      </c>
      <c r="O1" s="37" t="s">
        <v>382</v>
      </c>
      <c r="P1" s="37" t="s">
        <v>383</v>
      </c>
      <c r="Q1" s="37" t="s">
        <v>384</v>
      </c>
      <c r="R1" s="37" t="s">
        <v>385</v>
      </c>
      <c r="S1" s="37" t="s">
        <v>386</v>
      </c>
      <c r="T1" s="41" t="s">
        <v>387</v>
      </c>
      <c r="U1" s="26" t="s">
        <v>388</v>
      </c>
      <c r="V1" s="37" t="s">
        <v>7</v>
      </c>
      <c r="W1" s="37" t="s">
        <v>8</v>
      </c>
      <c r="X1" t="s">
        <v>389</v>
      </c>
      <c r="Y1" t="s">
        <v>390</v>
      </c>
      <c r="Z1" s="2" t="s">
        <v>3556</v>
      </c>
      <c r="AA1" s="43" t="s">
        <v>3633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40"/>
      <c r="H840" s="40"/>
      <c r="I840" s="40"/>
      <c r="O840" s="37">
        <v>1</v>
      </c>
      <c r="S840" s="37">
        <f>SUM(bron[[#This Row],[Januari]:[December]])</f>
        <v>1</v>
      </c>
      <c r="T840" s="42">
        <v>45901</v>
      </c>
      <c r="U840" s="5" t="s">
        <v>1339</v>
      </c>
      <c r="V840" s="38">
        <v>1</v>
      </c>
      <c r="W840" s="38"/>
      <c r="X840" t="s">
        <v>3514</v>
      </c>
      <c r="Y840" t="s">
        <v>1340</v>
      </c>
      <c r="Z840" s="2">
        <v>5938</v>
      </c>
      <c r="AA840" s="43" t="s">
        <v>3560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40"/>
      <c r="H841" s="40"/>
      <c r="I841" s="40"/>
      <c r="O841" s="37">
        <v>1</v>
      </c>
      <c r="S841" s="37">
        <f>SUM(bron[[#This Row],[Januari]:[December]])</f>
        <v>1</v>
      </c>
      <c r="T841" s="42">
        <v>45902</v>
      </c>
      <c r="U841" s="5" t="s">
        <v>3501</v>
      </c>
      <c r="V841" s="38">
        <v>1</v>
      </c>
      <c r="W841" s="38"/>
      <c r="X841" t="s">
        <v>3515</v>
      </c>
      <c r="Y841" t="s">
        <v>100</v>
      </c>
      <c r="Z841" s="2">
        <v>5263</v>
      </c>
      <c r="AA841" s="43" t="s">
        <v>3560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40"/>
      <c r="H842" s="40"/>
      <c r="I842" s="40"/>
      <c r="O842" s="37">
        <v>1</v>
      </c>
      <c r="S842" s="37">
        <f>SUM(bron[[#This Row],[Januari]:[December]])</f>
        <v>1</v>
      </c>
      <c r="T842" s="42">
        <v>45902</v>
      </c>
      <c r="U842" s="5" t="s">
        <v>3501</v>
      </c>
      <c r="V842" s="38">
        <v>1</v>
      </c>
      <c r="W842" s="38"/>
      <c r="X842" t="s">
        <v>3515</v>
      </c>
      <c r="Y842" t="s">
        <v>100</v>
      </c>
      <c r="Z842" s="2">
        <v>5263</v>
      </c>
      <c r="AA842" s="44" t="s">
        <v>3561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40"/>
      <c r="H843" s="40"/>
      <c r="I843" s="40"/>
      <c r="O843" s="37">
        <v>1</v>
      </c>
      <c r="S843" s="37">
        <f>SUM(bron[[#This Row],[Januari]:[December]])</f>
        <v>1</v>
      </c>
      <c r="T843" s="42">
        <v>45902</v>
      </c>
      <c r="U843" s="5" t="s">
        <v>1341</v>
      </c>
      <c r="V843" s="38">
        <v>1</v>
      </c>
      <c r="W843" s="38"/>
      <c r="X843" t="s">
        <v>3515</v>
      </c>
      <c r="Y843" t="s">
        <v>399</v>
      </c>
      <c r="Z843" s="2">
        <v>5233</v>
      </c>
      <c r="AA843" s="43" t="s">
        <v>3560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40"/>
      <c r="H844" s="40"/>
      <c r="I844" s="40"/>
      <c r="O844" s="37">
        <v>1</v>
      </c>
      <c r="S844" s="37">
        <f>SUM(bron[[#This Row],[Januari]:[December]])</f>
        <v>1</v>
      </c>
      <c r="T844" s="42">
        <v>45902</v>
      </c>
      <c r="U844" s="5" t="s">
        <v>3505</v>
      </c>
      <c r="V844" s="38">
        <v>1</v>
      </c>
      <c r="W844" s="38"/>
      <c r="X844" t="s">
        <v>3514</v>
      </c>
      <c r="Y844" t="s">
        <v>3506</v>
      </c>
      <c r="Z844" s="2">
        <v>550311</v>
      </c>
      <c r="AA844" s="43" t="s">
        <v>3560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40"/>
      <c r="H845" s="40"/>
      <c r="I845" s="40"/>
      <c r="O845" s="37">
        <v>1</v>
      </c>
      <c r="S845" s="37">
        <f>SUM(bron[[#This Row],[Januari]:[December]])</f>
        <v>1</v>
      </c>
      <c r="T845" s="42">
        <v>45903</v>
      </c>
      <c r="U845" s="5" t="s">
        <v>3498</v>
      </c>
      <c r="V845" s="38">
        <v>1</v>
      </c>
      <c r="W845" s="38"/>
      <c r="X845" t="s">
        <v>3513</v>
      </c>
      <c r="Y845" t="s">
        <v>3499</v>
      </c>
      <c r="Z845" s="2">
        <v>5324</v>
      </c>
      <c r="AA845" s="43" t="s">
        <v>3560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40"/>
      <c r="H846" s="40"/>
      <c r="I846" s="40"/>
      <c r="O846" s="37">
        <v>1</v>
      </c>
      <c r="S846" s="37">
        <f>SUM(bron[[#This Row],[Januari]:[December]])</f>
        <v>1</v>
      </c>
      <c r="T846" s="42">
        <v>45903</v>
      </c>
      <c r="U846" s="5" t="s">
        <v>3511</v>
      </c>
      <c r="V846" s="38"/>
      <c r="W846" s="38">
        <v>1</v>
      </c>
      <c r="X846" t="s">
        <v>3549</v>
      </c>
      <c r="Y846" t="s">
        <v>3512</v>
      </c>
      <c r="Z846" s="2">
        <v>6319</v>
      </c>
      <c r="AA846" s="44" t="s">
        <v>3560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40"/>
      <c r="H847" s="40"/>
      <c r="I847" s="40"/>
      <c r="O847" s="37">
        <v>1</v>
      </c>
      <c r="S847" s="37">
        <f>SUM(bron[[#This Row],[Januari]:[December]])</f>
        <v>1</v>
      </c>
      <c r="T847" s="42">
        <v>45904</v>
      </c>
      <c r="U847" s="5" t="s">
        <v>3500</v>
      </c>
      <c r="V847" s="38"/>
      <c r="W847" s="38">
        <v>1</v>
      </c>
      <c r="X847" t="s">
        <v>3549</v>
      </c>
      <c r="Y847" t="s">
        <v>5</v>
      </c>
      <c r="Z847" s="2">
        <v>6316</v>
      </c>
      <c r="AA847" s="44" t="s">
        <v>3560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40"/>
      <c r="H848" s="40"/>
      <c r="I848" s="40"/>
      <c r="O848" s="37">
        <v>1</v>
      </c>
      <c r="S848" s="37">
        <f>SUM(bron[[#This Row],[Januari]:[December]])</f>
        <v>1</v>
      </c>
      <c r="T848" s="42">
        <v>45904</v>
      </c>
      <c r="U848" s="5" t="s">
        <v>3502</v>
      </c>
      <c r="V848" s="38">
        <v>1</v>
      </c>
      <c r="W848" s="38"/>
      <c r="X848" t="s">
        <v>3514</v>
      </c>
      <c r="Y848" t="s">
        <v>10</v>
      </c>
      <c r="Z848" s="2">
        <v>2548</v>
      </c>
      <c r="AA848" s="43" t="s">
        <v>3560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40"/>
      <c r="H849" s="40"/>
      <c r="I849" s="40"/>
      <c r="O849" s="37">
        <v>1</v>
      </c>
      <c r="S849" s="37">
        <f>SUM(bron[[#This Row],[Januari]:[December]])</f>
        <v>1</v>
      </c>
      <c r="T849" s="42">
        <v>45905</v>
      </c>
      <c r="U849" s="5" t="s">
        <v>3503</v>
      </c>
      <c r="V849" s="38">
        <v>1</v>
      </c>
      <c r="W849" s="38"/>
      <c r="X849" t="s">
        <v>3514</v>
      </c>
      <c r="Y849" t="s">
        <v>3504</v>
      </c>
      <c r="Z849" s="2">
        <v>5931</v>
      </c>
      <c r="AA849" s="43" t="s">
        <v>3560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40"/>
      <c r="H850" s="40"/>
      <c r="I850" s="40"/>
      <c r="O850" s="37">
        <v>1</v>
      </c>
      <c r="S850" s="37">
        <f>SUM(bron[[#This Row],[Januari]:[December]])</f>
        <v>1</v>
      </c>
      <c r="T850" s="42">
        <v>45907</v>
      </c>
      <c r="U850" s="8" t="s">
        <v>3548</v>
      </c>
      <c r="V850" s="38">
        <v>1</v>
      </c>
      <c r="W850" s="38"/>
      <c r="X850" t="s">
        <v>3515</v>
      </c>
      <c r="Y850" t="s">
        <v>13</v>
      </c>
      <c r="Z850" s="2">
        <v>5259</v>
      </c>
      <c r="AA850" s="43" t="s">
        <v>3560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40"/>
      <c r="H851" s="40"/>
      <c r="I851" s="40"/>
      <c r="O851" s="37">
        <v>1</v>
      </c>
      <c r="S851" s="37">
        <f>SUM(bron[[#This Row],[Januari]:[December]])</f>
        <v>1</v>
      </c>
      <c r="T851" s="42">
        <v>45909</v>
      </c>
      <c r="U851" s="5" t="s">
        <v>3507</v>
      </c>
      <c r="V851" s="38"/>
      <c r="W851" s="38">
        <v>1</v>
      </c>
      <c r="X851" t="s">
        <v>3549</v>
      </c>
      <c r="Y851" t="s">
        <v>75</v>
      </c>
      <c r="Z851" s="2">
        <v>6331</v>
      </c>
      <c r="AA851" s="44" t="s">
        <v>3560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40"/>
      <c r="H852" s="40"/>
      <c r="I852" s="40"/>
      <c r="O852" s="37">
        <v>1</v>
      </c>
      <c r="S852" s="37">
        <f>SUM(bron[[#This Row],[Januari]:[December]])</f>
        <v>1</v>
      </c>
      <c r="T852" s="42">
        <v>45909</v>
      </c>
      <c r="U852" s="5" t="s">
        <v>3508</v>
      </c>
      <c r="V852" s="38">
        <v>1</v>
      </c>
      <c r="W852" s="38"/>
      <c r="X852" t="s">
        <v>3513</v>
      </c>
      <c r="Y852" t="s">
        <v>119</v>
      </c>
      <c r="Z852" s="2">
        <v>5042</v>
      </c>
      <c r="AA852" s="43" t="s">
        <v>3560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40"/>
      <c r="H853" s="40"/>
      <c r="I853" s="40"/>
      <c r="O853" s="37">
        <v>1</v>
      </c>
      <c r="S853" s="37">
        <f>SUM(bron[[#This Row],[Januari]:[December]])</f>
        <v>1</v>
      </c>
      <c r="T853" s="42">
        <v>45909</v>
      </c>
      <c r="U853" s="5" t="s">
        <v>3558</v>
      </c>
      <c r="V853" s="38">
        <v>1</v>
      </c>
      <c r="W853" s="38"/>
      <c r="X853" t="s">
        <v>3514</v>
      </c>
      <c r="Y853" t="s">
        <v>3559</v>
      </c>
      <c r="Z853" s="2">
        <v>4678</v>
      </c>
      <c r="AA853" s="44" t="s">
        <v>3560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40"/>
      <c r="H854" s="40"/>
      <c r="I854" s="40"/>
      <c r="S854" s="37">
        <f>SUM(bron[[#This Row],[Januari]:[December]])</f>
        <v>0</v>
      </c>
      <c r="T854" s="42">
        <v>45910</v>
      </c>
      <c r="U854" s="24" t="s">
        <v>3509</v>
      </c>
      <c r="V854" s="38"/>
      <c r="W854" s="38">
        <v>1</v>
      </c>
      <c r="X854" t="s">
        <v>3550</v>
      </c>
      <c r="Y854" t="s">
        <v>3510</v>
      </c>
      <c r="Z854" s="2">
        <v>6369</v>
      </c>
      <c r="AA854" s="44" t="s">
        <v>3560</v>
      </c>
    </row>
    <row r="855" spans="1:27" x14ac:dyDescent="0.3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40"/>
      <c r="H855" s="40"/>
      <c r="I855" s="40"/>
      <c r="S855" s="37">
        <f>SUM(bron[[#This Row],[Januari]:[December]])</f>
        <v>0</v>
      </c>
      <c r="T855" s="42">
        <v>45912</v>
      </c>
      <c r="U855" s="5" t="s">
        <v>3563</v>
      </c>
      <c r="V855" s="38">
        <v>1</v>
      </c>
      <c r="W855" s="38"/>
      <c r="X855" t="s">
        <v>3515</v>
      </c>
      <c r="Y855" t="s">
        <v>48</v>
      </c>
      <c r="Z855" s="2">
        <v>5265</v>
      </c>
      <c r="AA855" s="44" t="s">
        <v>3560</v>
      </c>
    </row>
    <row r="856" spans="1:27" x14ac:dyDescent="0.3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40"/>
      <c r="H856" s="40"/>
      <c r="I856" s="40"/>
      <c r="S856" s="37">
        <f>SUM(bron[[#This Row],[Januari]:[December]])</f>
        <v>0</v>
      </c>
      <c r="T856" s="42">
        <v>45912</v>
      </c>
      <c r="U856" s="5" t="s">
        <v>3568</v>
      </c>
      <c r="V856" s="38">
        <v>1</v>
      </c>
      <c r="W856" s="38"/>
      <c r="X856" t="s">
        <v>3515</v>
      </c>
      <c r="Y856" t="s">
        <v>100</v>
      </c>
      <c r="Z856" s="2">
        <v>2193</v>
      </c>
      <c r="AA856" s="44" t="s">
        <v>3560</v>
      </c>
    </row>
    <row r="857" spans="1:27" x14ac:dyDescent="0.3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40"/>
      <c r="H857" s="40"/>
      <c r="I857" s="40"/>
      <c r="O857" s="37">
        <v>1</v>
      </c>
      <c r="S857" s="37">
        <f>SUM(bron[[#This Row],[Januari]:[December]])</f>
        <v>1</v>
      </c>
      <c r="T857" s="42">
        <v>45914</v>
      </c>
      <c r="U857" s="5" t="s">
        <v>3551</v>
      </c>
      <c r="V857" s="38"/>
      <c r="W857" s="38">
        <v>1</v>
      </c>
      <c r="X857" t="s">
        <v>3550</v>
      </c>
      <c r="Y857" t="s">
        <v>3552</v>
      </c>
      <c r="Z857" s="2">
        <v>6374</v>
      </c>
      <c r="AA857" s="44" t="s">
        <v>3561</v>
      </c>
    </row>
    <row r="858" spans="1:27" x14ac:dyDescent="0.3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40"/>
      <c r="H858" s="40"/>
      <c r="I858" s="40"/>
      <c r="O858" s="37">
        <v>1</v>
      </c>
      <c r="S858" s="37">
        <f>SUM(bron[[#This Row],[Januari]:[December]])</f>
        <v>1</v>
      </c>
      <c r="T858" s="42">
        <v>45915</v>
      </c>
      <c r="U858" s="5" t="s">
        <v>3553</v>
      </c>
      <c r="V858" s="38">
        <v>1</v>
      </c>
      <c r="W858" s="38"/>
      <c r="X858" t="s">
        <v>3513</v>
      </c>
      <c r="Y858" t="s">
        <v>25</v>
      </c>
      <c r="Z858" s="2">
        <v>5237</v>
      </c>
      <c r="AA858" s="43" t="s">
        <v>3560</v>
      </c>
    </row>
    <row r="859" spans="1:27" x14ac:dyDescent="0.3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40"/>
      <c r="H859" s="40"/>
      <c r="I859" s="40"/>
      <c r="O859" s="37">
        <v>1</v>
      </c>
      <c r="S859" s="37">
        <f>SUM(bron[[#This Row],[Januari]:[December]])</f>
        <v>1</v>
      </c>
      <c r="T859" s="42">
        <v>45915</v>
      </c>
      <c r="U859" s="5" t="s">
        <v>3555</v>
      </c>
      <c r="V859" s="38">
        <v>1</v>
      </c>
      <c r="W859" s="38"/>
      <c r="X859" t="s">
        <v>3514</v>
      </c>
      <c r="Y859" t="s">
        <v>51</v>
      </c>
      <c r="Z859" s="2">
        <v>5763</v>
      </c>
      <c r="AA859" s="43" t="s">
        <v>3560</v>
      </c>
    </row>
    <row r="860" spans="1:27" x14ac:dyDescent="0.3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40"/>
      <c r="H860" s="40"/>
      <c r="I860" s="40"/>
      <c r="O860" s="37">
        <v>1</v>
      </c>
      <c r="S860" s="37">
        <f>SUM(bron[[#This Row],[Januari]:[December]])</f>
        <v>1</v>
      </c>
      <c r="T860" s="42">
        <v>45915</v>
      </c>
      <c r="U860" s="5" t="s">
        <v>3554</v>
      </c>
      <c r="V860" s="38">
        <v>1</v>
      </c>
      <c r="W860" s="38"/>
      <c r="X860" t="s">
        <v>3514</v>
      </c>
      <c r="Y860" t="s">
        <v>3552</v>
      </c>
      <c r="Z860" s="2">
        <v>5488</v>
      </c>
      <c r="AA860" s="43" t="s">
        <v>3560</v>
      </c>
    </row>
    <row r="861" spans="1:27" x14ac:dyDescent="0.3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40"/>
      <c r="H861" s="40"/>
      <c r="I861" s="40"/>
      <c r="O861" s="37">
        <v>1</v>
      </c>
      <c r="S861" s="37">
        <f>SUM(bron[[#This Row],[Januari]:[December]])</f>
        <v>1</v>
      </c>
      <c r="T861" s="42">
        <v>45916</v>
      </c>
      <c r="U861" s="5" t="s">
        <v>3557</v>
      </c>
      <c r="V861" s="38"/>
      <c r="W861" s="38">
        <v>1</v>
      </c>
      <c r="X861" t="s">
        <v>3549</v>
      </c>
      <c r="Y861" t="s">
        <v>1314</v>
      </c>
      <c r="Z861" s="2">
        <v>6334</v>
      </c>
      <c r="AA861" s="43" t="s">
        <v>3561</v>
      </c>
    </row>
    <row r="862" spans="1:27" x14ac:dyDescent="0.3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40"/>
      <c r="H862" s="40"/>
      <c r="I862" s="40"/>
      <c r="S862" s="37">
        <f>SUM(bron[[#This Row],[Januari]:[December]])</f>
        <v>0</v>
      </c>
      <c r="T862" s="42">
        <v>45917</v>
      </c>
      <c r="U862" s="5" t="s">
        <v>3564</v>
      </c>
      <c r="V862" s="38"/>
      <c r="W862" s="38"/>
      <c r="X862" t="s">
        <v>3514</v>
      </c>
      <c r="Y862" t="s">
        <v>3565</v>
      </c>
      <c r="Z862" s="2">
        <v>5913</v>
      </c>
      <c r="AA862" s="44" t="s">
        <v>3560</v>
      </c>
    </row>
    <row r="863" spans="1:27" x14ac:dyDescent="0.3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40"/>
      <c r="H863" s="40"/>
      <c r="I863" s="40"/>
      <c r="S863" s="37">
        <f>SUM(bron[[#This Row],[Januari]:[December]])</f>
        <v>0</v>
      </c>
      <c r="T863" s="42">
        <v>45917</v>
      </c>
      <c r="U863" s="5" t="s">
        <v>3626</v>
      </c>
      <c r="V863" s="38"/>
      <c r="W863" s="38"/>
      <c r="X863" t="s">
        <v>3514</v>
      </c>
      <c r="Y863" t="s">
        <v>28</v>
      </c>
      <c r="Z863" s="2">
        <v>5488</v>
      </c>
      <c r="AA863" s="44" t="s">
        <v>3560</v>
      </c>
    </row>
    <row r="864" spans="1:27" x14ac:dyDescent="0.3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40"/>
      <c r="H864" s="40"/>
      <c r="I864" s="40"/>
      <c r="S864" s="37">
        <f>SUM(bron[[#This Row],[Januari]:[December]])</f>
        <v>0</v>
      </c>
      <c r="T864" s="42">
        <v>45919</v>
      </c>
      <c r="U864" s="5" t="s">
        <v>3625</v>
      </c>
      <c r="V864" s="38">
        <v>1</v>
      </c>
      <c r="W864" s="38"/>
      <c r="X864" t="s">
        <v>3514</v>
      </c>
      <c r="Y864" t="s">
        <v>535</v>
      </c>
      <c r="Z864" s="2">
        <v>5488</v>
      </c>
      <c r="AA864" s="44" t="s">
        <v>3561</v>
      </c>
    </row>
    <row r="865" spans="1:27" x14ac:dyDescent="0.3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40"/>
      <c r="H865" s="40"/>
      <c r="I865" s="40"/>
      <c r="S865" s="37">
        <f>SUM(bron[[#This Row],[Januari]:[December]])</f>
        <v>0</v>
      </c>
      <c r="T865" s="42">
        <v>45919</v>
      </c>
      <c r="U865" s="5" t="s">
        <v>3630</v>
      </c>
      <c r="V865" s="38"/>
      <c r="W865" s="38"/>
      <c r="X865" t="s">
        <v>3514</v>
      </c>
      <c r="Y865" t="s">
        <v>84</v>
      </c>
      <c r="Z865" s="2">
        <v>5923</v>
      </c>
      <c r="AA865" s="44" t="s">
        <v>3560</v>
      </c>
    </row>
    <row r="866" spans="1:27" x14ac:dyDescent="0.3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40"/>
      <c r="H866" s="40"/>
      <c r="I866" s="40"/>
      <c r="S866" s="37">
        <f>SUM(bron[[#This Row],[Januari]:[December]])</f>
        <v>0</v>
      </c>
      <c r="T866" s="42">
        <v>45922</v>
      </c>
      <c r="U866" s="5" t="s">
        <v>3627</v>
      </c>
      <c r="V866" s="38"/>
      <c r="W866" s="38"/>
      <c r="X866" t="s">
        <v>3514</v>
      </c>
      <c r="Y866" t="s">
        <v>3628</v>
      </c>
      <c r="Z866" s="2">
        <v>2047</v>
      </c>
      <c r="AA866" s="44" t="s">
        <v>3560</v>
      </c>
    </row>
    <row r="867" spans="1:27" x14ac:dyDescent="0.3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40"/>
      <c r="H867" s="40"/>
      <c r="I867" s="40"/>
      <c r="S867" s="37">
        <f>SUM(bron[[#This Row],[Januari]:[December]])</f>
        <v>0</v>
      </c>
      <c r="T867" s="42">
        <v>45922</v>
      </c>
      <c r="U867" s="5" t="s">
        <v>3629</v>
      </c>
      <c r="V867" s="38"/>
      <c r="W867" s="38"/>
      <c r="X867" t="s">
        <v>3550</v>
      </c>
      <c r="Y867" t="s">
        <v>5</v>
      </c>
      <c r="Z867" s="2">
        <v>6375</v>
      </c>
      <c r="AA867" s="44" t="s">
        <v>3560</v>
      </c>
    </row>
    <row r="868" spans="1:27" x14ac:dyDescent="0.3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40"/>
      <c r="H868" s="40"/>
      <c r="I868" s="40"/>
      <c r="S868" s="37">
        <f>SUM(bron[[#This Row],[Januari]:[December]])</f>
        <v>0</v>
      </c>
      <c r="T868" s="42">
        <v>45922</v>
      </c>
      <c r="U868" s="5" t="s">
        <v>3631</v>
      </c>
      <c r="V868" s="38"/>
      <c r="W868" s="38"/>
      <c r="X868" t="s">
        <v>3515</v>
      </c>
      <c r="Y868" t="s">
        <v>3632</v>
      </c>
      <c r="Z868" s="2">
        <v>5225</v>
      </c>
      <c r="AA868" s="44" t="s">
        <v>3633</v>
      </c>
    </row>
    <row r="869" spans="1:27" x14ac:dyDescent="0.3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40"/>
      <c r="H869" s="40"/>
      <c r="I869" s="40"/>
      <c r="S869" s="37">
        <f>SUM(bron[[#This Row],[Januari]:[December]])</f>
        <v>0</v>
      </c>
      <c r="T869" s="42">
        <v>45923</v>
      </c>
      <c r="U869" s="5" t="s">
        <v>3634</v>
      </c>
      <c r="V869" s="38"/>
      <c r="W869" s="38"/>
      <c r="X869" t="s">
        <v>3514</v>
      </c>
      <c r="Y869" t="s">
        <v>40</v>
      </c>
      <c r="Z869" s="2">
        <v>2047</v>
      </c>
      <c r="AA869" s="44" t="s">
        <v>3560</v>
      </c>
    </row>
    <row r="870" spans="1:27" x14ac:dyDescent="0.3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40"/>
      <c r="H870" s="40"/>
      <c r="I870" s="40"/>
      <c r="S870" s="37">
        <f>SUM(bron[[#This Row],[Januari]:[December]])</f>
        <v>0</v>
      </c>
      <c r="T870" s="42">
        <v>45923</v>
      </c>
      <c r="U870" s="5" t="s">
        <v>3636</v>
      </c>
      <c r="V870" s="38"/>
      <c r="W870" s="38"/>
      <c r="X870" t="s">
        <v>3549</v>
      </c>
      <c r="Y870" t="s">
        <v>75</v>
      </c>
      <c r="Z870" s="2">
        <v>6328</v>
      </c>
      <c r="AA870" s="44" t="s">
        <v>3561</v>
      </c>
    </row>
    <row r="871" spans="1:27" x14ac:dyDescent="0.3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40"/>
      <c r="H871" s="40"/>
      <c r="I871" s="40"/>
      <c r="S871" s="37">
        <f>SUM(bron[[#This Row],[Januari]:[December]])</f>
        <v>0</v>
      </c>
      <c r="T871" s="42">
        <v>45924</v>
      </c>
      <c r="U871" s="5" t="s">
        <v>3635</v>
      </c>
      <c r="V871" s="38"/>
      <c r="W871" s="38"/>
      <c r="X871" t="s">
        <v>3514</v>
      </c>
      <c r="Y871" t="s">
        <v>3628</v>
      </c>
      <c r="Z871" s="2">
        <v>2085</v>
      </c>
      <c r="AA871" s="44" t="s">
        <v>3560</v>
      </c>
    </row>
    <row r="872" spans="1:27" x14ac:dyDescent="0.3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40"/>
      <c r="H872" s="40"/>
      <c r="I872" s="40"/>
      <c r="S872" s="37">
        <f>SUM(bron[[#This Row],[Januari]:[December]])</f>
        <v>0</v>
      </c>
      <c r="T872" s="42">
        <v>45924</v>
      </c>
      <c r="U872" s="5" t="s">
        <v>3637</v>
      </c>
      <c r="V872" s="38"/>
      <c r="W872" s="38"/>
      <c r="X872" t="s">
        <v>3514</v>
      </c>
      <c r="Y872" t="s">
        <v>3638</v>
      </c>
      <c r="Z872" s="2">
        <v>5922</v>
      </c>
      <c r="AA872" s="44" t="s">
        <v>3561</v>
      </c>
    </row>
    <row r="873" spans="1:27" x14ac:dyDescent="0.3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40"/>
      <c r="H873" s="40"/>
      <c r="I873" s="40"/>
      <c r="S873" s="37">
        <f>SUM(bron[[#This Row],[Januari]:[December]])</f>
        <v>0</v>
      </c>
      <c r="T873" s="42">
        <v>45925</v>
      </c>
      <c r="U873" s="5" t="s">
        <v>3639</v>
      </c>
      <c r="V873" s="38"/>
      <c r="W873" s="38"/>
      <c r="X873" t="s">
        <v>3514</v>
      </c>
      <c r="Y873" t="s">
        <v>1325</v>
      </c>
      <c r="Z873" s="2">
        <v>5938</v>
      </c>
      <c r="AA873" s="44" t="s">
        <v>3561</v>
      </c>
    </row>
    <row r="874" spans="1:27" x14ac:dyDescent="0.3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40"/>
      <c r="H874" s="40"/>
      <c r="I874" s="40"/>
      <c r="S874" s="37">
        <f>SUM(bron[[#This Row],[Januari]:[December]])</f>
        <v>0</v>
      </c>
      <c r="T874" s="42">
        <v>45926</v>
      </c>
      <c r="U874" s="5" t="s">
        <v>3640</v>
      </c>
      <c r="V874" s="38"/>
      <c r="W874" s="38"/>
      <c r="X874" t="s">
        <v>3514</v>
      </c>
      <c r="Y874" t="s">
        <v>16</v>
      </c>
      <c r="Z874" s="2">
        <v>5773</v>
      </c>
      <c r="AA874" s="44" t="s">
        <v>3560</v>
      </c>
    </row>
    <row r="875" spans="1:27" x14ac:dyDescent="0.3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40"/>
      <c r="H875" s="40"/>
      <c r="I875" s="40"/>
      <c r="S875" s="37">
        <f>SUM(bron[[#This Row],[Januari]:[December]])</f>
        <v>0</v>
      </c>
      <c r="T875" s="42">
        <v>45924</v>
      </c>
      <c r="U875" s="5" t="s">
        <v>3641</v>
      </c>
      <c r="V875" s="38"/>
      <c r="W875" s="38"/>
      <c r="X875" t="s">
        <v>3515</v>
      </c>
      <c r="Y875" t="s">
        <v>113</v>
      </c>
      <c r="Z875" s="2">
        <v>2190</v>
      </c>
      <c r="AA875" s="44" t="s">
        <v>3560</v>
      </c>
    </row>
    <row r="876" spans="1:27" x14ac:dyDescent="0.3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40"/>
      <c r="H876" s="40"/>
      <c r="I876" s="40"/>
      <c r="S876" s="37">
        <f>SUM(bron[[#This Row],[Januari]:[December]])</f>
        <v>0</v>
      </c>
      <c r="T876" s="42">
        <v>45926</v>
      </c>
      <c r="U876" s="5" t="s">
        <v>3642</v>
      </c>
      <c r="V876" s="38"/>
      <c r="W876" s="38"/>
      <c r="X876" t="s">
        <v>3514</v>
      </c>
      <c r="Y876" t="s">
        <v>31</v>
      </c>
      <c r="Z876" s="2">
        <v>5910</v>
      </c>
      <c r="AA876" s="44" t="s">
        <v>3560</v>
      </c>
    </row>
    <row r="877" spans="1:27" x14ac:dyDescent="0.3">
      <c r="B877" t="e">
        <f>_xlfn.CONCAT(bron[[#This Row],[personeelsnr]]," ",bron[[#This Row],[achternaam]]," ",bron[[#This Row],[voornaam]])</f>
        <v>#N/A</v>
      </c>
      <c r="C877" t="e">
        <f>VLOOKUP(bron[[#This Row],[personeelsnr]],'data hastus'!$A:$C,2,0)</f>
        <v>#N/A</v>
      </c>
      <c r="D877" t="e">
        <f>VLOOKUP(bron[[#This Row],[personeelsnr]],'data hastus'!$A:$C,3,0)</f>
        <v>#N/A</v>
      </c>
      <c r="E877" s="2" t="e">
        <f>VLOOKUP(bron[[#This Row],[personeelsnr]],'data hastus'!A:K,11,FALSE)</f>
        <v>#N/A</v>
      </c>
      <c r="G877" s="40"/>
      <c r="H877" s="40"/>
      <c r="I877" s="40"/>
      <c r="S877" s="37">
        <f>SUM(bron[[#This Row],[Januari]:[December]])</f>
        <v>0</v>
      </c>
      <c r="V877" s="38"/>
      <c r="W877" s="38"/>
    </row>
    <row r="878" spans="1:27" x14ac:dyDescent="0.3">
      <c r="B878" t="e">
        <f>_xlfn.CONCAT(bron[[#This Row],[personeelsnr]]," ",bron[[#This Row],[achternaam]]," ",bron[[#This Row],[voornaam]])</f>
        <v>#N/A</v>
      </c>
      <c r="C878" t="e">
        <f>VLOOKUP(bron[[#This Row],[personeelsnr]],'data hastus'!$A:$C,2,0)</f>
        <v>#N/A</v>
      </c>
      <c r="D878" t="e">
        <f>VLOOKUP(bron[[#This Row],[personeelsnr]],'data hastus'!$A:$C,3,0)</f>
        <v>#N/A</v>
      </c>
      <c r="E878" s="2" t="e">
        <f>VLOOKUP(bron[[#This Row],[personeelsnr]],'data hastus'!A:K,11,FALSE)</f>
        <v>#N/A</v>
      </c>
      <c r="G878" s="40"/>
      <c r="H878" s="40"/>
      <c r="I878" s="40"/>
      <c r="S878" s="37">
        <f>SUM(bron[[#This Row],[Januari]:[December]])</f>
        <v>0</v>
      </c>
      <c r="V878" s="38"/>
      <c r="W878" s="38"/>
    </row>
    <row r="879" spans="1:27" x14ac:dyDescent="0.3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s="2" t="e">
        <f>VLOOKUP(bron[[#This Row],[personeelsnr]],'data hastus'!A:K,11,FALSE)</f>
        <v>#N/A</v>
      </c>
      <c r="G879" s="40"/>
      <c r="H879" s="40"/>
      <c r="I879" s="40"/>
      <c r="S879" s="37">
        <f>SUM(bron[[#This Row],[Januari]:[December]])</f>
        <v>0</v>
      </c>
      <c r="V879" s="38"/>
      <c r="W879" s="38"/>
    </row>
    <row r="880" spans="1:27" x14ac:dyDescent="0.3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s="2" t="e">
        <f>VLOOKUP(bron[[#This Row],[personeelsnr]],'data hastus'!A:K,11,FALSE)</f>
        <v>#N/A</v>
      </c>
      <c r="G880" s="40"/>
      <c r="H880" s="40"/>
      <c r="I880" s="40"/>
      <c r="S880" s="37">
        <f>SUM(bron[[#This Row],[Januari]:[December]])</f>
        <v>0</v>
      </c>
      <c r="V880" s="38"/>
      <c r="W880" s="38"/>
    </row>
    <row r="881" spans="2:23" x14ac:dyDescent="0.3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s="2" t="e">
        <f>VLOOKUP(bron[[#This Row],[personeelsnr]],'data hastus'!A:K,11,FALSE)</f>
        <v>#N/A</v>
      </c>
      <c r="G881" s="40"/>
      <c r="H881" s="40"/>
      <c r="I881" s="40"/>
      <c r="S881" s="37">
        <f>SUM(bron[[#This Row],[Januari]:[December]])</f>
        <v>0</v>
      </c>
      <c r="V881" s="38"/>
      <c r="W881" s="38"/>
    </row>
    <row r="882" spans="2:23" x14ac:dyDescent="0.3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s="2" t="e">
        <f>VLOOKUP(bron[[#This Row],[personeelsnr]],'data hastus'!A:K,11,FALSE)</f>
        <v>#N/A</v>
      </c>
      <c r="G882" s="40"/>
      <c r="H882" s="40"/>
      <c r="I882" s="40"/>
      <c r="S882" s="37">
        <f>SUM(bron[[#This Row],[Januari]:[December]])</f>
        <v>0</v>
      </c>
      <c r="V882" s="38"/>
      <c r="W882" s="38"/>
    </row>
    <row r="883" spans="2:23" x14ac:dyDescent="0.3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40"/>
      <c r="H883" s="40"/>
      <c r="I883" s="40"/>
      <c r="S883" s="37">
        <f>SUM(bron[[#This Row],[Januari]:[December]])</f>
        <v>0</v>
      </c>
      <c r="V883" s="38"/>
      <c r="W883" s="38"/>
    </row>
    <row r="884" spans="2:23" x14ac:dyDescent="0.3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40"/>
      <c r="H884" s="40"/>
      <c r="I884" s="40"/>
      <c r="S884" s="37">
        <f>SUM(bron[[#This Row],[Januari]:[December]])</f>
        <v>0</v>
      </c>
      <c r="V884" s="38"/>
      <c r="W884" s="38"/>
    </row>
    <row r="885" spans="2:23" x14ac:dyDescent="0.3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40"/>
      <c r="H885" s="40"/>
      <c r="I885" s="40"/>
      <c r="S885" s="37">
        <f>SUM(bron[[#This Row],[Januari]:[December]])</f>
        <v>0</v>
      </c>
      <c r="V885" s="38"/>
      <c r="W885" s="38"/>
    </row>
    <row r="886" spans="2:23" x14ac:dyDescent="0.3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40"/>
      <c r="H886" s="40"/>
      <c r="I886" s="40"/>
      <c r="S886" s="37">
        <f>SUM(bron[[#This Row],[Januari]:[December]])</f>
        <v>0</v>
      </c>
      <c r="V886" s="38"/>
      <c r="W886" s="38"/>
    </row>
    <row r="887" spans="2:23" x14ac:dyDescent="0.3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40"/>
      <c r="H887" s="40"/>
      <c r="I887" s="40"/>
      <c r="S887" s="37">
        <f>SUM(bron[[#This Row],[Januari]:[December]])</f>
        <v>0</v>
      </c>
      <c r="V887" s="38"/>
      <c r="W887" s="38"/>
    </row>
    <row r="888" spans="2:23" x14ac:dyDescent="0.3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40"/>
      <c r="H888" s="40"/>
      <c r="I888" s="40"/>
      <c r="S888" s="37">
        <f>SUM(bron[[#This Row],[Januari]:[December]])</f>
        <v>0</v>
      </c>
      <c r="V888" s="38"/>
      <c r="W888" s="38"/>
    </row>
    <row r="889" spans="2:23" x14ac:dyDescent="0.3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40"/>
      <c r="H889" s="40"/>
      <c r="I889" s="40"/>
      <c r="S889" s="37">
        <f>SUM(bron[[#This Row],[Januari]:[December]])</f>
        <v>0</v>
      </c>
      <c r="V889" s="38"/>
      <c r="W889" s="38"/>
    </row>
    <row r="890" spans="2:23" x14ac:dyDescent="0.3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40"/>
      <c r="H890" s="40"/>
      <c r="I890" s="40"/>
      <c r="S890" s="37">
        <f>SUM(bron[[#This Row],[Januari]:[December]])</f>
        <v>0</v>
      </c>
      <c r="V890" s="38"/>
      <c r="W890" s="38"/>
    </row>
    <row r="891" spans="2:23" x14ac:dyDescent="0.3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40"/>
      <c r="H891" s="40"/>
      <c r="I891" s="40"/>
      <c r="S891" s="37">
        <f>SUM(bron[[#This Row],[Januari]:[December]])</f>
        <v>0</v>
      </c>
      <c r="V891" s="38"/>
      <c r="W891" s="38"/>
    </row>
    <row r="892" spans="2:23" x14ac:dyDescent="0.3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40"/>
      <c r="H892" s="40"/>
      <c r="I892" s="40"/>
      <c r="S892" s="37">
        <f>SUM(bron[[#This Row],[Januari]:[December]])</f>
        <v>0</v>
      </c>
      <c r="V892" s="38"/>
      <c r="W892" s="38"/>
    </row>
    <row r="893" spans="2:23" x14ac:dyDescent="0.3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40"/>
      <c r="H893" s="40"/>
      <c r="I893" s="40"/>
      <c r="S893" s="37">
        <f>SUM(bron[[#This Row],[Januari]:[December]])</f>
        <v>0</v>
      </c>
      <c r="V893" s="38"/>
      <c r="W893" s="38"/>
    </row>
    <row r="894" spans="2:23" x14ac:dyDescent="0.3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40"/>
      <c r="H894" s="40"/>
      <c r="I894" s="40"/>
      <c r="S894" s="37">
        <f>SUM(bron[[#This Row],[Januari]:[December]])</f>
        <v>0</v>
      </c>
      <c r="V894" s="38"/>
      <c r="W894" s="38"/>
    </row>
    <row r="895" spans="2:23" x14ac:dyDescent="0.3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40"/>
      <c r="H895" s="40"/>
      <c r="I895" s="40"/>
      <c r="S895" s="37">
        <f>SUM(bron[[#This Row],[Januari]:[December]])</f>
        <v>0</v>
      </c>
      <c r="V895" s="38"/>
      <c r="W895" s="38"/>
    </row>
    <row r="896" spans="2:23" x14ac:dyDescent="0.3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40"/>
      <c r="H896" s="40"/>
      <c r="I896" s="40"/>
      <c r="S896" s="37">
        <f>SUM(bron[[#This Row],[Januari]:[December]])</f>
        <v>0</v>
      </c>
      <c r="V896" s="38"/>
      <c r="W896" s="38"/>
    </row>
    <row r="897" spans="2:23" x14ac:dyDescent="0.3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40"/>
      <c r="H897" s="40"/>
      <c r="I897" s="40"/>
      <c r="S897" s="37">
        <f>SUM(bron[[#This Row],[Januari]:[December]])</f>
        <v>0</v>
      </c>
      <c r="V897" s="38"/>
      <c r="W897" s="38"/>
    </row>
    <row r="898" spans="2:23" x14ac:dyDescent="0.3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40"/>
      <c r="H898" s="40"/>
      <c r="I898" s="40"/>
      <c r="S898" s="37">
        <f>SUM(bron[[#This Row],[Januari]:[December]])</f>
        <v>0</v>
      </c>
      <c r="V898" s="38"/>
      <c r="W898" s="38"/>
    </row>
    <row r="899" spans="2:23" x14ac:dyDescent="0.3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40"/>
      <c r="H899" s="40"/>
      <c r="I899" s="40"/>
      <c r="S899" s="37">
        <f>SUM(bron[[#This Row],[Januari]:[December]])</f>
        <v>0</v>
      </c>
      <c r="V899" s="38"/>
      <c r="W899" s="38"/>
    </row>
    <row r="900" spans="2:23" x14ac:dyDescent="0.3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40"/>
      <c r="H900" s="40"/>
      <c r="I900" s="40"/>
      <c r="S900" s="37">
        <f>SUM(bron[[#This Row],[Januari]:[December]])</f>
        <v>0</v>
      </c>
      <c r="V900" s="38"/>
      <c r="W900" s="38"/>
    </row>
    <row r="901" spans="2:23" x14ac:dyDescent="0.3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40"/>
      <c r="H901" s="40"/>
      <c r="I901" s="40"/>
      <c r="S901" s="37">
        <f>SUM(bron[[#This Row],[Januari]:[December]])</f>
        <v>0</v>
      </c>
      <c r="V901" s="38"/>
      <c r="W901" s="38"/>
    </row>
    <row r="902" spans="2:23" x14ac:dyDescent="0.3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40"/>
      <c r="H902" s="40"/>
      <c r="I902" s="40"/>
      <c r="S902" s="37">
        <f>SUM(bron[[#This Row],[Januari]:[December]])</f>
        <v>0</v>
      </c>
      <c r="V902" s="38"/>
      <c r="W902" s="38"/>
    </row>
    <row r="903" spans="2:23" x14ac:dyDescent="0.3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40"/>
      <c r="H903" s="40"/>
      <c r="I903" s="40"/>
      <c r="S903" s="37">
        <f>SUM(bron[[#This Row],[Januari]:[December]])</f>
        <v>0</v>
      </c>
      <c r="V903" s="38"/>
      <c r="W903" s="38"/>
    </row>
    <row r="904" spans="2:23" x14ac:dyDescent="0.3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40"/>
      <c r="H904" s="40"/>
      <c r="I904" s="40"/>
      <c r="S904" s="37">
        <f>SUM(bron[[#This Row],[Januari]:[December]])</f>
        <v>0</v>
      </c>
      <c r="V904" s="38"/>
      <c r="W904" s="38"/>
    </row>
    <row r="905" spans="2:23" x14ac:dyDescent="0.3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40"/>
      <c r="H905" s="40"/>
      <c r="I905" s="40"/>
      <c r="S905" s="37">
        <f>SUM(bron[[#This Row],[Januari]:[December]])</f>
        <v>0</v>
      </c>
      <c r="V905" s="38"/>
      <c r="W905" s="38"/>
    </row>
    <row r="906" spans="2:23" x14ac:dyDescent="0.3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40"/>
      <c r="H906" s="40"/>
      <c r="I906" s="40"/>
      <c r="S906" s="37">
        <f>SUM(bron[[#This Row],[Januari]:[December]])</f>
        <v>0</v>
      </c>
      <c r="V906" s="38"/>
      <c r="W906" s="38"/>
    </row>
    <row r="907" spans="2:23" x14ac:dyDescent="0.3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40"/>
      <c r="H907" s="40"/>
      <c r="I907" s="40"/>
      <c r="S907" s="37">
        <f>SUM(bron[[#This Row],[Januari]:[December]])</f>
        <v>0</v>
      </c>
      <c r="V907" s="38"/>
      <c r="W907" s="38"/>
    </row>
    <row r="908" spans="2:23" x14ac:dyDescent="0.3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40"/>
      <c r="H908" s="40"/>
      <c r="I908" s="40"/>
      <c r="S908" s="37">
        <f>SUM(bron[[#This Row],[Januari]:[December]])</f>
        <v>0</v>
      </c>
      <c r="V908" s="38"/>
      <c r="W908" s="38"/>
    </row>
    <row r="909" spans="2:23" x14ac:dyDescent="0.3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40"/>
      <c r="H909" s="40"/>
      <c r="I909" s="40"/>
      <c r="S909" s="37">
        <f>SUM(bron[[#This Row],[Januari]:[December]])</f>
        <v>0</v>
      </c>
      <c r="V909" s="38"/>
      <c r="W909" s="38"/>
    </row>
    <row r="910" spans="2:23" x14ac:dyDescent="0.3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40"/>
      <c r="H910" s="40"/>
      <c r="I910" s="40"/>
      <c r="S910" s="37">
        <f>SUM(bron[[#This Row],[Januari]:[December]])</f>
        <v>0</v>
      </c>
      <c r="V910" s="38"/>
      <c r="W910" s="38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3566</v>
      </c>
    </row>
    <row r="39" spans="1:3" x14ac:dyDescent="0.3">
      <c r="A39">
        <v>23079</v>
      </c>
      <c r="B39" t="s">
        <v>3545</v>
      </c>
      <c r="C39" s="8" t="s">
        <v>3567</v>
      </c>
    </row>
    <row r="40" spans="1:3" x14ac:dyDescent="0.3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2025-09-26T15:07:58Z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