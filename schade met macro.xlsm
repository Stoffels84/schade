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25" documentId="13_ncr:1_{10FCACA5-8197-478D-90D3-5F83063FB753}" xr6:coauthVersionLast="47" xr6:coauthVersionMax="47" xr10:uidLastSave="{6628F5E6-7D4E-491D-8759-582F92E179E4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5" l="1" a="1"/>
  <c r="H2" i="15" s="1"/>
  <c r="H3" i="15" a="1"/>
  <c r="H3" i="15" s="1"/>
  <c r="H4" i="15" a="1"/>
  <c r="H4" i="15"/>
  <c r="H5" i="15" a="1"/>
  <c r="H5" i="15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/>
  <c r="H13" i="15" a="1"/>
  <c r="H13" i="15" s="1"/>
  <c r="H14" i="15" a="1"/>
  <c r="H14" i="15" s="1"/>
  <c r="H15" i="15" a="1"/>
  <c r="H15" i="15" s="1"/>
  <c r="H16" i="15" a="1"/>
  <c r="H16" i="15"/>
  <c r="H17" i="15" a="1"/>
  <c r="H17" i="15"/>
  <c r="H18" i="15" a="1"/>
  <c r="H18" i="15" s="1"/>
  <c r="H19" i="15" a="1"/>
  <c r="H19" i="15" s="1"/>
  <c r="H20" i="15" a="1"/>
  <c r="H20" i="15" s="1"/>
  <c r="H21" i="15" a="1"/>
  <c r="H21" i="15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/>
  <c r="H29" i="15" a="1"/>
  <c r="H29" i="15" s="1"/>
  <c r="H30" i="15" a="1"/>
  <c r="H30" i="15" s="1"/>
  <c r="H31" i="15" a="1"/>
  <c r="H31" i="15" s="1"/>
  <c r="H32" i="15" a="1"/>
  <c r="H32" i="15" s="1"/>
  <c r="H33" i="15" a="1"/>
  <c r="H33" i="15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/>
  <c r="H45" i="15" a="1"/>
  <c r="H45" i="15" s="1"/>
  <c r="H46" i="15" a="1"/>
  <c r="H46" i="15" s="1"/>
  <c r="H47" i="15" a="1"/>
  <c r="H47" i="15" s="1"/>
  <c r="H48" i="15" a="1"/>
  <c r="H48" i="15" s="1"/>
  <c r="H49" i="15" a="1"/>
  <c r="H49" i="15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/>
  <c r="H61" i="15" a="1"/>
  <c r="H61" i="15" s="1"/>
  <c r="H62" i="15" a="1"/>
  <c r="H62" i="15" s="1"/>
  <c r="H63" i="15" a="1"/>
  <c r="H63" i="15" s="1"/>
  <c r="H64" i="15" a="1"/>
  <c r="H64" i="15" s="1"/>
  <c r="H65" i="15" a="1"/>
  <c r="H65" i="15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/>
  <c r="H77" i="15" a="1"/>
  <c r="H77" i="15" s="1"/>
  <c r="H78" i="15" a="1"/>
  <c r="H78" i="15" s="1"/>
  <c r="H79" i="15" a="1"/>
  <c r="H79" i="15" s="1"/>
  <c r="H80" i="15" a="1"/>
  <c r="H80" i="15" s="1"/>
  <c r="H81" i="15" a="1"/>
  <c r="H81" i="15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/>
  <c r="H93" i="15" a="1"/>
  <c r="H93" i="15" s="1"/>
  <c r="H94" i="15" a="1"/>
  <c r="H94" i="15" s="1"/>
  <c r="H95" i="15" a="1"/>
  <c r="H95" i="15" s="1"/>
  <c r="H96" i="15" a="1"/>
  <c r="H96" i="15" s="1"/>
  <c r="H97" i="15" a="1"/>
  <c r="H97" i="15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/>
  <c r="H343" i="15" a="1"/>
  <c r="H343" i="15" s="1"/>
  <c r="H344" i="15" a="1"/>
  <c r="H344" i="15" s="1"/>
  <c r="H345" i="15" a="1"/>
  <c r="H345" i="15" s="1"/>
  <c r="H346" i="15" a="1"/>
  <c r="H346" i="15"/>
  <c r="H347" i="15" a="1"/>
  <c r="H347" i="15" s="1"/>
  <c r="H348" i="15" a="1"/>
  <c r="H348" i="15" s="1"/>
  <c r="H349" i="15" a="1"/>
  <c r="H349" i="15" s="1"/>
  <c r="H350" i="15" a="1"/>
  <c r="H350" i="15"/>
  <c r="H351" i="15" a="1"/>
  <c r="H351" i="15" s="1"/>
  <c r="H352" i="15" a="1"/>
  <c r="H352" i="15" s="1"/>
  <c r="H353" i="15" a="1"/>
  <c r="H353" i="15" s="1"/>
  <c r="H354" i="15" a="1"/>
  <c r="H354" i="15"/>
  <c r="H355" i="15" a="1"/>
  <c r="H355" i="15" s="1"/>
  <c r="H356" i="15" a="1"/>
  <c r="H356" i="15" s="1"/>
  <c r="H357" i="15" a="1"/>
  <c r="H357" i="15" s="1"/>
  <c r="H358" i="15" a="1"/>
  <c r="H358" i="15"/>
  <c r="H359" i="15" a="1"/>
  <c r="H359" i="15" s="1"/>
  <c r="H360" i="15" a="1"/>
  <c r="H360" i="15" s="1"/>
  <c r="H361" i="15" a="1"/>
  <c r="H361" i="15" s="1"/>
  <c r="H362" i="15" a="1"/>
  <c r="H362" i="15"/>
  <c r="H363" i="15" a="1"/>
  <c r="H363" i="15" s="1"/>
  <c r="H364" i="15" a="1"/>
  <c r="H364" i="15" s="1"/>
  <c r="H365" i="15" a="1"/>
  <c r="H365" i="15" s="1"/>
  <c r="H366" i="15" a="1"/>
  <c r="H366" i="15"/>
  <c r="H367" i="15" a="1"/>
  <c r="H367" i="15" s="1"/>
  <c r="H368" i="15" a="1"/>
  <c r="H368" i="15" s="1"/>
  <c r="H369" i="15" a="1"/>
  <c r="H369" i="15" s="1"/>
  <c r="H370" i="15" a="1"/>
  <c r="H370" i="15"/>
  <c r="H371" i="15" a="1"/>
  <c r="H371" i="15" s="1"/>
  <c r="H372" i="15" a="1"/>
  <c r="H372" i="15" s="1"/>
  <c r="H373" i="15" a="1"/>
  <c r="H373" i="15" s="1"/>
  <c r="H374" i="15" a="1"/>
  <c r="H374" i="15"/>
  <c r="H375" i="15" a="1"/>
  <c r="H375" i="15" s="1"/>
  <c r="H376" i="15" a="1"/>
  <c r="H376" i="15" s="1"/>
  <c r="H377" i="15" a="1"/>
  <c r="H377" i="15" s="1"/>
  <c r="H378" i="15" a="1"/>
  <c r="H378" i="15"/>
  <c r="H379" i="15" a="1"/>
  <c r="H379" i="15" s="1"/>
  <c r="H380" i="15" a="1"/>
  <c r="H380" i="15" s="1"/>
  <c r="H381" i="15" a="1"/>
  <c r="H381" i="15" s="1"/>
  <c r="H382" i="15" a="1"/>
  <c r="H382" i="15"/>
  <c r="H383" i="15" a="1"/>
  <c r="H383" i="15" s="1"/>
  <c r="H384" i="15" a="1"/>
  <c r="H384" i="15" s="1"/>
  <c r="H385" i="15" a="1"/>
  <c r="H385" i="15" s="1"/>
  <c r="H386" i="15" a="1"/>
  <c r="H386" i="15"/>
  <c r="H387" i="15" a="1"/>
  <c r="H387" i="15" s="1"/>
  <c r="H388" i="15" a="1"/>
  <c r="H388" i="15" s="1"/>
  <c r="H389" i="15" a="1"/>
  <c r="H389" i="15" s="1"/>
  <c r="H390" i="15" a="1"/>
  <c r="H390" i="15"/>
  <c r="H391" i="15" a="1"/>
  <c r="H391" i="15" s="1"/>
  <c r="H392" i="15" a="1"/>
  <c r="H392" i="15" s="1"/>
  <c r="H393" i="15" a="1"/>
  <c r="H393" i="15" s="1"/>
  <c r="H394" i="15" a="1"/>
  <c r="H394" i="15"/>
  <c r="H395" i="15" a="1"/>
  <c r="H395" i="15" s="1"/>
  <c r="H396" i="15" a="1"/>
  <c r="H396" i="15" s="1"/>
  <c r="H397" i="15" a="1"/>
  <c r="H397" i="15" s="1"/>
  <c r="H398" i="15" a="1"/>
  <c r="H398" i="15"/>
  <c r="H399" i="15" a="1"/>
  <c r="H399" i="15" s="1"/>
  <c r="H400" i="15" a="1"/>
  <c r="H400" i="15" s="1"/>
  <c r="H401" i="15" a="1"/>
  <c r="H401" i="15" s="1"/>
  <c r="H402" i="15" a="1"/>
  <c r="H402" i="15"/>
  <c r="H403" i="15" a="1"/>
  <c r="H403" i="15" s="1"/>
  <c r="G188" i="15"/>
  <c r="G189" i="15"/>
  <c r="G286" i="15"/>
  <c r="G287" i="15"/>
  <c r="G339" i="15"/>
  <c r="G2" i="15"/>
  <c r="G3" i="15"/>
  <c r="G4" i="15"/>
  <c r="G190" i="15"/>
  <c r="G5" i="15"/>
  <c r="G191" i="15"/>
  <c r="G6" i="15"/>
  <c r="G7" i="15"/>
  <c r="G8" i="15"/>
  <c r="G192" i="15"/>
  <c r="G9" i="15"/>
  <c r="G340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341" i="15"/>
  <c r="G23" i="15"/>
  <c r="G24" i="15"/>
  <c r="G25" i="15"/>
  <c r="G288" i="15"/>
  <c r="G26" i="15"/>
  <c r="G27" i="15"/>
  <c r="G289" i="15"/>
  <c r="G28" i="15"/>
  <c r="G29" i="15"/>
  <c r="G30" i="15"/>
  <c r="G31" i="15"/>
  <c r="G32" i="15"/>
  <c r="G33" i="15"/>
  <c r="G193" i="15"/>
  <c r="G34" i="15"/>
  <c r="G194" i="15"/>
  <c r="G195" i="15"/>
  <c r="G35" i="15"/>
  <c r="G36" i="15"/>
  <c r="G196" i="15"/>
  <c r="G37" i="15"/>
  <c r="G197" i="15"/>
  <c r="G290" i="15"/>
  <c r="G38" i="15"/>
  <c r="G39" i="15"/>
  <c r="G40" i="15"/>
  <c r="G41" i="15"/>
  <c r="G198" i="15"/>
  <c r="G199" i="15"/>
  <c r="G385" i="15"/>
  <c r="G200" i="15"/>
  <c r="G42" i="15"/>
  <c r="G201" i="15"/>
  <c r="G202" i="15"/>
  <c r="G43" i="15"/>
  <c r="G291" i="15"/>
  <c r="G44" i="15"/>
  <c r="G292" i="15"/>
  <c r="G45" i="15"/>
  <c r="G46" i="15"/>
  <c r="G47" i="15"/>
  <c r="G342" i="15"/>
  <c r="G48" i="15"/>
  <c r="G49" i="15"/>
  <c r="G401" i="15"/>
  <c r="G50" i="15"/>
  <c r="G51" i="15"/>
  <c r="G203" i="15"/>
  <c r="G52" i="15"/>
  <c r="G53" i="15"/>
  <c r="G293" i="15"/>
  <c r="G54" i="15"/>
  <c r="G204" i="15"/>
  <c r="G55" i="15"/>
  <c r="G56" i="15"/>
  <c r="G205" i="15"/>
  <c r="G386" i="15"/>
  <c r="G206" i="15"/>
  <c r="G57" i="15"/>
  <c r="G207" i="15"/>
  <c r="G58" i="15"/>
  <c r="G59" i="15"/>
  <c r="G208" i="15"/>
  <c r="G209" i="15"/>
  <c r="G60" i="15"/>
  <c r="G61" i="15"/>
  <c r="G62" i="15"/>
  <c r="G63" i="15"/>
  <c r="G210" i="15"/>
  <c r="G64" i="15"/>
  <c r="G65" i="15"/>
  <c r="G294" i="15"/>
  <c r="G66" i="15"/>
  <c r="G295" i="15"/>
  <c r="G67" i="15"/>
  <c r="G68" i="15"/>
  <c r="G343" i="15"/>
  <c r="G211" i="15"/>
  <c r="G212" i="15"/>
  <c r="G69" i="15"/>
  <c r="G70" i="15"/>
  <c r="G71" i="15"/>
  <c r="G72" i="15"/>
  <c r="G73" i="15"/>
  <c r="G344" i="15"/>
  <c r="G296" i="15"/>
  <c r="G74" i="15"/>
  <c r="G75" i="15"/>
  <c r="G297" i="15"/>
  <c r="G76" i="15"/>
  <c r="G77" i="15"/>
  <c r="G78" i="15"/>
  <c r="G79" i="15"/>
  <c r="G213" i="15"/>
  <c r="G298" i="15"/>
  <c r="G299" i="15"/>
  <c r="G214" i="15"/>
  <c r="G300" i="15"/>
  <c r="G80" i="15"/>
  <c r="G81" i="15"/>
  <c r="G82" i="15"/>
  <c r="G83" i="15"/>
  <c r="G84" i="15"/>
  <c r="G85" i="15"/>
  <c r="G301" i="15"/>
  <c r="G86" i="15"/>
  <c r="G87" i="15"/>
  <c r="G215" i="15"/>
  <c r="G387" i="15"/>
  <c r="G88" i="15"/>
  <c r="G89" i="15"/>
  <c r="G216" i="15"/>
  <c r="G90" i="15"/>
  <c r="G91" i="15"/>
  <c r="G92" i="15"/>
  <c r="G302" i="15"/>
  <c r="G93" i="15"/>
  <c r="G217" i="15"/>
  <c r="G303" i="15"/>
  <c r="G94" i="15"/>
  <c r="G218" i="15"/>
  <c r="G304" i="15"/>
  <c r="G219" i="15"/>
  <c r="G220" i="15"/>
  <c r="G221" i="15"/>
  <c r="G95" i="15"/>
  <c r="G222" i="15"/>
  <c r="G305" i="15"/>
  <c r="G306" i="15"/>
  <c r="G223" i="15"/>
  <c r="G96" i="15"/>
  <c r="G224" i="15"/>
  <c r="G372" i="15"/>
  <c r="G97" i="15"/>
  <c r="G225" i="15"/>
  <c r="G226" i="15"/>
  <c r="G98" i="15"/>
  <c r="G227" i="15"/>
  <c r="G99" i="15"/>
  <c r="G100" i="15"/>
  <c r="G101" i="15"/>
  <c r="G102" i="15"/>
  <c r="G345" i="15"/>
  <c r="G228" i="15"/>
  <c r="G229" i="15"/>
  <c r="G230" i="15"/>
  <c r="G307" i="15"/>
  <c r="G388" i="15"/>
  <c r="G231" i="15"/>
  <c r="G308" i="15"/>
  <c r="G232" i="15"/>
  <c r="G233" i="15"/>
  <c r="G234" i="15"/>
  <c r="G103" i="15"/>
  <c r="G346" i="15"/>
  <c r="G104" i="15"/>
  <c r="G235" i="15"/>
  <c r="G236" i="15"/>
  <c r="G237" i="15"/>
  <c r="G373" i="15"/>
  <c r="G347" i="15"/>
  <c r="G309" i="15"/>
  <c r="G105" i="15"/>
  <c r="G374" i="15"/>
  <c r="G106" i="15"/>
  <c r="G238" i="15"/>
  <c r="G107" i="15"/>
  <c r="G108" i="15"/>
  <c r="G109" i="15"/>
  <c r="G110" i="15"/>
  <c r="G239" i="15"/>
  <c r="G240" i="15"/>
  <c r="G241" i="15"/>
  <c r="G242" i="15"/>
  <c r="G243" i="15"/>
  <c r="G111" i="15"/>
  <c r="G348" i="15"/>
  <c r="G349" i="15"/>
  <c r="G112" i="15"/>
  <c r="G244" i="15"/>
  <c r="G113" i="15"/>
  <c r="G114" i="15"/>
  <c r="G310" i="15"/>
  <c r="G115" i="15"/>
  <c r="G116" i="15"/>
  <c r="G350" i="15"/>
  <c r="G117" i="15"/>
  <c r="G245" i="15"/>
  <c r="G118" i="15"/>
  <c r="G119" i="15"/>
  <c r="G246" i="15"/>
  <c r="G311" i="15"/>
  <c r="G120" i="15"/>
  <c r="G247" i="15"/>
  <c r="G312" i="15"/>
  <c r="G375" i="15"/>
  <c r="G121" i="15"/>
  <c r="G313" i="15"/>
  <c r="G122" i="15"/>
  <c r="G123" i="15"/>
  <c r="G314" i="15"/>
  <c r="G124" i="15"/>
  <c r="G248" i="15"/>
  <c r="G389" i="15"/>
  <c r="G125" i="15"/>
  <c r="G315" i="15"/>
  <c r="G402" i="15"/>
  <c r="G351" i="15"/>
  <c r="G316" i="15"/>
  <c r="G317" i="15"/>
  <c r="G126" i="15"/>
  <c r="G249" i="15"/>
  <c r="G250" i="15"/>
  <c r="G251" i="15"/>
  <c r="G127" i="15"/>
  <c r="G128" i="15"/>
  <c r="G129" i="15"/>
  <c r="G252" i="15"/>
  <c r="G352" i="15"/>
  <c r="G130" i="15"/>
  <c r="G318" i="15"/>
  <c r="G353" i="15"/>
  <c r="G354" i="15"/>
  <c r="G319" i="15"/>
  <c r="G376" i="15"/>
  <c r="G390" i="15"/>
  <c r="G131" i="15"/>
  <c r="G253" i="15"/>
  <c r="G398" i="15"/>
  <c r="G132" i="15"/>
  <c r="G133" i="15"/>
  <c r="G134" i="15"/>
  <c r="G135" i="15"/>
  <c r="G320" i="15"/>
  <c r="G136" i="15"/>
  <c r="G254" i="15"/>
  <c r="G321" i="15"/>
  <c r="G137" i="15"/>
  <c r="G138" i="15"/>
  <c r="G139" i="15"/>
  <c r="G355" i="15"/>
  <c r="G377" i="15"/>
  <c r="G140" i="15"/>
  <c r="G141" i="15"/>
  <c r="G142" i="15"/>
  <c r="G143" i="15"/>
  <c r="G322" i="15"/>
  <c r="G323" i="15"/>
  <c r="G356" i="15"/>
  <c r="G324" i="15"/>
  <c r="G144" i="15"/>
  <c r="G255" i="15"/>
  <c r="G357" i="15"/>
  <c r="G378" i="15"/>
  <c r="G358" i="15"/>
  <c r="G394" i="15"/>
  <c r="G325" i="15"/>
  <c r="G326" i="15"/>
  <c r="G256" i="15"/>
  <c r="G145" i="15"/>
  <c r="G327" i="15"/>
  <c r="G359" i="15"/>
  <c r="G257" i="15"/>
  <c r="G146" i="15"/>
  <c r="G379" i="15"/>
  <c r="G258" i="15"/>
  <c r="G360" i="15"/>
  <c r="G361" i="15"/>
  <c r="G391" i="15"/>
  <c r="G259" i="15"/>
  <c r="G380" i="15"/>
  <c r="G147" i="15"/>
  <c r="G362" i="15"/>
  <c r="G260" i="15"/>
  <c r="G392" i="15"/>
  <c r="G381" i="15"/>
  <c r="G148" i="15"/>
  <c r="G363" i="15"/>
  <c r="G261" i="15"/>
  <c r="G395" i="15"/>
  <c r="G262" i="15"/>
  <c r="G149" i="15"/>
  <c r="G263" i="15"/>
  <c r="G264" i="15"/>
  <c r="G265" i="15"/>
  <c r="G364" i="15"/>
  <c r="G150" i="15"/>
  <c r="G151" i="15"/>
  <c r="G152" i="15"/>
  <c r="G153" i="15"/>
  <c r="G266" i="15"/>
  <c r="G154" i="15"/>
  <c r="G400" i="15"/>
  <c r="G267" i="15"/>
  <c r="G268" i="15"/>
  <c r="G155" i="15"/>
  <c r="G269" i="15"/>
  <c r="G270" i="15"/>
  <c r="G328" i="15"/>
  <c r="G396" i="15"/>
  <c r="G365" i="15"/>
  <c r="G403" i="15"/>
  <c r="G271" i="15"/>
  <c r="G272" i="15"/>
  <c r="G329" i="15"/>
  <c r="G366" i="15"/>
  <c r="G156" i="15"/>
  <c r="G330" i="15"/>
  <c r="G157" i="15"/>
  <c r="G331" i="15"/>
  <c r="G158" i="15"/>
  <c r="G159" i="15"/>
  <c r="G160" i="15"/>
  <c r="G367" i="15"/>
  <c r="G161" i="15"/>
  <c r="G273" i="15"/>
  <c r="G274" i="15"/>
  <c r="G162" i="15"/>
  <c r="G275" i="15"/>
  <c r="G397" i="15"/>
  <c r="G393" i="15"/>
  <c r="G163" i="15"/>
  <c r="G164" i="15"/>
  <c r="G382" i="15"/>
  <c r="G368" i="15"/>
  <c r="G369" i="15"/>
  <c r="G332" i="15"/>
  <c r="G165" i="15"/>
  <c r="G276" i="15"/>
  <c r="G370" i="15"/>
  <c r="G277" i="15"/>
  <c r="G278" i="15"/>
  <c r="G399" i="15"/>
  <c r="G166" i="15"/>
  <c r="G167" i="15"/>
  <c r="G383" i="15"/>
  <c r="G279" i="15"/>
  <c r="G333" i="15"/>
  <c r="G280" i="15"/>
  <c r="G168" i="15"/>
  <c r="G169" i="15"/>
  <c r="G371" i="15"/>
  <c r="G334" i="15"/>
  <c r="G335" i="15"/>
  <c r="G281" i="15"/>
  <c r="G336" i="15"/>
  <c r="G170" i="15"/>
  <c r="G171" i="15"/>
  <c r="G172" i="15"/>
  <c r="G173" i="15"/>
  <c r="G174" i="15"/>
  <c r="G175" i="15"/>
  <c r="G176" i="15"/>
  <c r="G282" i="15"/>
  <c r="G337" i="15"/>
  <c r="G177" i="15"/>
  <c r="G178" i="15"/>
  <c r="G283" i="15"/>
  <c r="G284" i="15"/>
  <c r="G179" i="15"/>
  <c r="G180" i="15"/>
  <c r="G181" i="15"/>
  <c r="G182" i="15"/>
  <c r="G183" i="15"/>
  <c r="G285" i="15"/>
  <c r="G338" i="15"/>
  <c r="G184" i="15"/>
  <c r="G185" i="15"/>
  <c r="G384" i="15"/>
  <c r="G186" i="15"/>
  <c r="G187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<sst xmlns="http://schemas.openxmlformats.org/spreadsheetml/2006/main" count="11033" uniqueCount="4280">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</sst>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71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1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3">
      <pivotArea field="6" type="button" dataOnly="0" labelOnly="1" outline="0" axis="axisRow" fieldPosition="0"/>
    </format>
    <format dxfId="51">
      <pivotArea dataOnly="0" labelOnly="1" fieldPosition="0">
        <references count="1">
          <reference field="6" count="0"/>
        </references>
      </pivotArea>
    </format>
    <format dxfId="49">
      <pivotArea dataOnly="0" labelOnly="1" grandRow="1" outline="0" fieldPosition="0"/>
    </format>
    <format dxfId="26">
      <pivotArea outline="0" collapsedLevelsAreSubtotals="1" fieldPosition="0"/>
    </format>
    <format dxfId="2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0"/>
    <tableColumn id="5" xr3:uid="{DF37AD45-FC5C-478A-989D-9143E744CEEA}" name="voornaam" dataDxfId="69">
      <calculatedColumnFormula>VLOOKUP(Tabel2[[#This Row],[nr]],'data hastus'!A:C,3,FALSE)</calculatedColumnFormula>
    </tableColumn>
    <tableColumn id="6" xr3:uid="{4098FAFB-9B09-4A81-8B22-18CC90B5F979}" name="achternaam" dataDxfId="6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7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5"/>
    <tableColumn id="11" xr3:uid="{97ECF1D5-48DC-4487-B3C2-17232CC8E19E}" name="Januari" dataDxfId="64"/>
    <tableColumn id="12" xr3:uid="{7B2FF520-A575-45C0-BB5A-19B87DDB4EA0}" name="Februari" dataDxfId="63"/>
    <tableColumn id="13" xr3:uid="{4E6C30D1-FB72-4AB2-900F-14A3D53F34DE}" name="Maart" dataDxfId="6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1">
      <calculatedColumnFormula>SUM(bron[[#This Row],[Januari]:[December]])</calculatedColumnFormula>
    </tableColumn>
    <tableColumn id="10" xr3:uid="{8D9646BD-38B6-4F4D-9859-B3933369346B}" name="Datum" dataDxfId="6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5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H1:H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8">
      <calculatedColumnFormula>YEAR(TODAY()) - YEAR(F2) - (IF(DATE(YEAR(TODAY()), MONTH(F2), DAY(F2)) &gt; TODAY(), 1, 0))</calculatedColumnFormula>
    </tableColumn>
    <tableColumn id="5" xr3:uid="{4C697650-E57C-44EB-9139-9D19E4E44782}" name="aantal schades" dataDxfId="0">
      <calculatedColumnFormula array="1">SUMPRODUCT((BRON!A2:A1197=Table1[[#This Row],[Personeelsnummer]])*(YEAR(BRON!T2:T1197)=YEAR(TODAY())))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activeCell="AB515" sqref="AB51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4276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4279</v>
      </c>
      <c r="J23" t="s">
        <v>4278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abSelected="1" zoomScale="90" zoomScaleNormal="90" workbookViewId="0">
      <selection activeCell="H2" sqref="H2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2562</v>
      </c>
      <c r="B2" s="34" t="s">
        <v>2561</v>
      </c>
      <c r="C2" s="34" t="s">
        <v>3868</v>
      </c>
      <c r="D2" s="34" t="s">
        <v>3860</v>
      </c>
      <c r="E2" s="34" t="s">
        <v>3866</v>
      </c>
      <c r="F2" s="3">
        <v>32644.083333333299</v>
      </c>
      <c r="G2" s="35">
        <f ca="1">YEAR(TODAY()) - YEAR(F2) - (IF(DATE(YEAR(TODAY()), MONTH(F2), DAY(F2)) &gt; TODAY(), 1, 0))</f>
        <v>36</v>
      </c>
      <c r="H2" cm="1">
        <f t="array" aca="1" ref="H2" ca="1">SUMPRODUCT((BRON!A2:A1197=Table1[[#This Row],[Personeelsnummer]])*(YEAR(BRON!T2:T1197)=YEAR(TODAY())))</f>
        <v>0</v>
      </c>
      <c r="J2" s="40" t="s">
        <v>3807</v>
      </c>
      <c r="K2" s="38" t="s">
        <v>4278</v>
      </c>
    </row>
    <row r="3" spans="1:11" x14ac:dyDescent="0.25">
      <c r="A3" s="34" t="s">
        <v>2581</v>
      </c>
      <c r="B3" s="34" t="s">
        <v>1950</v>
      </c>
      <c r="C3" s="34" t="s">
        <v>3869</v>
      </c>
      <c r="D3" s="34" t="s">
        <v>3860</v>
      </c>
      <c r="E3" s="34" t="s">
        <v>3870</v>
      </c>
      <c r="F3" s="3">
        <v>32797.083333333299</v>
      </c>
      <c r="G3" s="35">
        <f ca="1">YEAR(TODAY()) - YEAR(F3) - (IF(DATE(YEAR(TODAY()), MONTH(F3), DAY(F3)) &gt; TODAY(), 1, 0))</f>
        <v>36</v>
      </c>
      <c r="H3" cm="1">
        <f t="array" aca="1" ref="H3" ca="1">SUMPRODUCT((BRON!A3:A1198=Table1[[#This Row],[Personeelsnummer]])*(YEAR(BRON!T3:T1198)=YEAR(TODAY())))</f>
        <v>0</v>
      </c>
      <c r="J3" s="41">
        <v>37</v>
      </c>
      <c r="K3" s="38">
        <v>1</v>
      </c>
    </row>
    <row r="4" spans="1:11" x14ac:dyDescent="0.25">
      <c r="A4" s="34" t="s">
        <v>1351</v>
      </c>
      <c r="B4" s="34" t="s">
        <v>3276</v>
      </c>
      <c r="C4" s="34" t="s">
        <v>3872</v>
      </c>
      <c r="D4" s="34" t="s">
        <v>3867</v>
      </c>
      <c r="E4" s="34" t="s">
        <v>3866</v>
      </c>
      <c r="F4" s="3">
        <v>33287.041666666701</v>
      </c>
      <c r="G4" s="35">
        <f ca="1">YEAR(TODAY()) - YEAR(F4) - (IF(DATE(YEAR(TODAY()), MONTH(F4), DAY(F4)) &gt; TODAY(), 1, 0))</f>
        <v>34</v>
      </c>
      <c r="H4" cm="1">
        <f t="array" aca="1" ref="H4" ca="1">SUMPRODUCT((BRON!A4:A1199=Table1[[#This Row],[Personeelsnummer]])*(YEAR(BRON!T4:T1199)=YEAR(TODAY())))</f>
        <v>0</v>
      </c>
      <c r="J4" s="41">
        <v>36</v>
      </c>
      <c r="K4" s="38">
        <v>2</v>
      </c>
    </row>
    <row r="5" spans="1:11" x14ac:dyDescent="0.25">
      <c r="A5" s="34" t="s">
        <v>1911</v>
      </c>
      <c r="B5" s="34" t="s">
        <v>1910</v>
      </c>
      <c r="C5" s="34" t="s">
        <v>3875</v>
      </c>
      <c r="D5" s="34" t="s">
        <v>3857</v>
      </c>
      <c r="E5" s="34" t="s">
        <v>3874</v>
      </c>
      <c r="F5" s="3">
        <v>33609.041666666701</v>
      </c>
      <c r="G5" s="35">
        <f ca="1">YEAR(TODAY()) - YEAR(F5) - (IF(DATE(YEAR(TODAY()), MONTH(F5), DAY(F5)) &gt; TODAY(), 1, 0))</f>
        <v>33</v>
      </c>
      <c r="H5" cm="1">
        <f t="array" aca="1" ref="H5" ca="1">SUMPRODUCT((BRON!A5:A1200=Table1[[#This Row],[Personeelsnummer]])*(YEAR(BRON!T5:T1200)=YEAR(TODAY())))</f>
        <v>0</v>
      </c>
      <c r="J5" s="41">
        <v>34</v>
      </c>
      <c r="K5" s="38">
        <v>2</v>
      </c>
    </row>
    <row r="6" spans="1:11" x14ac:dyDescent="0.25">
      <c r="A6" s="34" t="s">
        <v>1782</v>
      </c>
      <c r="B6" s="34" t="s">
        <v>1781</v>
      </c>
      <c r="C6" s="34" t="s">
        <v>3877</v>
      </c>
      <c r="D6" s="34" t="s">
        <v>3867</v>
      </c>
      <c r="E6" s="34" t="s">
        <v>3866</v>
      </c>
      <c r="F6" s="3">
        <v>33742.083333333299</v>
      </c>
      <c r="G6" s="35">
        <f ca="1">YEAR(TODAY()) - YEAR(F6) - (IF(DATE(YEAR(TODAY()), MONTH(F6), DAY(F6)) &gt; TODAY(), 1, 0))</f>
        <v>33</v>
      </c>
      <c r="H6" cm="1">
        <f t="array" aca="1" ref="H6" ca="1">SUMPRODUCT((BRON!A6:A1201=Table1[[#This Row],[Personeelsnummer]])*(YEAR(BRON!T6:T1201)=YEAR(TODAY())))</f>
        <v>0</v>
      </c>
      <c r="J6" s="41">
        <v>33</v>
      </c>
      <c r="K6" s="38">
        <v>3</v>
      </c>
    </row>
    <row r="7" spans="1:11" x14ac:dyDescent="0.25">
      <c r="A7" s="34" t="s">
        <v>3329</v>
      </c>
      <c r="B7" s="34" t="s">
        <v>1255</v>
      </c>
      <c r="C7" s="34" t="s">
        <v>3878</v>
      </c>
      <c r="D7" s="34" t="s">
        <v>3860</v>
      </c>
      <c r="E7" s="34" t="s">
        <v>3870</v>
      </c>
      <c r="F7" s="3">
        <v>34008.041666666701</v>
      </c>
      <c r="G7" s="35">
        <f ca="1">YEAR(TODAY()) - YEAR(F7) - (IF(DATE(YEAR(TODAY()), MONTH(F7), DAY(F7)) &gt; TODAY(), 1, 0))</f>
        <v>32</v>
      </c>
      <c r="H7" cm="1">
        <f t="array" aca="1" ref="H7" ca="1">SUMPRODUCT((BRON!A7:A1202=Table1[[#This Row],[Personeelsnummer]])*(YEAR(BRON!T7:T1202)=YEAR(TODAY())))</f>
        <v>0</v>
      </c>
      <c r="J7" s="41">
        <v>32</v>
      </c>
      <c r="K7" s="38">
        <v>1</v>
      </c>
    </row>
    <row r="8" spans="1:11" x14ac:dyDescent="0.25">
      <c r="A8" s="34" t="s">
        <v>3045</v>
      </c>
      <c r="B8" s="34" t="s">
        <v>2350</v>
      </c>
      <c r="C8" s="34" t="s">
        <v>3879</v>
      </c>
      <c r="D8" s="34" t="s">
        <v>3860</v>
      </c>
      <c r="E8" s="34" t="s">
        <v>3863</v>
      </c>
      <c r="F8" s="3">
        <v>34932.083333333299</v>
      </c>
      <c r="G8" s="35">
        <f ca="1">YEAR(TODAY()) - YEAR(F8) - (IF(DATE(YEAR(TODAY()), MONTH(F8), DAY(F8)) &gt; TODAY(), 1, 0))</f>
        <v>30</v>
      </c>
      <c r="H8" cm="1">
        <f t="array" aca="1" ref="H8" ca="1">SUMPRODUCT((BRON!A8:A1203=Table1[[#This Row],[Personeelsnummer]])*(YEAR(BRON!T8:T1203)=YEAR(TODAY())))</f>
        <v>0</v>
      </c>
      <c r="J8" s="41">
        <v>30</v>
      </c>
      <c r="K8" s="38">
        <v>1</v>
      </c>
    </row>
    <row r="9" spans="1:11" x14ac:dyDescent="0.25">
      <c r="A9" s="34" t="s">
        <v>2579</v>
      </c>
      <c r="B9" s="34" t="s">
        <v>2578</v>
      </c>
      <c r="C9" s="34" t="s">
        <v>3882</v>
      </c>
      <c r="D9" s="34" t="s">
        <v>3867</v>
      </c>
      <c r="E9" s="34" t="s">
        <v>3870</v>
      </c>
      <c r="F9" s="3">
        <v>35219.083333333299</v>
      </c>
      <c r="G9" s="35">
        <f ca="1">YEAR(TODAY()) - YEAR(F9) - (IF(DATE(YEAR(TODAY()), MONTH(F9), DAY(F9)) &gt; TODAY(), 1, 0))</f>
        <v>29</v>
      </c>
      <c r="H9" cm="1">
        <f t="array" aca="1" ref="H9" ca="1">SUMPRODUCT((BRON!A9:A1204=Table1[[#This Row],[Personeelsnummer]])*(YEAR(BRON!T9:T1204)=YEAR(TODAY())))</f>
        <v>0</v>
      </c>
      <c r="J9" s="41">
        <v>29</v>
      </c>
      <c r="K9" s="38">
        <v>5</v>
      </c>
    </row>
    <row r="10" spans="1:11" x14ac:dyDescent="0.25">
      <c r="A10" s="34" t="s">
        <v>3347</v>
      </c>
      <c r="B10" s="34" t="s">
        <v>3346</v>
      </c>
      <c r="C10" s="34" t="s">
        <v>3884</v>
      </c>
      <c r="D10" s="34" t="s">
        <v>3860</v>
      </c>
      <c r="E10" s="34" t="s">
        <v>3866</v>
      </c>
      <c r="F10" s="3">
        <v>35303.083333333299</v>
      </c>
      <c r="G10" s="35">
        <f ca="1">YEAR(TODAY()) - YEAR(F10) - (IF(DATE(YEAR(TODAY()), MONTH(F10), DAY(F10)) &gt; TODAY(), 1, 0))</f>
        <v>29</v>
      </c>
      <c r="H10" cm="1">
        <f t="array" aca="1" ref="H10" ca="1">SUMPRODUCT((BRON!A10:A1205=Table1[[#This Row],[Personeelsnummer]])*(YEAR(BRON!T10:T1205)=YEAR(TODAY())))</f>
        <v>0</v>
      </c>
      <c r="J10" s="41">
        <v>28</v>
      </c>
      <c r="K10" s="38">
        <v>4</v>
      </c>
    </row>
    <row r="11" spans="1:11" x14ac:dyDescent="0.25">
      <c r="A11" s="34" t="s">
        <v>2296</v>
      </c>
      <c r="B11" s="34" t="s">
        <v>2295</v>
      </c>
      <c r="C11" s="34" t="s">
        <v>3885</v>
      </c>
      <c r="D11" s="34" t="s">
        <v>3867</v>
      </c>
      <c r="E11" s="34" t="s">
        <v>3854</v>
      </c>
      <c r="F11" s="3">
        <v>35394.041666666701</v>
      </c>
      <c r="G11" s="35">
        <f ca="1">YEAR(TODAY()) - YEAR(F11) - (IF(DATE(YEAR(TODAY()), MONTH(F11), DAY(F11)) &gt; TODAY(), 1, 0))</f>
        <v>29</v>
      </c>
      <c r="H11" cm="1">
        <f t="array" aca="1" ref="H11" ca="1">SUMPRODUCT((BRON!A11:A1206=Table1[[#This Row],[Personeelsnummer]])*(YEAR(BRON!T11:T1206)=YEAR(TODAY())))</f>
        <v>0</v>
      </c>
      <c r="J11" s="41">
        <v>27</v>
      </c>
      <c r="K11" s="38">
        <v>3</v>
      </c>
    </row>
    <row r="12" spans="1:11" x14ac:dyDescent="0.25">
      <c r="A12" s="34" t="s">
        <v>3055</v>
      </c>
      <c r="B12" s="34" t="s">
        <v>3054</v>
      </c>
      <c r="C12" s="34" t="s">
        <v>3886</v>
      </c>
      <c r="D12" s="34" t="s">
        <v>3857</v>
      </c>
      <c r="E12" s="34" t="s">
        <v>3854</v>
      </c>
      <c r="F12" s="3">
        <v>35478.041666666701</v>
      </c>
      <c r="G12" s="35">
        <f ca="1">YEAR(TODAY()) - YEAR(F12) - (IF(DATE(YEAR(TODAY()), MONTH(F12), DAY(F12)) &gt; TODAY(), 1, 0))</f>
        <v>28</v>
      </c>
      <c r="H12" cm="1">
        <f t="array" aca="1" ref="H12" ca="1">SUMPRODUCT((BRON!A12:A1207=Table1[[#This Row],[Personeelsnummer]])*(YEAR(BRON!T12:T1207)=YEAR(TODAY())))</f>
        <v>0</v>
      </c>
      <c r="J12" s="41">
        <v>26</v>
      </c>
      <c r="K12" s="38">
        <v>6</v>
      </c>
    </row>
    <row r="13" spans="1:11" x14ac:dyDescent="0.25">
      <c r="A13" s="34" t="s">
        <v>3092</v>
      </c>
      <c r="B13" s="34" t="s">
        <v>3091</v>
      </c>
      <c r="C13" s="34" t="s">
        <v>3887</v>
      </c>
      <c r="D13" s="34" t="s">
        <v>3857</v>
      </c>
      <c r="E13" s="34" t="s">
        <v>3870</v>
      </c>
      <c r="F13" s="3">
        <v>35478.041666666701</v>
      </c>
      <c r="G13" s="35">
        <f ca="1">YEAR(TODAY()) - YEAR(F13) - (IF(DATE(YEAR(TODAY()), MONTH(F13), DAY(F13)) &gt; TODAY(), 1, 0))</f>
        <v>28</v>
      </c>
      <c r="H13" cm="1">
        <f t="array" aca="1" ref="H13" ca="1">SUMPRODUCT((BRON!A13:A1208=Table1[[#This Row],[Personeelsnummer]])*(YEAR(BRON!T13:T1208)=YEAR(TODAY())))</f>
        <v>0</v>
      </c>
      <c r="J13" s="41">
        <v>25</v>
      </c>
      <c r="K13" s="38">
        <v>7</v>
      </c>
    </row>
    <row r="14" spans="1:11" x14ac:dyDescent="0.25">
      <c r="A14" s="34" t="s">
        <v>1824</v>
      </c>
      <c r="B14" s="34" t="s">
        <v>979</v>
      </c>
      <c r="C14" s="34" t="s">
        <v>3888</v>
      </c>
      <c r="D14" s="34" t="s">
        <v>3857</v>
      </c>
      <c r="E14" s="34" t="s">
        <v>3874</v>
      </c>
      <c r="F14" s="3">
        <v>35513.041666666701</v>
      </c>
      <c r="G14" s="35">
        <f ca="1">YEAR(TODAY()) - YEAR(F14) - (IF(DATE(YEAR(TODAY()), MONTH(F14), DAY(F14)) &gt; TODAY(), 1, 0))</f>
        <v>28</v>
      </c>
      <c r="H14" cm="1">
        <f t="array" aca="1" ref="H14" ca="1">SUMPRODUCT((BRON!A14:A1209=Table1[[#This Row],[Personeelsnummer]])*(YEAR(BRON!T14:T1209)=YEAR(TODAY())))</f>
        <v>0</v>
      </c>
      <c r="J14" s="41">
        <v>24</v>
      </c>
      <c r="K14" s="38">
        <v>5</v>
      </c>
    </row>
    <row r="15" spans="1:11" x14ac:dyDescent="0.25">
      <c r="A15" s="34" t="s">
        <v>2931</v>
      </c>
      <c r="B15" s="34" t="s">
        <v>2397</v>
      </c>
      <c r="C15" s="34" t="s">
        <v>3889</v>
      </c>
      <c r="D15" s="34" t="s">
        <v>3857</v>
      </c>
      <c r="E15" s="34" t="s">
        <v>3874</v>
      </c>
      <c r="F15" s="3">
        <v>35723.083333333299</v>
      </c>
      <c r="G15" s="35">
        <f ca="1">YEAR(TODAY()) - YEAR(F15) - (IF(DATE(YEAR(TODAY()), MONTH(F15), DAY(F15)) &gt; TODAY(), 1, 0))</f>
        <v>28</v>
      </c>
      <c r="H15" cm="1">
        <f t="array" aca="1" ref="H15" ca="1">SUMPRODUCT((BRON!A15:A1210=Table1[[#This Row],[Personeelsnummer]])*(YEAR(BRON!T15:T1210)=YEAR(TODAY())))</f>
        <v>0</v>
      </c>
      <c r="J15" s="41">
        <v>23</v>
      </c>
      <c r="K15" s="38">
        <v>8</v>
      </c>
    </row>
    <row r="16" spans="1:11" x14ac:dyDescent="0.25">
      <c r="A16" s="34" t="s">
        <v>1536</v>
      </c>
      <c r="B16" s="34" t="s">
        <v>1535</v>
      </c>
      <c r="C16" s="34" t="s">
        <v>3890</v>
      </c>
      <c r="D16" s="34" t="s">
        <v>3857</v>
      </c>
      <c r="E16" s="34" t="s">
        <v>3874</v>
      </c>
      <c r="F16" s="3">
        <v>35891.083333333299</v>
      </c>
      <c r="G16" s="35">
        <f ca="1">YEAR(TODAY()) - YEAR(F16) - (IF(DATE(YEAR(TODAY()), MONTH(F16), DAY(F16)) &gt; TODAY(), 1, 0))</f>
        <v>27</v>
      </c>
      <c r="H16" cm="1">
        <f t="array" aca="1" ref="H16" ca="1">SUMPRODUCT((BRON!A16:A1211=Table1[[#This Row],[Personeelsnummer]])*(YEAR(BRON!T16:T1211)=YEAR(TODAY())))</f>
        <v>0</v>
      </c>
      <c r="J16" s="41">
        <v>22</v>
      </c>
      <c r="K16" s="38">
        <v>6</v>
      </c>
    </row>
    <row r="17" spans="1:11" x14ac:dyDescent="0.25">
      <c r="A17" s="34" t="s">
        <v>1452</v>
      </c>
      <c r="B17" s="34" t="s">
        <v>1451</v>
      </c>
      <c r="C17" s="34" t="s">
        <v>3891</v>
      </c>
      <c r="D17" s="34" t="s">
        <v>3857</v>
      </c>
      <c r="E17" s="34" t="s">
        <v>3864</v>
      </c>
      <c r="F17" s="3">
        <v>35948.083333333299</v>
      </c>
      <c r="G17" s="35">
        <f ca="1">YEAR(TODAY()) - YEAR(F17) - (IF(DATE(YEAR(TODAY()), MONTH(F17), DAY(F17)) &gt; TODAY(), 1, 0))</f>
        <v>27</v>
      </c>
      <c r="H17" cm="1">
        <f t="array" aca="1" ref="H17" ca="1">SUMPRODUCT((BRON!A17:A1212=Table1[[#This Row],[Personeelsnummer]])*(YEAR(BRON!T17:T1212)=YEAR(TODAY())))</f>
        <v>0</v>
      </c>
      <c r="J17" s="41">
        <v>21</v>
      </c>
      <c r="K17" s="38">
        <v>6</v>
      </c>
    </row>
    <row r="18" spans="1:11" x14ac:dyDescent="0.25">
      <c r="A18" s="34" t="s">
        <v>2679</v>
      </c>
      <c r="B18" s="34" t="s">
        <v>2678</v>
      </c>
      <c r="C18" s="34" t="s">
        <v>3892</v>
      </c>
      <c r="D18" s="34" t="s">
        <v>3853</v>
      </c>
      <c r="E18" s="34" t="s">
        <v>3854</v>
      </c>
      <c r="F18" s="3">
        <v>36080.083333333299</v>
      </c>
      <c r="G18" s="35">
        <f ca="1">YEAR(TODAY()) - YEAR(F18) - (IF(DATE(YEAR(TODAY()), MONTH(F18), DAY(F18)) &gt; TODAY(), 1, 0))</f>
        <v>27</v>
      </c>
      <c r="H18" cm="1">
        <f t="array" aca="1" ref="H18" ca="1">SUMPRODUCT((BRON!A18:A1213=Table1[[#This Row],[Personeelsnummer]])*(YEAR(BRON!T18:T1213)=YEAR(TODAY())))</f>
        <v>0</v>
      </c>
      <c r="J18" s="41">
        <v>20</v>
      </c>
      <c r="K18" s="38">
        <v>4</v>
      </c>
    </row>
    <row r="19" spans="1:11" x14ac:dyDescent="0.25">
      <c r="A19" s="34" t="s">
        <v>2265</v>
      </c>
      <c r="B19" s="34" t="s">
        <v>2264</v>
      </c>
      <c r="C19" s="34" t="s">
        <v>3893</v>
      </c>
      <c r="D19" s="34" t="s">
        <v>3894</v>
      </c>
      <c r="E19" s="34" t="s">
        <v>3874</v>
      </c>
      <c r="F19" s="3">
        <v>36227.041666666701</v>
      </c>
      <c r="G19" s="35">
        <f ca="1">YEAR(TODAY()) - YEAR(F19) - (IF(DATE(YEAR(TODAY()), MONTH(F19), DAY(F19)) &gt; TODAY(), 1, 0))</f>
        <v>26</v>
      </c>
      <c r="H19" cm="1">
        <f t="array" aca="1" ref="H19" ca="1">SUMPRODUCT((BRON!A19:A1214=Table1[[#This Row],[Personeelsnummer]])*(YEAR(BRON!T19:T1214)=YEAR(TODAY())))</f>
        <v>0</v>
      </c>
      <c r="J19" s="41">
        <v>19</v>
      </c>
      <c r="K19" s="38">
        <v>8</v>
      </c>
    </row>
    <row r="20" spans="1:11" x14ac:dyDescent="0.25">
      <c r="A20" s="34" t="s">
        <v>2611</v>
      </c>
      <c r="B20" s="34" t="s">
        <v>2610</v>
      </c>
      <c r="C20" s="34" t="s">
        <v>3895</v>
      </c>
      <c r="D20" s="34" t="s">
        <v>3857</v>
      </c>
      <c r="E20" s="34" t="s">
        <v>3870</v>
      </c>
      <c r="F20" s="3">
        <v>36227.041666666701</v>
      </c>
      <c r="G20" s="35">
        <f ca="1">YEAR(TODAY()) - YEAR(F20) - (IF(DATE(YEAR(TODAY()), MONTH(F20), DAY(F20)) &gt; TODAY(), 1, 0))</f>
        <v>26</v>
      </c>
      <c r="H20" cm="1">
        <f t="array" aca="1" ref="H20" ca="1">SUMPRODUCT((BRON!A20:A1215=Table1[[#This Row],[Personeelsnummer]])*(YEAR(BRON!T20:T1215)=YEAR(TODAY())))</f>
        <v>0</v>
      </c>
      <c r="J20" s="41">
        <v>18</v>
      </c>
      <c r="K20" s="38">
        <v>12</v>
      </c>
    </row>
    <row r="21" spans="1:11" x14ac:dyDescent="0.25">
      <c r="A21" s="34" t="s">
        <v>2347</v>
      </c>
      <c r="B21" s="34" t="s">
        <v>2346</v>
      </c>
      <c r="C21" s="34" t="s">
        <v>3896</v>
      </c>
      <c r="D21" s="34" t="s">
        <v>3853</v>
      </c>
      <c r="E21" s="34" t="s">
        <v>3866</v>
      </c>
      <c r="F21" s="3">
        <v>36262.083333333299</v>
      </c>
      <c r="G21" s="35">
        <f ca="1">YEAR(TODAY()) - YEAR(F21) - (IF(DATE(YEAR(TODAY()), MONTH(F21), DAY(F21)) &gt; TODAY(), 1, 0))</f>
        <v>26</v>
      </c>
      <c r="H21" cm="1">
        <f t="array" aca="1" ref="H21" ca="1">SUMPRODUCT((BRON!A21:A1216=Table1[[#This Row],[Personeelsnummer]])*(YEAR(BRON!T21:T1216)=YEAR(TODAY())))</f>
        <v>0</v>
      </c>
      <c r="J21" s="41">
        <v>17</v>
      </c>
      <c r="K21" s="38">
        <v>11</v>
      </c>
    </row>
    <row r="22" spans="1:11" x14ac:dyDescent="0.25">
      <c r="A22" s="34" t="s">
        <v>2781</v>
      </c>
      <c r="B22" s="34" t="s">
        <v>2780</v>
      </c>
      <c r="C22" s="34" t="s">
        <v>3897</v>
      </c>
      <c r="D22" s="34" t="s">
        <v>3857</v>
      </c>
      <c r="E22" s="34" t="s">
        <v>3864</v>
      </c>
      <c r="F22" s="3">
        <v>36311.083333333299</v>
      </c>
      <c r="G22" s="35">
        <f ca="1">YEAR(TODAY()) - YEAR(F22) - (IF(DATE(YEAR(TODAY()), MONTH(F22), DAY(F22)) &gt; TODAY(), 1, 0))</f>
        <v>26</v>
      </c>
      <c r="H22" cm="1">
        <f t="array" aca="1" ref="H22" ca="1">SUMPRODUCT((BRON!A22:A1217=Table1[[#This Row],[Personeelsnummer]])*(YEAR(BRON!T22:T1217)=YEAR(TODAY())))</f>
        <v>0</v>
      </c>
      <c r="J22" s="41">
        <v>16</v>
      </c>
      <c r="K22" s="38">
        <v>6</v>
      </c>
    </row>
    <row r="23" spans="1:11" x14ac:dyDescent="0.25">
      <c r="A23" s="34" t="s">
        <v>2065</v>
      </c>
      <c r="B23" s="34" t="s">
        <v>2064</v>
      </c>
      <c r="C23" s="34" t="s">
        <v>3899</v>
      </c>
      <c r="D23" s="34" t="s">
        <v>3853</v>
      </c>
      <c r="E23" s="34" t="s">
        <v>3866</v>
      </c>
      <c r="F23" s="3">
        <v>36388.083333333299</v>
      </c>
      <c r="G23" s="35">
        <f ca="1">YEAR(TODAY()) - YEAR(F23) - (IF(DATE(YEAR(TODAY()), MONTH(F23), DAY(F23)) &gt; TODAY(), 1, 0))</f>
        <v>26</v>
      </c>
      <c r="H23" cm="1">
        <f t="array" aca="1" ref="H23" ca="1">SUMPRODUCT((BRON!A23:A1218=Table1[[#This Row],[Personeelsnummer]])*(YEAR(BRON!T23:T1218)=YEAR(TODAY())))</f>
        <v>0</v>
      </c>
      <c r="J23" s="41">
        <v>15</v>
      </c>
      <c r="K23" s="38">
        <v>5</v>
      </c>
    </row>
    <row r="24" spans="1:11" x14ac:dyDescent="0.25">
      <c r="A24" s="34" t="s">
        <v>1991</v>
      </c>
      <c r="B24" s="34" t="s">
        <v>1990</v>
      </c>
      <c r="C24" s="34" t="s">
        <v>3900</v>
      </c>
      <c r="D24" s="34" t="s">
        <v>3853</v>
      </c>
      <c r="E24" s="34" t="s">
        <v>3866</v>
      </c>
      <c r="F24" s="3">
        <v>36542.041666666701</v>
      </c>
      <c r="G24" s="35">
        <f ca="1">YEAR(TODAY()) - YEAR(F24) - (IF(DATE(YEAR(TODAY()), MONTH(F24), DAY(F24)) &gt; TODAY(), 1, 0))</f>
        <v>25</v>
      </c>
      <c r="H24" cm="1">
        <f t="array" aca="1" ref="H24" ca="1">SUMPRODUCT((BRON!A24:A1219=Table1[[#This Row],[Personeelsnummer]])*(YEAR(BRON!T24:T1219)=YEAR(TODAY())))</f>
        <v>0</v>
      </c>
      <c r="J24" s="41">
        <v>14</v>
      </c>
      <c r="K24" s="38">
        <v>15</v>
      </c>
    </row>
    <row r="25" spans="1:11" x14ac:dyDescent="0.25">
      <c r="A25" s="34" t="s">
        <v>2394</v>
      </c>
      <c r="B25" s="34" t="s">
        <v>2393</v>
      </c>
      <c r="C25" s="34" t="s">
        <v>3901</v>
      </c>
      <c r="D25" s="34" t="s">
        <v>3860</v>
      </c>
      <c r="E25" s="34" t="s">
        <v>3866</v>
      </c>
      <c r="F25" s="3">
        <v>36612.083333333299</v>
      </c>
      <c r="G25" s="35">
        <f ca="1">YEAR(TODAY()) - YEAR(F25) - (IF(DATE(YEAR(TODAY()), MONTH(F25), DAY(F25)) &gt; TODAY(), 1, 0))</f>
        <v>25</v>
      </c>
      <c r="H25" cm="1">
        <f t="array" aca="1" ref="H25" ca="1">SUMPRODUCT((BRON!A25:A1220=Table1[[#This Row],[Personeelsnummer]])*(YEAR(BRON!T25:T1220)=YEAR(TODAY())))</f>
        <v>0</v>
      </c>
      <c r="J25" s="41">
        <v>13</v>
      </c>
      <c r="K25" s="38">
        <v>6</v>
      </c>
    </row>
    <row r="26" spans="1:11" x14ac:dyDescent="0.25">
      <c r="A26" s="34" t="s">
        <v>2405</v>
      </c>
      <c r="B26" s="34" t="s">
        <v>3067</v>
      </c>
      <c r="C26" s="34" t="s">
        <v>3903</v>
      </c>
      <c r="D26" s="34" t="s">
        <v>3860</v>
      </c>
      <c r="E26" s="34" t="s">
        <v>3870</v>
      </c>
      <c r="F26" s="3">
        <v>36690.083333333299</v>
      </c>
      <c r="G26" s="35">
        <f ca="1">YEAR(TODAY()) - YEAR(F26) - (IF(DATE(YEAR(TODAY()), MONTH(F26), DAY(F26)) &gt; TODAY(), 1, 0))</f>
        <v>25</v>
      </c>
      <c r="H26" cm="1">
        <f t="array" aca="1" ref="H26" ca="1">SUMPRODUCT((BRON!A26:A1221=Table1[[#This Row],[Personeelsnummer]])*(YEAR(BRON!T26:T1221)=YEAR(TODAY())))</f>
        <v>0</v>
      </c>
      <c r="J26" s="41">
        <v>12</v>
      </c>
      <c r="K26" s="38">
        <v>1</v>
      </c>
    </row>
    <row r="27" spans="1:11" x14ac:dyDescent="0.25">
      <c r="A27" s="34" t="s">
        <v>1341</v>
      </c>
      <c r="B27" s="34" t="s">
        <v>2256</v>
      </c>
      <c r="C27" s="34" t="s">
        <v>3904</v>
      </c>
      <c r="D27" s="34" t="s">
        <v>3853</v>
      </c>
      <c r="E27" s="34" t="s">
        <v>3866</v>
      </c>
      <c r="F27" s="3">
        <v>36759.083333333299</v>
      </c>
      <c r="G27" s="35">
        <f ca="1">YEAR(TODAY()) - YEAR(F27) - (IF(DATE(YEAR(TODAY()), MONTH(F27), DAY(F27)) &gt; TODAY(), 1, 0))</f>
        <v>25</v>
      </c>
      <c r="H27" cm="1">
        <f t="array" aca="1" ref="H27" ca="1">SUMPRODUCT((BRON!A27:A1222=Table1[[#This Row],[Personeelsnummer]])*(YEAR(BRON!T27:T1222)=YEAR(TODAY())))</f>
        <v>0</v>
      </c>
      <c r="J27" s="41">
        <v>11</v>
      </c>
      <c r="K27" s="38">
        <v>9</v>
      </c>
    </row>
    <row r="28" spans="1:11" x14ac:dyDescent="0.25">
      <c r="A28" s="34" t="s">
        <v>2405</v>
      </c>
      <c r="B28" s="34" t="s">
        <v>3081</v>
      </c>
      <c r="C28" s="34" t="s">
        <v>3906</v>
      </c>
      <c r="D28" s="34" t="s">
        <v>3853</v>
      </c>
      <c r="E28" s="34" t="s">
        <v>3864</v>
      </c>
      <c r="F28" s="3">
        <v>36853.041666666701</v>
      </c>
      <c r="G28" s="35">
        <f ca="1">YEAR(TODAY()) - YEAR(F28) - (IF(DATE(YEAR(TODAY()), MONTH(F28), DAY(F28)) &gt; TODAY(), 1, 0))</f>
        <v>25</v>
      </c>
      <c r="H28" cm="1">
        <f t="array" aca="1" ref="H28" ca="1">SUMPRODUCT((BRON!A28:A1223=Table1[[#This Row],[Personeelsnummer]])*(YEAR(BRON!T28:T1223)=YEAR(TODAY())))</f>
        <v>0</v>
      </c>
      <c r="J28" s="41">
        <v>10</v>
      </c>
      <c r="K28" s="38">
        <v>7</v>
      </c>
    </row>
    <row r="29" spans="1:11" x14ac:dyDescent="0.25">
      <c r="A29" s="34" t="s">
        <v>3124</v>
      </c>
      <c r="B29" s="34" t="s">
        <v>3009</v>
      </c>
      <c r="C29" s="34" t="s">
        <v>3907</v>
      </c>
      <c r="D29" s="34" t="s">
        <v>3853</v>
      </c>
      <c r="E29" s="34" t="s">
        <v>3881</v>
      </c>
      <c r="F29" s="3">
        <v>36948.041666666701</v>
      </c>
      <c r="G29" s="35">
        <f ca="1">YEAR(TODAY()) - YEAR(F29) - (IF(DATE(YEAR(TODAY()), MONTH(F29), DAY(F29)) &gt; TODAY(), 1, 0))</f>
        <v>24</v>
      </c>
      <c r="H29" cm="1">
        <f t="array" aca="1" ref="H29" ca="1">SUMPRODUCT((BRON!A29:A1224=Table1[[#This Row],[Personeelsnummer]])*(YEAR(BRON!T29:T1224)=YEAR(TODAY())))</f>
        <v>0</v>
      </c>
      <c r="J29" s="41">
        <v>9</v>
      </c>
      <c r="K29" s="38">
        <v>9</v>
      </c>
    </row>
    <row r="30" spans="1:11" x14ac:dyDescent="0.25">
      <c r="A30" s="34" t="s">
        <v>2631</v>
      </c>
      <c r="B30" s="34" t="s">
        <v>1473</v>
      </c>
      <c r="C30" s="34" t="s">
        <v>3908</v>
      </c>
      <c r="D30" s="34" t="s">
        <v>3867</v>
      </c>
      <c r="E30" s="34" t="s">
        <v>3863</v>
      </c>
      <c r="F30" s="3">
        <v>36948.041666666701</v>
      </c>
      <c r="G30" s="35">
        <f ca="1">YEAR(TODAY()) - YEAR(F30) - (IF(DATE(YEAR(TODAY()), MONTH(F30), DAY(F30)) &gt; TODAY(), 1, 0))</f>
        <v>24</v>
      </c>
      <c r="H30" cm="1">
        <f t="array" aca="1" ref="H30" ca="1">SUMPRODUCT((BRON!A30:A1225=Table1[[#This Row],[Personeelsnummer]])*(YEAR(BRON!T30:T1225)=YEAR(TODAY())))</f>
        <v>0</v>
      </c>
      <c r="J30" s="41">
        <v>8</v>
      </c>
      <c r="K30" s="38">
        <v>12</v>
      </c>
    </row>
    <row r="31" spans="1:11" x14ac:dyDescent="0.25">
      <c r="A31" s="34" t="s">
        <v>1824</v>
      </c>
      <c r="B31" s="34" t="s">
        <v>1829</v>
      </c>
      <c r="C31" s="34" t="s">
        <v>3909</v>
      </c>
      <c r="D31" s="34" t="s">
        <v>3860</v>
      </c>
      <c r="E31" s="34" t="s">
        <v>3854</v>
      </c>
      <c r="F31" s="3">
        <v>37018.083333333299</v>
      </c>
      <c r="G31" s="35">
        <f ca="1">YEAR(TODAY()) - YEAR(F31) - (IF(DATE(YEAR(TODAY()), MONTH(F31), DAY(F31)) &gt; TODAY(), 1, 0))</f>
        <v>24</v>
      </c>
      <c r="H31" cm="1">
        <f t="array" aca="1" ref="H31" ca="1">SUMPRODUCT((BRON!A31:A1226=Table1[[#This Row],[Personeelsnummer]])*(YEAR(BRON!T31:T1226)=YEAR(TODAY())))</f>
        <v>0</v>
      </c>
      <c r="J31" s="41">
        <v>7</v>
      </c>
      <c r="K31" s="38">
        <v>8</v>
      </c>
    </row>
    <row r="32" spans="1:11" x14ac:dyDescent="0.25">
      <c r="A32" s="34" t="s">
        <v>1210</v>
      </c>
      <c r="B32" s="34" t="s">
        <v>1625</v>
      </c>
      <c r="C32" s="34" t="s">
        <v>3910</v>
      </c>
      <c r="D32" s="34" t="s">
        <v>3853</v>
      </c>
      <c r="E32" s="34" t="s">
        <v>3881</v>
      </c>
      <c r="F32" s="3">
        <v>37047.083333333299</v>
      </c>
      <c r="G32" s="35">
        <f ca="1">YEAR(TODAY()) - YEAR(F32) - (IF(DATE(YEAR(TODAY()), MONTH(F32), DAY(F32)) &gt; TODAY(), 1, 0))</f>
        <v>24</v>
      </c>
      <c r="H32" cm="1">
        <f t="array" aca="1" ref="H32" ca="1">SUMPRODUCT((BRON!A32:A1227=Table1[[#This Row],[Personeelsnummer]])*(YEAR(BRON!T32:T1227)=YEAR(TODAY())))</f>
        <v>0</v>
      </c>
      <c r="J32" s="41">
        <v>6</v>
      </c>
      <c r="K32" s="38">
        <v>13</v>
      </c>
    </row>
    <row r="33" spans="1:11" x14ac:dyDescent="0.25">
      <c r="A33" s="34" t="s">
        <v>2427</v>
      </c>
      <c r="B33" s="34" t="s">
        <v>2433</v>
      </c>
      <c r="C33" s="34" t="s">
        <v>3911</v>
      </c>
      <c r="D33" s="34" t="s">
        <v>3853</v>
      </c>
      <c r="E33" s="34" t="s">
        <v>3866</v>
      </c>
      <c r="F33" s="3">
        <v>37214.041666666701</v>
      </c>
      <c r="G33" s="35">
        <f ca="1">YEAR(TODAY()) - YEAR(F33) - (IF(DATE(YEAR(TODAY()), MONTH(F33), DAY(F33)) &gt; TODAY(), 1, 0))</f>
        <v>24</v>
      </c>
      <c r="H33" cm="1">
        <f t="array" aca="1" ref="H33" ca="1">SUMPRODUCT((BRON!A33:A1228=Table1[[#This Row],[Personeelsnummer]])*(YEAR(BRON!T33:T1228)=YEAR(TODAY())))</f>
        <v>0</v>
      </c>
      <c r="J33" s="41">
        <v>5</v>
      </c>
      <c r="K33" s="38">
        <v>24</v>
      </c>
    </row>
    <row r="34" spans="1:11" x14ac:dyDescent="0.25">
      <c r="A34" s="34" t="s">
        <v>1504</v>
      </c>
      <c r="B34" s="34" t="s">
        <v>1503</v>
      </c>
      <c r="C34" s="34" t="s">
        <v>3913</v>
      </c>
      <c r="D34" s="34" t="s">
        <v>3860</v>
      </c>
      <c r="E34" s="34" t="s">
        <v>3866</v>
      </c>
      <c r="F34" s="3">
        <v>37397.083333333299</v>
      </c>
      <c r="G34" s="35">
        <f ca="1">YEAR(TODAY()) - YEAR(F34) - (IF(DATE(YEAR(TODAY()), MONTH(F34), DAY(F34)) &gt; TODAY(), 1, 0))</f>
        <v>23</v>
      </c>
      <c r="H34" cm="1">
        <f t="array" aca="1" ref="H34" ca="1">SUMPRODUCT((BRON!A34:A1229=Table1[[#This Row],[Personeelsnummer]])*(YEAR(BRON!T34:T1229)=YEAR(TODAY())))</f>
        <v>0</v>
      </c>
      <c r="J34" s="41">
        <v>4</v>
      </c>
      <c r="K34" s="38">
        <v>23</v>
      </c>
    </row>
    <row r="35" spans="1:11" x14ac:dyDescent="0.25">
      <c r="A35" s="34" t="s">
        <v>1929</v>
      </c>
      <c r="B35" s="34" t="s">
        <v>1943</v>
      </c>
      <c r="C35" s="34" t="s">
        <v>3916</v>
      </c>
      <c r="D35" s="34" t="s">
        <v>3857</v>
      </c>
      <c r="E35" s="34" t="s">
        <v>3864</v>
      </c>
      <c r="F35" s="3">
        <v>37543.083333333299</v>
      </c>
      <c r="G35" s="35">
        <f ca="1">YEAR(TODAY()) - YEAR(F35) - (IF(DATE(YEAR(TODAY()), MONTH(F35), DAY(F35)) &gt; TODAY(), 1, 0))</f>
        <v>23</v>
      </c>
      <c r="H35" cm="1">
        <f t="array" aca="1" ref="H35" ca="1">SUMPRODUCT((BRON!A35:A1230=Table1[[#This Row],[Personeelsnummer]])*(YEAR(BRON!T35:T1230)=YEAR(TODAY())))</f>
        <v>0</v>
      </c>
      <c r="J35" s="41">
        <v>3</v>
      </c>
      <c r="K35" s="38">
        <v>30</v>
      </c>
    </row>
    <row r="36" spans="1:11" x14ac:dyDescent="0.25">
      <c r="A36" s="34" t="s">
        <v>2495</v>
      </c>
      <c r="B36" s="34" t="s">
        <v>2498</v>
      </c>
      <c r="C36" s="34" t="s">
        <v>3917</v>
      </c>
      <c r="D36" s="34" t="s">
        <v>3853</v>
      </c>
      <c r="E36" s="34" t="s">
        <v>3881</v>
      </c>
      <c r="F36" s="3">
        <v>37543.083333333299</v>
      </c>
      <c r="G36" s="35">
        <f ca="1">YEAR(TODAY()) - YEAR(F36) - (IF(DATE(YEAR(TODAY()), MONTH(F36), DAY(F36)) &gt; TODAY(), 1, 0))</f>
        <v>23</v>
      </c>
      <c r="H36" cm="1">
        <f t="array" aca="1" ref="H36" ca="1">SUMPRODUCT((BRON!A36:A1231=Table1[[#This Row],[Personeelsnummer]])*(YEAR(BRON!T36:T1231)=YEAR(TODAY())))</f>
        <v>0</v>
      </c>
      <c r="J36" s="41">
        <v>2</v>
      </c>
      <c r="K36" s="38">
        <v>43</v>
      </c>
    </row>
    <row r="37" spans="1:11" x14ac:dyDescent="0.25">
      <c r="A37" s="34" t="s">
        <v>2879</v>
      </c>
      <c r="B37" s="34" t="s">
        <v>2206</v>
      </c>
      <c r="C37" s="34" t="s">
        <v>3919</v>
      </c>
      <c r="D37" s="34" t="s">
        <v>3867</v>
      </c>
      <c r="E37" s="34" t="s">
        <v>3870</v>
      </c>
      <c r="F37" s="3">
        <v>37585.041666666701</v>
      </c>
      <c r="G37" s="35">
        <f ca="1">YEAR(TODAY()) - YEAR(F37) - (IF(DATE(YEAR(TODAY()), MONTH(F37), DAY(F37)) &gt; TODAY(), 1, 0))</f>
        <v>23</v>
      </c>
      <c r="H37" cm="1">
        <f t="array" aca="1" ref="H37" ca="1">SUMPRODUCT((BRON!A37:A1232=Table1[[#This Row],[Personeelsnummer]])*(YEAR(BRON!T37:T1232)=YEAR(TODAY())))</f>
        <v>0</v>
      </c>
      <c r="J37" s="41">
        <v>1</v>
      </c>
      <c r="K37" s="38">
        <v>61</v>
      </c>
    </row>
    <row r="38" spans="1:11" x14ac:dyDescent="0.25">
      <c r="A38" s="34" t="s">
        <v>1536</v>
      </c>
      <c r="B38" s="34" t="s">
        <v>1545</v>
      </c>
      <c r="C38" s="34" t="s">
        <v>3922</v>
      </c>
      <c r="D38" s="34" t="s">
        <v>3853</v>
      </c>
      <c r="E38" s="34" t="s">
        <v>3866</v>
      </c>
      <c r="F38" s="3">
        <v>37739.083333333299</v>
      </c>
      <c r="G38" s="35">
        <f ca="1">YEAR(TODAY()) - YEAR(F38) - (IF(DATE(YEAR(TODAY()), MONTH(F38), DAY(F38)) &gt; TODAY(), 1, 0))</f>
        <v>22</v>
      </c>
      <c r="H38" cm="1">
        <f t="array" aca="1" ref="H38" ca="1">SUMPRODUCT((BRON!A38:A1233=Table1[[#This Row],[Personeelsnummer]])*(YEAR(BRON!T38:T1233)=YEAR(TODAY())))</f>
        <v>0</v>
      </c>
      <c r="J38" s="41">
        <v>0</v>
      </c>
      <c r="K38" s="38">
        <v>35</v>
      </c>
    </row>
    <row r="39" spans="1:11" x14ac:dyDescent="0.25">
      <c r="A39" s="34" t="s">
        <v>1521</v>
      </c>
      <c r="B39" s="34" t="s">
        <v>1524</v>
      </c>
      <c r="C39" s="34" t="s">
        <v>3923</v>
      </c>
      <c r="D39" s="34" t="s">
        <v>3853</v>
      </c>
      <c r="E39" s="34" t="s">
        <v>3854</v>
      </c>
      <c r="F39" s="3">
        <v>37788.083333333299</v>
      </c>
      <c r="G39" s="35">
        <f ca="1">YEAR(TODAY()) - YEAR(F39) - (IF(DATE(YEAR(TODAY()), MONTH(F39), DAY(F39)) &gt; TODAY(), 1, 0))</f>
        <v>22</v>
      </c>
      <c r="H39" cm="1">
        <f t="array" aca="1" ref="H39" ca="1">SUMPRODUCT((BRON!A39:A1234=Table1[[#This Row],[Personeelsnummer]])*(YEAR(BRON!T39:T1234)=YEAR(TODAY())))</f>
        <v>0</v>
      </c>
      <c r="J39" s="41" t="s">
        <v>65</v>
      </c>
      <c r="K39" s="38">
        <v>402</v>
      </c>
    </row>
    <row r="40" spans="1:11" x14ac:dyDescent="0.25">
      <c r="A40" s="34" t="s">
        <v>1960</v>
      </c>
      <c r="B40" s="34" t="s">
        <v>1976</v>
      </c>
      <c r="C40" s="34" t="s">
        <v>3924</v>
      </c>
      <c r="D40" s="34" t="s">
        <v>3857</v>
      </c>
      <c r="E40" s="34" t="s">
        <v>3871</v>
      </c>
      <c r="F40" s="3">
        <v>37886.083333333299</v>
      </c>
      <c r="G40" s="35">
        <f ca="1">YEAR(TODAY()) - YEAR(F40) - (IF(DATE(YEAR(TODAY()), MONTH(F40), DAY(F40)) &gt; TODAY(), 1, 0))</f>
        <v>22</v>
      </c>
      <c r="H40" cm="1">
        <f t="array" aca="1" ref="H40" ca="1">SUMPRODUCT((BRON!A40:A1235=Table1[[#This Row],[Personeelsnummer]])*(YEAR(BRON!T40:T1235)=YEAR(TODAY())))</f>
        <v>0</v>
      </c>
    </row>
    <row r="41" spans="1:11" x14ac:dyDescent="0.25">
      <c r="A41" s="34" t="s">
        <v>1801</v>
      </c>
      <c r="B41" s="34" t="s">
        <v>1800</v>
      </c>
      <c r="C41" s="34" t="s">
        <v>3925</v>
      </c>
      <c r="D41" s="34" t="s">
        <v>3857</v>
      </c>
      <c r="E41" s="34" t="s">
        <v>3854</v>
      </c>
      <c r="F41" s="3">
        <v>37886.083333333299</v>
      </c>
      <c r="G41" s="35">
        <f ca="1">YEAR(TODAY()) - YEAR(F41) - (IF(DATE(YEAR(TODAY()), MONTH(F41), DAY(F41)) &gt; TODAY(), 1, 0))</f>
        <v>22</v>
      </c>
      <c r="H41" cm="1">
        <f t="array" aca="1" ref="H41" ca="1">SUMPRODUCT((BRON!A41:A1236=Table1[[#This Row],[Personeelsnummer]])*(YEAR(BRON!T41:T1236)=YEAR(TODAY())))</f>
        <v>0</v>
      </c>
    </row>
    <row r="42" spans="1:11" x14ac:dyDescent="0.25">
      <c r="A42" s="34" t="s">
        <v>1491</v>
      </c>
      <c r="B42" s="34" t="s">
        <v>1499</v>
      </c>
      <c r="C42" s="34" t="s">
        <v>3930</v>
      </c>
      <c r="D42" s="34" t="s">
        <v>3860</v>
      </c>
      <c r="E42" s="34" t="s">
        <v>3864</v>
      </c>
      <c r="F42" s="3">
        <v>38222.083333333299</v>
      </c>
      <c r="G42" s="35">
        <f ca="1">YEAR(TODAY()) - YEAR(F42) - (IF(DATE(YEAR(TODAY()), MONTH(F42), DAY(F42)) &gt; TODAY(), 1, 0))</f>
        <v>21</v>
      </c>
      <c r="H42" cm="1">
        <f t="array" aca="1" ref="H42" ca="1">SUMPRODUCT((BRON!A42:A1237=Table1[[#This Row],[Personeelsnummer]])*(YEAR(BRON!T42:T1237)=YEAR(TODAY())))</f>
        <v>0</v>
      </c>
    </row>
    <row r="43" spans="1:11" x14ac:dyDescent="0.25">
      <c r="A43" s="34" t="s">
        <v>3128</v>
      </c>
      <c r="B43" s="34" t="s">
        <v>3127</v>
      </c>
      <c r="C43" s="34" t="s">
        <v>3933</v>
      </c>
      <c r="D43" s="34" t="s">
        <v>3857</v>
      </c>
      <c r="E43" s="34" t="s">
        <v>3864</v>
      </c>
      <c r="F43" s="3">
        <v>38404.041666666701</v>
      </c>
      <c r="G43" s="35">
        <f ca="1">YEAR(TODAY()) - YEAR(F43) - (IF(DATE(YEAR(TODAY()), MONTH(F43), DAY(F43)) &gt; TODAY(), 1, 0))</f>
        <v>20</v>
      </c>
      <c r="H43" cm="1">
        <f t="array" aca="1" ref="H43" ca="1">SUMPRODUCT((BRON!A43:A1238=Table1[[#This Row],[Personeelsnummer]])*(YEAR(BRON!T43:T1238)=YEAR(TODAY())))</f>
        <v>0</v>
      </c>
    </row>
    <row r="44" spans="1:11" x14ac:dyDescent="0.25">
      <c r="A44" s="34" t="s">
        <v>2777</v>
      </c>
      <c r="B44" s="34" t="s">
        <v>2776</v>
      </c>
      <c r="C44" s="34" t="s">
        <v>3935</v>
      </c>
      <c r="D44" s="34" t="s">
        <v>3860</v>
      </c>
      <c r="E44" s="34" t="s">
        <v>3854</v>
      </c>
      <c r="F44" s="3">
        <v>38481.083333333299</v>
      </c>
      <c r="G44" s="35">
        <f ca="1">YEAR(TODAY()) - YEAR(F44) - (IF(DATE(YEAR(TODAY()), MONTH(F44), DAY(F44)) &gt; TODAY(), 1, 0))</f>
        <v>20</v>
      </c>
      <c r="H44" cm="1">
        <f t="array" aca="1" ref="H44" ca="1">SUMPRODUCT((BRON!A44:A1239=Table1[[#This Row],[Personeelsnummer]])*(YEAR(BRON!T44:T1239)=YEAR(TODAY())))</f>
        <v>0</v>
      </c>
    </row>
    <row r="45" spans="1:11" x14ac:dyDescent="0.25">
      <c r="A45" s="34" t="s">
        <v>1929</v>
      </c>
      <c r="B45" s="34" t="s">
        <v>1937</v>
      </c>
      <c r="C45" s="34" t="s">
        <v>3938</v>
      </c>
      <c r="D45" s="34" t="s">
        <v>3860</v>
      </c>
      <c r="E45" s="34" t="s">
        <v>3870</v>
      </c>
      <c r="F45" s="3">
        <v>38789.041666666701</v>
      </c>
      <c r="G45" s="35">
        <f ca="1">YEAR(TODAY()) - YEAR(F45) - (IF(DATE(YEAR(TODAY()), MONTH(F45), DAY(F45)) &gt; TODAY(), 1, 0))</f>
        <v>19</v>
      </c>
      <c r="H45" cm="1">
        <f t="array" aca="1" ref="H45" ca="1">SUMPRODUCT((BRON!A45:A1240=Table1[[#This Row],[Personeelsnummer]])*(YEAR(BRON!T45:T1240)=YEAR(TODAY())))</f>
        <v>0</v>
      </c>
    </row>
    <row r="46" spans="1:11" x14ac:dyDescent="0.25">
      <c r="A46" s="34" t="s">
        <v>2405</v>
      </c>
      <c r="B46" s="34" t="s">
        <v>3078</v>
      </c>
      <c r="C46" s="34" t="s">
        <v>3939</v>
      </c>
      <c r="D46" s="34" t="s">
        <v>3860</v>
      </c>
      <c r="E46" s="34" t="s">
        <v>3854</v>
      </c>
      <c r="F46" s="3">
        <v>38789.041666666701</v>
      </c>
      <c r="G46" s="35">
        <f ca="1">YEAR(TODAY()) - YEAR(F46) - (IF(DATE(YEAR(TODAY()), MONTH(F46), DAY(F46)) &gt; TODAY(), 1, 0))</f>
        <v>19</v>
      </c>
      <c r="H46" cm="1">
        <f t="array" aca="1" ref="H46" ca="1">SUMPRODUCT((BRON!A46:A1241=Table1[[#This Row],[Personeelsnummer]])*(YEAR(BRON!T46:T1241)=YEAR(TODAY())))</f>
        <v>0</v>
      </c>
    </row>
    <row r="47" spans="1:11" x14ac:dyDescent="0.25">
      <c r="A47" s="34" t="s">
        <v>2820</v>
      </c>
      <c r="B47" s="34" t="s">
        <v>2829</v>
      </c>
      <c r="C47" s="34" t="s">
        <v>3940</v>
      </c>
      <c r="D47" s="34" t="s">
        <v>3860</v>
      </c>
      <c r="E47" s="34" t="s">
        <v>3866</v>
      </c>
      <c r="F47" s="3">
        <v>38831.083333333299</v>
      </c>
      <c r="G47" s="35">
        <f ca="1">YEAR(TODAY()) - YEAR(F47) - (IF(DATE(YEAR(TODAY()), MONTH(F47), DAY(F47)) &gt; TODAY(), 1, 0))</f>
        <v>19</v>
      </c>
      <c r="H47" cm="1">
        <f t="array" aca="1" ref="H47" ca="1">SUMPRODUCT((BRON!A47:A1242=Table1[[#This Row],[Personeelsnummer]])*(YEAR(BRON!T47:T1242)=YEAR(TODAY())))</f>
        <v>0</v>
      </c>
    </row>
    <row r="48" spans="1:11" x14ac:dyDescent="0.25">
      <c r="A48" s="34" t="s">
        <v>2420</v>
      </c>
      <c r="B48" s="34" t="s">
        <v>2423</v>
      </c>
      <c r="C48" s="34" t="s">
        <v>3942</v>
      </c>
      <c r="D48" s="34" t="s">
        <v>3860</v>
      </c>
      <c r="E48" s="34" t="s">
        <v>3871</v>
      </c>
      <c r="F48" s="3">
        <v>38908.083333333299</v>
      </c>
      <c r="G48" s="35">
        <f ca="1">YEAR(TODAY()) - YEAR(F48) - (IF(DATE(YEAR(TODAY()), MONTH(F48), DAY(F48)) &gt; TODAY(), 1, 0))</f>
        <v>19</v>
      </c>
      <c r="H48" cm="1">
        <f t="array" aca="1" ref="H48" ca="1">SUMPRODUCT((BRON!A48:A1243=Table1[[#This Row],[Personeelsnummer]])*(YEAR(BRON!T48:T1243)=YEAR(TODAY())))</f>
        <v>0</v>
      </c>
    </row>
    <row r="49" spans="1:8" x14ac:dyDescent="0.25">
      <c r="A49" s="34" t="s">
        <v>1960</v>
      </c>
      <c r="B49" s="34" t="s">
        <v>1974</v>
      </c>
      <c r="C49" s="34" t="s">
        <v>3943</v>
      </c>
      <c r="D49" s="34" t="s">
        <v>3857</v>
      </c>
      <c r="E49" s="34" t="s">
        <v>3874</v>
      </c>
      <c r="F49" s="3">
        <v>38992.083333333299</v>
      </c>
      <c r="G49" s="35">
        <f ca="1">YEAR(TODAY()) - YEAR(F49) - (IF(DATE(YEAR(TODAY()), MONTH(F49), DAY(F49)) &gt; TODAY(), 1, 0))</f>
        <v>19</v>
      </c>
      <c r="H49" cm="1">
        <f t="array" aca="1" ref="H49" ca="1">SUMPRODUCT((BRON!A49:A1244=Table1[[#This Row],[Personeelsnummer]])*(YEAR(BRON!T49:T1244)=YEAR(TODAY())))</f>
        <v>0</v>
      </c>
    </row>
    <row r="50" spans="1:8" x14ac:dyDescent="0.25">
      <c r="A50" s="34" t="s">
        <v>2374</v>
      </c>
      <c r="B50" s="34" t="s">
        <v>2373</v>
      </c>
      <c r="C50" s="34" t="s">
        <v>3945</v>
      </c>
      <c r="D50" s="34" t="s">
        <v>3857</v>
      </c>
      <c r="E50" s="34" t="s">
        <v>3881</v>
      </c>
      <c r="F50" s="3">
        <v>39132.041666666701</v>
      </c>
      <c r="G50" s="35">
        <f ca="1">YEAR(TODAY()) - YEAR(F50) - (IF(DATE(YEAR(TODAY()), MONTH(F50), DAY(F50)) &gt; TODAY(), 1, 0))</f>
        <v>18</v>
      </c>
      <c r="H50" cm="1">
        <f t="array" aca="1" ref="H50" ca="1">SUMPRODUCT((BRON!A50:A1245=Table1[[#This Row],[Personeelsnummer]])*(YEAR(BRON!T50:T1245)=YEAR(TODAY())))</f>
        <v>0</v>
      </c>
    </row>
    <row r="51" spans="1:8" x14ac:dyDescent="0.25">
      <c r="A51" s="34" t="s">
        <v>1341</v>
      </c>
      <c r="B51" s="34" t="s">
        <v>2475</v>
      </c>
      <c r="C51" s="34" t="s">
        <v>3946</v>
      </c>
      <c r="D51" s="34" t="s">
        <v>3857</v>
      </c>
      <c r="E51" s="34" t="s">
        <v>3881</v>
      </c>
      <c r="F51" s="3">
        <v>39146.041666666701</v>
      </c>
      <c r="G51" s="35">
        <f ca="1">YEAR(TODAY()) - YEAR(F51) - (IF(DATE(YEAR(TODAY()), MONTH(F51), DAY(F51)) &gt; TODAY(), 1, 0))</f>
        <v>18</v>
      </c>
      <c r="H51" cm="1">
        <f t="array" aca="1" ref="H51" ca="1">SUMPRODUCT((BRON!A51:A1246=Table1[[#This Row],[Personeelsnummer]])*(YEAR(BRON!T51:T1246)=YEAR(TODAY())))</f>
        <v>0</v>
      </c>
    </row>
    <row r="52" spans="1:8" x14ac:dyDescent="0.25">
      <c r="A52" s="34" t="s">
        <v>2944</v>
      </c>
      <c r="B52" s="34" t="s">
        <v>2943</v>
      </c>
      <c r="C52" s="34" t="s">
        <v>3948</v>
      </c>
      <c r="D52" s="34" t="s">
        <v>3853</v>
      </c>
      <c r="E52" s="34" t="s">
        <v>3871</v>
      </c>
      <c r="F52" s="3">
        <v>39174.083333333299</v>
      </c>
      <c r="G52" s="35">
        <f ca="1">YEAR(TODAY()) - YEAR(F52) - (IF(DATE(YEAR(TODAY()), MONTH(F52), DAY(F52)) &gt; TODAY(), 1, 0))</f>
        <v>18</v>
      </c>
      <c r="H52" cm="1">
        <f t="array" aca="1" ref="H52" ca="1">SUMPRODUCT((BRON!A52:A1247=Table1[[#This Row],[Personeelsnummer]])*(YEAR(BRON!T52:T1247)=YEAR(TODAY())))</f>
        <v>0</v>
      </c>
    </row>
    <row r="53" spans="1:8" x14ac:dyDescent="0.25">
      <c r="A53" s="34" t="s">
        <v>2687</v>
      </c>
      <c r="B53" s="34" t="s">
        <v>2686</v>
      </c>
      <c r="C53" s="34" t="s">
        <v>3949</v>
      </c>
      <c r="D53" s="34" t="s">
        <v>3857</v>
      </c>
      <c r="E53" s="34" t="s">
        <v>3854</v>
      </c>
      <c r="F53" s="3">
        <v>39174.083333333299</v>
      </c>
      <c r="G53" s="35">
        <f ca="1">YEAR(TODAY()) - YEAR(F53) - (IF(DATE(YEAR(TODAY()), MONTH(F53), DAY(F53)) &gt; TODAY(), 1, 0))</f>
        <v>18</v>
      </c>
      <c r="H53" cm="1">
        <f t="array" aca="1" ref="H53" ca="1">SUMPRODUCT((BRON!A53:A1248=Table1[[#This Row],[Personeelsnummer]])*(YEAR(BRON!T53:T1248)=YEAR(TODAY())))</f>
        <v>0</v>
      </c>
    </row>
    <row r="54" spans="1:8" x14ac:dyDescent="0.25">
      <c r="A54" s="34" t="s">
        <v>1351</v>
      </c>
      <c r="B54" s="34" t="s">
        <v>1744</v>
      </c>
      <c r="C54" s="34" t="s">
        <v>3951</v>
      </c>
      <c r="D54" s="34" t="s">
        <v>3860</v>
      </c>
      <c r="E54" s="34" t="s">
        <v>3870</v>
      </c>
      <c r="F54" s="3">
        <v>39204.083333333299</v>
      </c>
      <c r="G54" s="35">
        <f ca="1">YEAR(TODAY()) - YEAR(F54) - (IF(DATE(YEAR(TODAY()), MONTH(F54), DAY(F54)) &gt; TODAY(), 1, 0))</f>
        <v>18</v>
      </c>
      <c r="H54" cm="1">
        <f t="array" aca="1" ref="H54" ca="1">SUMPRODUCT((BRON!A54:A1249=Table1[[#This Row],[Personeelsnummer]])*(YEAR(BRON!T54:T1249)=YEAR(TODAY())))</f>
        <v>0</v>
      </c>
    </row>
    <row r="55" spans="1:8" x14ac:dyDescent="0.25">
      <c r="A55" s="34" t="s">
        <v>3092</v>
      </c>
      <c r="B55" s="34" t="s">
        <v>3101</v>
      </c>
      <c r="C55" s="34" t="s">
        <v>3953</v>
      </c>
      <c r="D55" s="34" t="s">
        <v>3853</v>
      </c>
      <c r="E55" s="34" t="s">
        <v>3863</v>
      </c>
      <c r="F55" s="3">
        <v>39286.083333333299</v>
      </c>
      <c r="G55" s="35">
        <f ca="1">YEAR(TODAY()) - YEAR(F55) - (IF(DATE(YEAR(TODAY()), MONTH(F55), DAY(F55)) &gt; TODAY(), 1, 0))</f>
        <v>18</v>
      </c>
      <c r="H55" cm="1">
        <f t="array" aca="1" ref="H55" ca="1">SUMPRODUCT((BRON!A55:A1250=Table1[[#This Row],[Personeelsnummer]])*(YEAR(BRON!T55:T1250)=YEAR(TODAY())))</f>
        <v>0</v>
      </c>
    </row>
    <row r="56" spans="1:8" x14ac:dyDescent="0.25">
      <c r="A56" s="34" t="s">
        <v>2296</v>
      </c>
      <c r="B56" s="34" t="s">
        <v>2303</v>
      </c>
      <c r="C56" s="34" t="s">
        <v>3954</v>
      </c>
      <c r="D56" s="34" t="s">
        <v>3857</v>
      </c>
      <c r="E56" s="34" t="s">
        <v>3871</v>
      </c>
      <c r="F56" s="3">
        <v>39356.083333333299</v>
      </c>
      <c r="G56" s="35">
        <f ca="1">YEAR(TODAY()) - YEAR(F56) - (IF(DATE(YEAR(TODAY()), MONTH(F56), DAY(F56)) &gt; TODAY(), 1, 0))</f>
        <v>18</v>
      </c>
      <c r="H56" cm="1">
        <f t="array" aca="1" ref="H56" ca="1">SUMPRODUCT((BRON!A56:A1251=Table1[[#This Row],[Personeelsnummer]])*(YEAR(BRON!T56:T1251)=YEAR(TODAY())))</f>
        <v>0</v>
      </c>
    </row>
    <row r="57" spans="1:8" x14ac:dyDescent="0.25">
      <c r="A57" s="34" t="s">
        <v>2960</v>
      </c>
      <c r="B57" s="34" t="s">
        <v>2498</v>
      </c>
      <c r="C57" s="34" t="s">
        <v>3958</v>
      </c>
      <c r="D57" s="34" t="s">
        <v>3894</v>
      </c>
      <c r="E57" s="34" t="s">
        <v>3871</v>
      </c>
      <c r="F57" s="3">
        <v>39496.041666666701</v>
      </c>
      <c r="G57" s="35">
        <f ca="1">YEAR(TODAY()) - YEAR(F57) - (IF(DATE(YEAR(TODAY()), MONTH(F57), DAY(F57)) &gt; TODAY(), 1, 0))</f>
        <v>17</v>
      </c>
      <c r="H57" cm="1">
        <f t="array" aca="1" ref="H57" ca="1">SUMPRODUCT((BRON!A57:A1252=Table1[[#This Row],[Personeelsnummer]])*(YEAR(BRON!T57:T1252)=YEAR(TODAY())))</f>
        <v>0</v>
      </c>
    </row>
    <row r="58" spans="1:8" x14ac:dyDescent="0.25">
      <c r="A58" s="34" t="s">
        <v>1929</v>
      </c>
      <c r="B58" s="34" t="s">
        <v>1637</v>
      </c>
      <c r="C58" s="34" t="s">
        <v>3960</v>
      </c>
      <c r="D58" s="34" t="s">
        <v>3860</v>
      </c>
      <c r="E58" s="34" t="s">
        <v>3871</v>
      </c>
      <c r="F58" s="3">
        <v>39538.083333333299</v>
      </c>
      <c r="G58" s="35">
        <f ca="1">YEAR(TODAY()) - YEAR(F58) - (IF(DATE(YEAR(TODAY()), MONTH(F58), DAY(F58)) &gt; TODAY(), 1, 0))</f>
        <v>17</v>
      </c>
      <c r="H58" cm="1">
        <f t="array" aca="1" ref="H58" ca="1">SUMPRODUCT((BRON!A58:A1253=Table1[[#This Row],[Personeelsnummer]])*(YEAR(BRON!T58:T1253)=YEAR(TODAY())))</f>
        <v>0</v>
      </c>
    </row>
    <row r="59" spans="1:8" x14ac:dyDescent="0.25">
      <c r="A59" s="34" t="s">
        <v>1991</v>
      </c>
      <c r="B59" s="34" t="s">
        <v>2003</v>
      </c>
      <c r="C59" s="34" t="s">
        <v>3961</v>
      </c>
      <c r="D59" s="34" t="s">
        <v>3853</v>
      </c>
      <c r="E59" s="34" t="s">
        <v>3874</v>
      </c>
      <c r="F59" s="3">
        <v>39573.083333333299</v>
      </c>
      <c r="G59" s="35">
        <f ca="1">YEAR(TODAY()) - YEAR(F59) - (IF(DATE(YEAR(TODAY()), MONTH(F59), DAY(F59)) &gt; TODAY(), 1, 0))</f>
        <v>17</v>
      </c>
      <c r="H59" cm="1">
        <f t="array" aca="1" ref="H59" ca="1">SUMPRODUCT((BRON!A59:A1254=Table1[[#This Row],[Personeelsnummer]])*(YEAR(BRON!T59:T1254)=YEAR(TODAY())))</f>
        <v>0</v>
      </c>
    </row>
    <row r="60" spans="1:8" x14ac:dyDescent="0.25">
      <c r="A60" s="34" t="s">
        <v>3450</v>
      </c>
      <c r="B60" s="34" t="s">
        <v>3449</v>
      </c>
      <c r="C60" s="34" t="s">
        <v>3964</v>
      </c>
      <c r="D60" s="34" t="s">
        <v>3857</v>
      </c>
      <c r="E60" s="34" t="s">
        <v>3863</v>
      </c>
      <c r="F60" s="3">
        <v>39615.083333333299</v>
      </c>
      <c r="G60" s="35">
        <f ca="1">YEAR(TODAY()) - YEAR(F60) - (IF(DATE(YEAR(TODAY()), MONTH(F60), DAY(F60)) &gt; TODAY(), 1, 0))</f>
        <v>17</v>
      </c>
      <c r="H60" cm="1">
        <f t="array" aca="1" ref="H60" ca="1">SUMPRODUCT((BRON!A60:A1255=Table1[[#This Row],[Personeelsnummer]])*(YEAR(BRON!T60:T1255)=YEAR(TODAY())))</f>
        <v>0</v>
      </c>
    </row>
    <row r="61" spans="1:8" x14ac:dyDescent="0.25">
      <c r="A61" s="34" t="s">
        <v>1907</v>
      </c>
      <c r="B61" s="34" t="s">
        <v>1906</v>
      </c>
      <c r="C61" s="34" t="s">
        <v>3965</v>
      </c>
      <c r="D61" s="34" t="s">
        <v>3853</v>
      </c>
      <c r="E61" s="34" t="s">
        <v>3864</v>
      </c>
      <c r="F61" s="3">
        <v>39643.083333333299</v>
      </c>
      <c r="G61" s="35">
        <f ca="1">YEAR(TODAY()) - YEAR(F61) - (IF(DATE(YEAR(TODAY()), MONTH(F61), DAY(F61)) &gt; TODAY(), 1, 0))</f>
        <v>17</v>
      </c>
      <c r="H61" cm="1">
        <f t="array" aca="1" ref="H61" ca="1">SUMPRODUCT((BRON!A61:A1256=Table1[[#This Row],[Personeelsnummer]])*(YEAR(BRON!T61:T1256)=YEAR(TODAY())))</f>
        <v>0</v>
      </c>
    </row>
    <row r="62" spans="1:8" x14ac:dyDescent="0.25">
      <c r="A62" s="34" t="s">
        <v>2562</v>
      </c>
      <c r="B62" s="34" t="s">
        <v>2571</v>
      </c>
      <c r="C62" s="34" t="s">
        <v>3966</v>
      </c>
      <c r="D62" s="34" t="s">
        <v>3857</v>
      </c>
      <c r="E62" s="34" t="s">
        <v>3881</v>
      </c>
      <c r="F62" s="3">
        <v>39664.083333333299</v>
      </c>
      <c r="G62" s="35">
        <f ca="1">YEAR(TODAY()) - YEAR(F62) - (IF(DATE(YEAR(TODAY()), MONTH(F62), DAY(F62)) &gt; TODAY(), 1, 0))</f>
        <v>17</v>
      </c>
      <c r="H62" cm="1">
        <f t="array" aca="1" ref="H62" ca="1">SUMPRODUCT((BRON!A62:A1257=Table1[[#This Row],[Personeelsnummer]])*(YEAR(BRON!T62:T1257)=YEAR(TODAY())))</f>
        <v>0</v>
      </c>
    </row>
    <row r="63" spans="1:8" x14ac:dyDescent="0.25">
      <c r="A63" s="34" t="s">
        <v>2773</v>
      </c>
      <c r="B63" s="34" t="s">
        <v>1439</v>
      </c>
      <c r="C63" s="34" t="s">
        <v>3967</v>
      </c>
      <c r="D63" s="34" t="s">
        <v>3860</v>
      </c>
      <c r="E63" s="34" t="s">
        <v>3871</v>
      </c>
      <c r="F63" s="3">
        <v>39706.083333333299</v>
      </c>
      <c r="G63" s="35">
        <f ca="1">YEAR(TODAY()) - YEAR(F63) - (IF(DATE(YEAR(TODAY()), MONTH(F63), DAY(F63)) &gt; TODAY(), 1, 0))</f>
        <v>17</v>
      </c>
      <c r="H63" cm="1">
        <f t="array" aca="1" ref="H63" ca="1">SUMPRODUCT((BRON!A63:A1258=Table1[[#This Row],[Personeelsnummer]])*(YEAR(BRON!T63:T1258)=YEAR(TODAY())))</f>
        <v>0</v>
      </c>
    </row>
    <row r="64" spans="1:8" x14ac:dyDescent="0.25">
      <c r="A64" s="34" t="s">
        <v>3310</v>
      </c>
      <c r="B64" s="34" t="s">
        <v>3309</v>
      </c>
      <c r="C64" s="34" t="s">
        <v>3969</v>
      </c>
      <c r="D64" s="34" t="s">
        <v>3853</v>
      </c>
      <c r="E64" s="34" t="s">
        <v>3881</v>
      </c>
      <c r="F64" s="3">
        <v>39923.083333333299</v>
      </c>
      <c r="G64" s="35">
        <f ca="1">YEAR(TODAY()) - YEAR(F64) - (IF(DATE(YEAR(TODAY()), MONTH(F64), DAY(F64)) &gt; TODAY(), 1, 0))</f>
        <v>16</v>
      </c>
      <c r="H64" cm="1">
        <f t="array" aca="1" ref="H64" ca="1">SUMPRODUCT((BRON!A64:A1259=Table1[[#This Row],[Personeelsnummer]])*(YEAR(BRON!T64:T1259)=YEAR(TODAY())))</f>
        <v>0</v>
      </c>
    </row>
    <row r="65" spans="1:8" x14ac:dyDescent="0.25">
      <c r="A65" s="34" t="s">
        <v>3970</v>
      </c>
      <c r="B65" s="34" t="s">
        <v>3971</v>
      </c>
      <c r="C65" s="34" t="s">
        <v>3972</v>
      </c>
      <c r="D65" s="34" t="s">
        <v>3853</v>
      </c>
      <c r="E65" s="34" t="s">
        <v>3881</v>
      </c>
      <c r="F65" s="3">
        <v>39958.083333333299</v>
      </c>
      <c r="G65" s="35">
        <f ca="1">YEAR(TODAY()) - YEAR(F65) - (IF(DATE(YEAR(TODAY()), MONTH(F65), DAY(F65)) &gt; TODAY(), 1, 0))</f>
        <v>16</v>
      </c>
      <c r="H65" cm="1">
        <f t="array" aca="1" ref="H65" ca="1">SUMPRODUCT((BRON!A65:A1260=Table1[[#This Row],[Personeelsnummer]])*(YEAR(BRON!T65:T1260)=YEAR(TODAY())))</f>
        <v>0</v>
      </c>
    </row>
    <row r="66" spans="1:8" x14ac:dyDescent="0.25">
      <c r="A66" s="34" t="s">
        <v>2427</v>
      </c>
      <c r="B66" s="34" t="s">
        <v>2430</v>
      </c>
      <c r="C66" s="34" t="s">
        <v>3974</v>
      </c>
      <c r="D66" s="34" t="s">
        <v>3894</v>
      </c>
      <c r="E66" s="34" t="s">
        <v>3870</v>
      </c>
      <c r="F66" s="3">
        <v>40000.083333333299</v>
      </c>
      <c r="G66" s="35">
        <f ca="1">YEAR(TODAY()) - YEAR(F66) - (IF(DATE(YEAR(TODAY()), MONTH(F66), DAY(F66)) &gt; TODAY(), 1, 0))</f>
        <v>16</v>
      </c>
      <c r="H66" cm="1">
        <f t="array" aca="1" ref="H66" ca="1">SUMPRODUCT((BRON!A66:A1261=Table1[[#This Row],[Personeelsnummer]])*(YEAR(BRON!T66:T1261)=YEAR(TODAY())))</f>
        <v>0</v>
      </c>
    </row>
    <row r="67" spans="1:8" x14ac:dyDescent="0.25">
      <c r="A67" s="34" t="s">
        <v>3064</v>
      </c>
      <c r="B67" s="34" t="s">
        <v>2096</v>
      </c>
      <c r="C67" s="34" t="s">
        <v>3976</v>
      </c>
      <c r="D67" s="34" t="s">
        <v>3853</v>
      </c>
      <c r="E67" s="34" t="s">
        <v>3881</v>
      </c>
      <c r="F67" s="3">
        <v>40049.083333333299</v>
      </c>
      <c r="G67" s="35">
        <f ca="1">YEAR(TODAY()) - YEAR(F67) - (IF(DATE(YEAR(TODAY()), MONTH(F67), DAY(F67)) &gt; TODAY(), 1, 0))</f>
        <v>16</v>
      </c>
      <c r="H67" cm="1">
        <f t="array" aca="1" ref="H67" ca="1">SUMPRODUCT((BRON!A67:A1262=Table1[[#This Row],[Personeelsnummer]])*(YEAR(BRON!T67:T1262)=YEAR(TODAY())))</f>
        <v>0</v>
      </c>
    </row>
    <row r="68" spans="1:8" x14ac:dyDescent="0.25">
      <c r="A68" s="34" t="s">
        <v>1351</v>
      </c>
      <c r="B68" s="34" t="s">
        <v>2610</v>
      </c>
      <c r="C68" s="34" t="s">
        <v>3977</v>
      </c>
      <c r="D68" s="34" t="s">
        <v>3860</v>
      </c>
      <c r="E68" s="34" t="s">
        <v>3863</v>
      </c>
      <c r="F68" s="3">
        <v>40385.083333333299</v>
      </c>
      <c r="G68" s="35">
        <f ca="1">YEAR(TODAY()) - YEAR(F68) - (IF(DATE(YEAR(TODAY()), MONTH(F68), DAY(F68)) &gt; TODAY(), 1, 0))</f>
        <v>15</v>
      </c>
      <c r="H68" cm="1">
        <f t="array" aca="1" ref="H68" ca="1">SUMPRODUCT((BRON!A68:A1263=Table1[[#This Row],[Personeelsnummer]])*(YEAR(BRON!T68:T1263)=YEAR(TODAY())))</f>
        <v>0</v>
      </c>
    </row>
    <row r="69" spans="1:8" x14ac:dyDescent="0.25">
      <c r="A69" s="34" t="s">
        <v>1860</v>
      </c>
      <c r="B69" s="34" t="s">
        <v>3414</v>
      </c>
      <c r="C69" s="34" t="s">
        <v>3981</v>
      </c>
      <c r="D69" s="34" t="s">
        <v>3857</v>
      </c>
      <c r="E69" s="34" t="s">
        <v>3874</v>
      </c>
      <c r="F69" s="3">
        <v>40497.041666666701</v>
      </c>
      <c r="G69" s="35">
        <f ca="1">YEAR(TODAY()) - YEAR(F69) - (IF(DATE(YEAR(TODAY()), MONTH(F69), DAY(F69)) &gt; TODAY(), 1, 0))</f>
        <v>15</v>
      </c>
      <c r="H69" cm="1">
        <f t="array" aca="1" ref="H69" ca="1">SUMPRODUCT((BRON!A69:A1264=Table1[[#This Row],[Personeelsnummer]])*(YEAR(BRON!T69:T1264)=YEAR(TODAY())))</f>
        <v>0</v>
      </c>
    </row>
    <row r="70" spans="1:8" x14ac:dyDescent="0.25">
      <c r="A70" s="34" t="s">
        <v>2023</v>
      </c>
      <c r="B70" s="34" t="s">
        <v>2026</v>
      </c>
      <c r="C70" s="34" t="s">
        <v>3982</v>
      </c>
      <c r="D70" s="34" t="s">
        <v>3860</v>
      </c>
      <c r="E70" s="34" t="s">
        <v>3870</v>
      </c>
      <c r="F70" s="3">
        <v>40525.041666666701</v>
      </c>
      <c r="G70" s="35">
        <f ca="1">YEAR(TODAY()) - YEAR(F70) - (IF(DATE(YEAR(TODAY()), MONTH(F70), DAY(F70)) &gt; TODAY(), 1, 0))</f>
        <v>14</v>
      </c>
      <c r="H70" cm="1">
        <f t="array" aca="1" ref="H70" ca="1">SUMPRODUCT((BRON!A70:A1265=Table1[[#This Row],[Personeelsnummer]])*(YEAR(BRON!T70:T1265)=YEAR(TODAY())))</f>
        <v>0</v>
      </c>
    </row>
    <row r="71" spans="1:8" x14ac:dyDescent="0.25">
      <c r="A71" s="34" t="s">
        <v>3181</v>
      </c>
      <c r="B71" s="34" t="s">
        <v>3187</v>
      </c>
      <c r="C71" s="34" t="s">
        <v>3983</v>
      </c>
      <c r="D71" s="34" t="s">
        <v>3867</v>
      </c>
      <c r="E71" s="34" t="s">
        <v>3863</v>
      </c>
      <c r="F71" s="3">
        <v>40567.041666666701</v>
      </c>
      <c r="G71" s="35">
        <f ca="1">YEAR(TODAY()) - YEAR(F71) - (IF(DATE(YEAR(TODAY()), MONTH(F71), DAY(F71)) &gt; TODAY(), 1, 0))</f>
        <v>14</v>
      </c>
      <c r="H71" cm="1">
        <f t="array" aca="1" ref="H71" ca="1">SUMPRODUCT((BRON!A71:A1266=Table1[[#This Row],[Personeelsnummer]])*(YEAR(BRON!T71:T1266)=YEAR(TODAY())))</f>
        <v>0</v>
      </c>
    </row>
    <row r="72" spans="1:8" x14ac:dyDescent="0.25">
      <c r="A72" s="34" t="s">
        <v>2277</v>
      </c>
      <c r="B72" s="34" t="s">
        <v>2276</v>
      </c>
      <c r="C72" s="34" t="s">
        <v>3984</v>
      </c>
      <c r="D72" s="34" t="s">
        <v>3853</v>
      </c>
      <c r="E72" s="34" t="s">
        <v>3871</v>
      </c>
      <c r="F72" s="3">
        <v>40567.041666666701</v>
      </c>
      <c r="G72" s="35">
        <f ca="1">YEAR(TODAY()) - YEAR(F72) - (IF(DATE(YEAR(TODAY()), MONTH(F72), DAY(F72)) &gt; TODAY(), 1, 0))</f>
        <v>14</v>
      </c>
      <c r="H72" cm="1">
        <f t="array" aca="1" ref="H72" ca="1">SUMPRODUCT((BRON!A72:A1267=Table1[[#This Row],[Personeelsnummer]])*(YEAR(BRON!T72:T1267)=YEAR(TODAY())))</f>
        <v>0</v>
      </c>
    </row>
    <row r="73" spans="1:8" x14ac:dyDescent="0.25">
      <c r="A73" s="34" t="s">
        <v>2592</v>
      </c>
      <c r="B73" s="34" t="s">
        <v>2591</v>
      </c>
      <c r="C73" s="34" t="s">
        <v>3985</v>
      </c>
      <c r="D73" s="34" t="s">
        <v>3867</v>
      </c>
      <c r="E73" s="34" t="s">
        <v>3871</v>
      </c>
      <c r="F73" s="3">
        <v>40602.041666666701</v>
      </c>
      <c r="G73" s="35">
        <f ca="1">YEAR(TODAY()) - YEAR(F73) - (IF(DATE(YEAR(TODAY()), MONTH(F73), DAY(F73)) &gt; TODAY(), 1, 0))</f>
        <v>14</v>
      </c>
      <c r="H73" cm="1">
        <f t="array" aca="1" ref="H73" ca="1">SUMPRODUCT((BRON!A73:A1268=Table1[[#This Row],[Personeelsnummer]])*(YEAR(BRON!T73:T1268)=YEAR(TODAY())))</f>
        <v>0</v>
      </c>
    </row>
    <row r="74" spans="1:8" x14ac:dyDescent="0.25">
      <c r="A74" s="34" t="s">
        <v>2857</v>
      </c>
      <c r="B74" s="34" t="s">
        <v>2860</v>
      </c>
      <c r="C74" s="34" t="s">
        <v>3988</v>
      </c>
      <c r="D74" s="34" t="s">
        <v>3857</v>
      </c>
      <c r="E74" s="34" t="s">
        <v>3870</v>
      </c>
      <c r="F74" s="3">
        <v>40637.083333333299</v>
      </c>
      <c r="G74" s="35">
        <f ca="1">YEAR(TODAY()) - YEAR(F74) - (IF(DATE(YEAR(TODAY()), MONTH(F74), DAY(F74)) &gt; TODAY(), 1, 0))</f>
        <v>14</v>
      </c>
      <c r="H74" cm="1">
        <f t="array" aca="1" ref="H74" ca="1">SUMPRODUCT((BRON!A74:A1269=Table1[[#This Row],[Personeelsnummer]])*(YEAR(BRON!T74:T1269)=YEAR(TODAY())))</f>
        <v>0</v>
      </c>
    </row>
    <row r="75" spans="1:8" x14ac:dyDescent="0.25">
      <c r="A75" s="34" t="s">
        <v>2114</v>
      </c>
      <c r="B75" s="34" t="s">
        <v>2096</v>
      </c>
      <c r="C75" s="34" t="s">
        <v>3989</v>
      </c>
      <c r="D75" s="34" t="s">
        <v>3857</v>
      </c>
      <c r="E75" s="34" t="s">
        <v>3870</v>
      </c>
      <c r="F75" s="3">
        <v>40658.083333333299</v>
      </c>
      <c r="G75" s="35">
        <f ca="1">YEAR(TODAY()) - YEAR(F75) - (IF(DATE(YEAR(TODAY()), MONTH(F75), DAY(F75)) &gt; TODAY(), 1, 0))</f>
        <v>14</v>
      </c>
      <c r="H75" cm="1">
        <f t="array" aca="1" ref="H75" ca="1">SUMPRODUCT((BRON!A75:A1270=Table1[[#This Row],[Personeelsnummer]])*(YEAR(BRON!T75:T1270)=YEAR(TODAY())))</f>
        <v>0</v>
      </c>
    </row>
    <row r="76" spans="1:8" x14ac:dyDescent="0.25">
      <c r="A76" s="34" t="s">
        <v>1328</v>
      </c>
      <c r="B76" s="34" t="s">
        <v>1640</v>
      </c>
      <c r="C76" s="34" t="s">
        <v>3991</v>
      </c>
      <c r="D76" s="34" t="s">
        <v>3860</v>
      </c>
      <c r="E76" s="34" t="s">
        <v>3871</v>
      </c>
      <c r="F76" s="3">
        <v>40700.083333333299</v>
      </c>
      <c r="G76" s="35">
        <f ca="1">YEAR(TODAY()) - YEAR(F76) - (IF(DATE(YEAR(TODAY()), MONTH(F76), DAY(F76)) &gt; TODAY(), 1, 0))</f>
        <v>14</v>
      </c>
      <c r="H76" cm="1">
        <f t="array" aca="1" ref="H76" ca="1">SUMPRODUCT((BRON!A76:A1271=Table1[[#This Row],[Personeelsnummer]])*(YEAR(BRON!T76:T1271)=YEAR(TODAY())))</f>
        <v>0</v>
      </c>
    </row>
    <row r="77" spans="1:8" x14ac:dyDescent="0.25">
      <c r="A77" s="34" t="s">
        <v>3116</v>
      </c>
      <c r="B77" s="34" t="s">
        <v>1990</v>
      </c>
      <c r="C77" s="34" t="s">
        <v>3992</v>
      </c>
      <c r="D77" s="34" t="s">
        <v>3857</v>
      </c>
      <c r="E77" s="34" t="s">
        <v>3870</v>
      </c>
      <c r="F77" s="3">
        <v>40728.083333333299</v>
      </c>
      <c r="G77" s="35">
        <f ca="1">YEAR(TODAY()) - YEAR(F77) - (IF(DATE(YEAR(TODAY()), MONTH(F77), DAY(F77)) &gt; TODAY(), 1, 0))</f>
        <v>14</v>
      </c>
      <c r="H77" cm="1">
        <f t="array" aca="1" ref="H77" ca="1">SUMPRODUCT((BRON!A77:A1272=Table1[[#This Row],[Personeelsnummer]])*(YEAR(BRON!T77:T1272)=YEAR(TODAY())))</f>
        <v>0</v>
      </c>
    </row>
    <row r="78" spans="1:8" x14ac:dyDescent="0.25">
      <c r="A78" s="34" t="s">
        <v>1491</v>
      </c>
      <c r="B78" s="34" t="s">
        <v>1490</v>
      </c>
      <c r="C78" s="34" t="s">
        <v>3993</v>
      </c>
      <c r="D78" s="34" t="s">
        <v>3860</v>
      </c>
      <c r="E78" s="34" t="s">
        <v>3854</v>
      </c>
      <c r="F78" s="3">
        <v>40749.083333333299</v>
      </c>
      <c r="G78" s="35">
        <f ca="1">YEAR(TODAY()) - YEAR(F78) - (IF(DATE(YEAR(TODAY()), MONTH(F78), DAY(F78)) &gt; TODAY(), 1, 0))</f>
        <v>14</v>
      </c>
      <c r="H78" cm="1">
        <f t="array" aca="1" ref="H78" ca="1">SUMPRODUCT((BRON!A78:A1273=Table1[[#This Row],[Personeelsnummer]])*(YEAR(BRON!T78:T1273)=YEAR(TODAY())))</f>
        <v>0</v>
      </c>
    </row>
    <row r="79" spans="1:8" x14ac:dyDescent="0.25">
      <c r="A79" s="34" t="s">
        <v>2184</v>
      </c>
      <c r="B79" s="34" t="s">
        <v>2183</v>
      </c>
      <c r="C79" s="34" t="s">
        <v>3994</v>
      </c>
      <c r="D79" s="34" t="s">
        <v>3853</v>
      </c>
      <c r="E79" s="34" t="s">
        <v>3863</v>
      </c>
      <c r="F79" s="3">
        <v>40771.083333333299</v>
      </c>
      <c r="G79" s="35">
        <f ca="1">YEAR(TODAY()) - YEAR(F79) - (IF(DATE(YEAR(TODAY()), MONTH(F79), DAY(F79)) &gt; TODAY(), 1, 0))</f>
        <v>14</v>
      </c>
      <c r="H79" cm="1">
        <f t="array" aca="1" ref="H79" ca="1">SUMPRODUCT((BRON!A79:A1274=Table1[[#This Row],[Personeelsnummer]])*(YEAR(BRON!T79:T1274)=YEAR(TODAY())))</f>
        <v>0</v>
      </c>
    </row>
    <row r="80" spans="1:8" x14ac:dyDescent="0.25">
      <c r="A80" s="34" t="s">
        <v>3112</v>
      </c>
      <c r="B80" s="34" t="s">
        <v>3111</v>
      </c>
      <c r="C80" s="34" t="s">
        <v>4000</v>
      </c>
      <c r="D80" s="34" t="s">
        <v>3853</v>
      </c>
      <c r="E80" s="34" t="s">
        <v>3854</v>
      </c>
      <c r="F80" s="3">
        <v>41176.083333333299</v>
      </c>
      <c r="G80" s="35">
        <f ca="1">YEAR(TODAY()) - YEAR(F80) - (IF(DATE(YEAR(TODAY()), MONTH(F80), DAY(F80)) &gt; TODAY(), 1, 0))</f>
        <v>13</v>
      </c>
      <c r="H80" cm="1">
        <f t="array" aca="1" ref="H80" ca="1">SUMPRODUCT((BRON!A80:A1275=Table1[[#This Row],[Personeelsnummer]])*(YEAR(BRON!T80:T1275)=YEAR(TODAY())))</f>
        <v>0</v>
      </c>
    </row>
    <row r="81" spans="1:8" x14ac:dyDescent="0.25">
      <c r="A81" s="34" t="s">
        <v>1513</v>
      </c>
      <c r="B81" s="34" t="s">
        <v>1512</v>
      </c>
      <c r="C81" s="34" t="s">
        <v>4001</v>
      </c>
      <c r="D81" s="34" t="s">
        <v>3857</v>
      </c>
      <c r="E81" s="34" t="s">
        <v>3874</v>
      </c>
      <c r="F81" s="3">
        <v>41204.083333333299</v>
      </c>
      <c r="G81" s="35">
        <f ca="1">YEAR(TODAY()) - YEAR(F81) - (IF(DATE(YEAR(TODAY()), MONTH(F81), DAY(F81)) &gt; TODAY(), 1, 0))</f>
        <v>13</v>
      </c>
      <c r="H81" cm="1">
        <f t="array" aca="1" ref="H81" ca="1">SUMPRODUCT((BRON!A81:A1276=Table1[[#This Row],[Personeelsnummer]])*(YEAR(BRON!T81:T1276)=YEAR(TODAY())))</f>
        <v>0</v>
      </c>
    </row>
    <row r="82" spans="1:8" x14ac:dyDescent="0.25">
      <c r="A82" s="34" t="s">
        <v>2427</v>
      </c>
      <c r="B82" s="34" t="s">
        <v>2426</v>
      </c>
      <c r="C82" s="34" t="s">
        <v>4002</v>
      </c>
      <c r="D82" s="34" t="s">
        <v>3857</v>
      </c>
      <c r="E82" s="34" t="s">
        <v>3863</v>
      </c>
      <c r="F82" s="3">
        <v>41204.083333333299</v>
      </c>
      <c r="G82" s="35">
        <f ca="1">YEAR(TODAY()) - YEAR(F82) - (IF(DATE(YEAR(TODAY()), MONTH(F82), DAY(F82)) &gt; TODAY(), 1, 0))</f>
        <v>13</v>
      </c>
      <c r="H82" cm="1">
        <f t="array" aca="1" ref="H82" ca="1">SUMPRODUCT((BRON!A82:A1277=Table1[[#This Row],[Personeelsnummer]])*(YEAR(BRON!T82:T1277)=YEAR(TODAY())))</f>
        <v>0</v>
      </c>
    </row>
    <row r="83" spans="1:8" x14ac:dyDescent="0.25">
      <c r="A83" s="34" t="s">
        <v>1351</v>
      </c>
      <c r="B83" s="34" t="s">
        <v>3282</v>
      </c>
      <c r="C83" s="34" t="s">
        <v>4003</v>
      </c>
      <c r="D83" s="34" t="s">
        <v>3857</v>
      </c>
      <c r="E83" s="34" t="s">
        <v>3871</v>
      </c>
      <c r="F83" s="3">
        <v>41218.041666666701</v>
      </c>
      <c r="G83" s="35">
        <f ca="1">YEAR(TODAY()) - YEAR(F83) - (IF(DATE(YEAR(TODAY()), MONTH(F83), DAY(F83)) &gt; TODAY(), 1, 0))</f>
        <v>13</v>
      </c>
      <c r="H83" cm="1">
        <f t="array" aca="1" ref="H83" ca="1">SUMPRODUCT((BRON!A83:A1278=Table1[[#This Row],[Personeelsnummer]])*(YEAR(BRON!T83:T1278)=YEAR(TODAY())))</f>
        <v>0</v>
      </c>
    </row>
    <row r="84" spans="1:8" x14ac:dyDescent="0.25">
      <c r="A84" s="34" t="s">
        <v>2382</v>
      </c>
      <c r="B84" s="34" t="s">
        <v>2381</v>
      </c>
      <c r="C84" s="34" t="s">
        <v>4004</v>
      </c>
      <c r="D84" s="34" t="s">
        <v>3853</v>
      </c>
      <c r="E84" s="34" t="s">
        <v>3871</v>
      </c>
      <c r="F84" s="3">
        <v>41313.041666666701</v>
      </c>
      <c r="G84" s="35">
        <f ca="1">YEAR(TODAY()) - YEAR(F84) - (IF(DATE(YEAR(TODAY()), MONTH(F84), DAY(F84)) &gt; TODAY(), 1, 0))</f>
        <v>12</v>
      </c>
      <c r="H84" cm="1">
        <f t="array" aca="1" ref="H84" ca="1">SUMPRODUCT((BRON!A84:A1279=Table1[[#This Row],[Personeelsnummer]])*(YEAR(BRON!T84:T1279)=YEAR(TODAY())))</f>
        <v>0</v>
      </c>
    </row>
    <row r="85" spans="1:8" x14ac:dyDescent="0.25">
      <c r="A85" s="34" t="s">
        <v>1330</v>
      </c>
      <c r="B85" s="34" t="s">
        <v>2674</v>
      </c>
      <c r="C85" s="34" t="s">
        <v>4005</v>
      </c>
      <c r="D85" s="34" t="s">
        <v>3853</v>
      </c>
      <c r="E85" s="34" t="s">
        <v>3866</v>
      </c>
      <c r="F85" s="3">
        <v>41659.041666666701</v>
      </c>
      <c r="G85" s="35">
        <f ca="1">YEAR(TODAY()) - YEAR(F85) - (IF(DATE(YEAR(TODAY()), MONTH(F85), DAY(F85)) &gt; TODAY(), 1, 0))</f>
        <v>11</v>
      </c>
      <c r="H85" cm="1">
        <f t="array" aca="1" ref="H85" ca="1">SUMPRODUCT((BRON!A85:A1280=Table1[[#This Row],[Personeelsnummer]])*(YEAR(BRON!T85:T1280)=YEAR(TODAY())))</f>
        <v>0</v>
      </c>
    </row>
    <row r="86" spans="1:8" x14ac:dyDescent="0.25">
      <c r="A86" s="34" t="s">
        <v>2061</v>
      </c>
      <c r="B86" s="34" t="s">
        <v>2060</v>
      </c>
      <c r="C86" s="34" t="s">
        <v>4007</v>
      </c>
      <c r="D86" s="34" t="s">
        <v>3853</v>
      </c>
      <c r="E86" s="34" t="s">
        <v>3866</v>
      </c>
      <c r="F86" s="3">
        <v>41701.041666666701</v>
      </c>
      <c r="G86" s="35">
        <f ca="1">YEAR(TODAY()) - YEAR(F86) - (IF(DATE(YEAR(TODAY()), MONTH(F86), DAY(F86)) &gt; TODAY(), 1, 0))</f>
        <v>11</v>
      </c>
      <c r="H86" cm="1">
        <f t="array" aca="1" ref="H86" ca="1">SUMPRODUCT((BRON!A86:A1281=Table1[[#This Row],[Personeelsnummer]])*(YEAR(BRON!T86:T1281)=YEAR(TODAY())))</f>
        <v>0</v>
      </c>
    </row>
    <row r="87" spans="1:8" x14ac:dyDescent="0.25">
      <c r="A87" s="34" t="s">
        <v>2045</v>
      </c>
      <c r="B87" s="34" t="s">
        <v>2044</v>
      </c>
      <c r="C87" s="34" t="s">
        <v>4008</v>
      </c>
      <c r="D87" s="34" t="s">
        <v>3853</v>
      </c>
      <c r="E87" s="34" t="s">
        <v>3863</v>
      </c>
      <c r="F87" s="3">
        <v>41722.041666666701</v>
      </c>
      <c r="G87" s="35">
        <f ca="1">YEAR(TODAY()) - YEAR(F87) - (IF(DATE(YEAR(TODAY()), MONTH(F87), DAY(F87)) &gt; TODAY(), 1, 0))</f>
        <v>11</v>
      </c>
      <c r="H87" cm="1">
        <f t="array" aca="1" ref="H87" ca="1">SUMPRODUCT((BRON!A87:A1282=Table1[[#This Row],[Personeelsnummer]])*(YEAR(BRON!T87:T1282)=YEAR(TODAY())))</f>
        <v>0</v>
      </c>
    </row>
    <row r="88" spans="1:8" x14ac:dyDescent="0.25">
      <c r="A88" s="34" t="s">
        <v>2879</v>
      </c>
      <c r="B88" s="34" t="s">
        <v>1542</v>
      </c>
      <c r="C88" s="34" t="s">
        <v>4011</v>
      </c>
      <c r="D88" s="34" t="s">
        <v>3860</v>
      </c>
      <c r="E88" s="34" t="s">
        <v>3871</v>
      </c>
      <c r="F88" s="3">
        <v>41855.083333333299</v>
      </c>
      <c r="G88" s="35">
        <f ca="1">YEAR(TODAY()) - YEAR(F88) - (IF(DATE(YEAR(TODAY()), MONTH(F88), DAY(F88)) &gt; TODAY(), 1, 0))</f>
        <v>11</v>
      </c>
      <c r="H88" cm="1">
        <f t="array" aca="1" ref="H88" ca="1">SUMPRODUCT((BRON!A88:A1283=Table1[[#This Row],[Personeelsnummer]])*(YEAR(BRON!T88:T1283)=YEAR(TODAY())))</f>
        <v>0</v>
      </c>
    </row>
    <row r="89" spans="1:8" x14ac:dyDescent="0.25">
      <c r="A89" s="34" t="s">
        <v>3203</v>
      </c>
      <c r="B89" s="34" t="s">
        <v>3202</v>
      </c>
      <c r="C89" s="34" t="s">
        <v>4012</v>
      </c>
      <c r="D89" s="34" t="s">
        <v>3853</v>
      </c>
      <c r="E89" s="34" t="s">
        <v>3866</v>
      </c>
      <c r="F89" s="3">
        <v>41946.041666666701</v>
      </c>
      <c r="G89" s="35">
        <f ca="1">YEAR(TODAY()) - YEAR(F89) - (IF(DATE(YEAR(TODAY()), MONTH(F89), DAY(F89)) &gt; TODAY(), 1, 0))</f>
        <v>11</v>
      </c>
      <c r="H89" cm="1">
        <f t="array" aca="1" ref="H89" ca="1">SUMPRODUCT((BRON!A89:A1284=Table1[[#This Row],[Personeelsnummer]])*(YEAR(BRON!T89:T1284)=YEAR(TODAY())))</f>
        <v>0</v>
      </c>
    </row>
    <row r="90" spans="1:8" x14ac:dyDescent="0.25">
      <c r="A90" s="34" t="s">
        <v>2631</v>
      </c>
      <c r="B90" s="34" t="s">
        <v>2634</v>
      </c>
      <c r="C90" s="34" t="s">
        <v>4014</v>
      </c>
      <c r="D90" s="34" t="s">
        <v>3853</v>
      </c>
      <c r="E90" s="34" t="s">
        <v>3866</v>
      </c>
      <c r="F90" s="3">
        <v>41981.041666666701</v>
      </c>
      <c r="G90" s="35">
        <f ca="1">YEAR(TODAY()) - YEAR(F90) - (IF(DATE(YEAR(TODAY()), MONTH(F90), DAY(F90)) &gt; TODAY(), 1, 0))</f>
        <v>10</v>
      </c>
      <c r="H90" cm="1">
        <f t="array" aca="1" ref="H90" ca="1">SUMPRODUCT((BRON!A90:A1285=Table1[[#This Row],[Personeelsnummer]])*(YEAR(BRON!T90:T1285)=YEAR(TODAY())))</f>
        <v>0</v>
      </c>
    </row>
    <row r="91" spans="1:8" x14ac:dyDescent="0.25">
      <c r="A91" s="34" t="s">
        <v>2213</v>
      </c>
      <c r="B91" s="34" t="s">
        <v>2006</v>
      </c>
      <c r="C91" s="34" t="s">
        <v>4015</v>
      </c>
      <c r="D91" s="34" t="s">
        <v>3860</v>
      </c>
      <c r="E91" s="34" t="s">
        <v>3881</v>
      </c>
      <c r="F91" s="3">
        <v>42051.041666666701</v>
      </c>
      <c r="G91" s="35">
        <f ca="1">YEAR(TODAY()) - YEAR(F91) - (IF(DATE(YEAR(TODAY()), MONTH(F91), DAY(F91)) &gt; TODAY(), 1, 0))</f>
        <v>10</v>
      </c>
      <c r="H91" cm="1">
        <f t="array" aca="1" ref="H91" ca="1">SUMPRODUCT((BRON!A91:A1286=Table1[[#This Row],[Personeelsnummer]])*(YEAR(BRON!T91:T1286)=YEAR(TODAY())))</f>
        <v>0</v>
      </c>
    </row>
    <row r="92" spans="1:8" x14ac:dyDescent="0.25">
      <c r="A92" s="34" t="s">
        <v>2816</v>
      </c>
      <c r="B92" s="34" t="s">
        <v>2815</v>
      </c>
      <c r="C92" s="34" t="s">
        <v>4016</v>
      </c>
      <c r="D92" s="34" t="s">
        <v>3853</v>
      </c>
      <c r="E92" s="34" t="s">
        <v>3881</v>
      </c>
      <c r="F92" s="3">
        <v>45341.041666666701</v>
      </c>
      <c r="G92" s="35">
        <f ca="1">YEAR(TODAY()) - YEAR(F92) - (IF(DATE(YEAR(TODAY()), MONTH(F92), DAY(F92)) &gt; TODAY(), 1, 0))</f>
        <v>1</v>
      </c>
      <c r="H92" cm="1">
        <f t="array" aca="1" ref="H92" ca="1">SUMPRODUCT((BRON!A92:A1287=Table1[[#This Row],[Personeelsnummer]])*(YEAR(BRON!T92:T1287)=YEAR(TODAY())))</f>
        <v>0</v>
      </c>
    </row>
    <row r="93" spans="1:8" x14ac:dyDescent="0.25">
      <c r="A93" s="34" t="s">
        <v>2901</v>
      </c>
      <c r="B93" s="34" t="s">
        <v>2900</v>
      </c>
      <c r="C93" s="34" t="s">
        <v>4018</v>
      </c>
      <c r="D93" s="34" t="s">
        <v>3853</v>
      </c>
      <c r="E93" s="34" t="s">
        <v>3881</v>
      </c>
      <c r="F93" s="3">
        <v>42121.083333333299</v>
      </c>
      <c r="G93" s="35">
        <f ca="1">YEAR(TODAY()) - YEAR(F93) - (IF(DATE(YEAR(TODAY()), MONTH(F93), DAY(F93)) &gt; TODAY(), 1, 0))</f>
        <v>10</v>
      </c>
      <c r="H93" cm="1">
        <f t="array" aca="1" ref="H93" ca="1">SUMPRODUCT((BRON!A93:A1288=Table1[[#This Row],[Personeelsnummer]])*(YEAR(BRON!T93:T1288)=YEAR(TODAY())))</f>
        <v>0</v>
      </c>
    </row>
    <row r="94" spans="1:8" x14ac:dyDescent="0.25">
      <c r="A94" s="34" t="s">
        <v>2596</v>
      </c>
      <c r="B94" s="34" t="s">
        <v>1940</v>
      </c>
      <c r="C94" s="34" t="s">
        <v>4021</v>
      </c>
      <c r="D94" s="34" t="s">
        <v>3867</v>
      </c>
      <c r="E94" s="34" t="s">
        <v>3871</v>
      </c>
      <c r="F94" s="3">
        <v>42268.083333333299</v>
      </c>
      <c r="G94" s="35">
        <f ca="1">YEAR(TODAY()) - YEAR(F94) - (IF(DATE(YEAR(TODAY()), MONTH(F94), DAY(F94)) &gt; TODAY(), 1, 0))</f>
        <v>10</v>
      </c>
      <c r="H94" cm="1">
        <f t="array" aca="1" ref="H94" ca="1">SUMPRODUCT((BRON!A94:A1289=Table1[[#This Row],[Personeelsnummer]])*(YEAR(BRON!T94:T1289)=YEAR(TODAY())))</f>
        <v>0</v>
      </c>
    </row>
    <row r="95" spans="1:8" x14ac:dyDescent="0.25">
      <c r="A95" s="34" t="s">
        <v>2155</v>
      </c>
      <c r="B95" s="34" t="s">
        <v>2154</v>
      </c>
      <c r="C95" s="34" t="s">
        <v>4027</v>
      </c>
      <c r="D95" s="34" t="s">
        <v>3853</v>
      </c>
      <c r="E95" s="34" t="s">
        <v>3854</v>
      </c>
      <c r="F95" s="3">
        <v>42643.083333333299</v>
      </c>
      <c r="G95" s="35">
        <f ca="1">YEAR(TODAY()) - YEAR(F95) - (IF(DATE(YEAR(TODAY()), MONTH(F95), DAY(F95)) &gt; TODAY(), 1, 0))</f>
        <v>9</v>
      </c>
      <c r="H95" cm="1">
        <f t="array" aca="1" ref="H95" ca="1">SUMPRODUCT((BRON!A95:A1290=Table1[[#This Row],[Personeelsnummer]])*(YEAR(BRON!T95:T1290)=YEAR(TODAY())))</f>
        <v>0</v>
      </c>
    </row>
    <row r="96" spans="1:8" x14ac:dyDescent="0.25">
      <c r="A96" s="34" t="s">
        <v>2034</v>
      </c>
      <c r="B96" s="34" t="s">
        <v>2033</v>
      </c>
      <c r="C96" s="34" t="s">
        <v>4032</v>
      </c>
      <c r="D96" s="34" t="s">
        <v>3853</v>
      </c>
      <c r="E96" s="34" t="s">
        <v>3870</v>
      </c>
      <c r="F96" s="3">
        <v>42863.083333333299</v>
      </c>
      <c r="G96" s="35">
        <f ca="1">YEAR(TODAY()) - YEAR(F96) - (IF(DATE(YEAR(TODAY()), MONTH(F96), DAY(F96)) &gt; TODAY(), 1, 0))</f>
        <v>8</v>
      </c>
      <c r="H96" cm="1">
        <f t="array" aca="1" ref="H96" ca="1">SUMPRODUCT((BRON!A96:A1291=Table1[[#This Row],[Personeelsnummer]])*(YEAR(BRON!T96:T1291)=YEAR(TODAY())))</f>
        <v>0</v>
      </c>
    </row>
    <row r="97" spans="1:8" x14ac:dyDescent="0.25">
      <c r="A97" s="34" t="s">
        <v>2615</v>
      </c>
      <c r="B97" s="34" t="s">
        <v>2614</v>
      </c>
      <c r="C97" s="34" t="s">
        <v>4035</v>
      </c>
      <c r="D97" s="34" t="s">
        <v>3853</v>
      </c>
      <c r="E97" s="34" t="s">
        <v>3874</v>
      </c>
      <c r="F97" s="3">
        <v>42892.083333333299</v>
      </c>
      <c r="G97" s="35">
        <f ca="1">YEAR(TODAY()) - YEAR(F97) - (IF(DATE(YEAR(TODAY()), MONTH(F97), DAY(F97)) &gt; TODAY(), 1, 0))</f>
        <v>8</v>
      </c>
      <c r="H97" cm="1">
        <f t="array" aca="1" ref="H97" ca="1">SUMPRODUCT((BRON!A97:A1292=Table1[[#This Row],[Personeelsnummer]])*(YEAR(BRON!T97:T1292)=YEAR(TODAY())))</f>
        <v>0</v>
      </c>
    </row>
    <row r="98" spans="1:8" x14ac:dyDescent="0.25">
      <c r="A98" s="34" t="s">
        <v>1647</v>
      </c>
      <c r="B98" s="34" t="s">
        <v>1650</v>
      </c>
      <c r="C98" s="34" t="s">
        <v>4038</v>
      </c>
      <c r="D98" s="34" t="s">
        <v>3853</v>
      </c>
      <c r="E98" s="34" t="s">
        <v>3881</v>
      </c>
      <c r="F98" s="3">
        <v>42933.083333333299</v>
      </c>
      <c r="G98" s="35">
        <f ca="1">YEAR(TODAY()) - YEAR(F98) - (IF(DATE(YEAR(TODAY()), MONTH(F98), DAY(F98)) &gt; TODAY(), 1, 0))</f>
        <v>8</v>
      </c>
      <c r="H98" cm="1">
        <f t="array" aca="1" ref="H98" ca="1">SUMPRODUCT((BRON!A98:A1293=Table1[[#This Row],[Personeelsnummer]])*(YEAR(BRON!T98:T1293)=YEAR(TODAY())))</f>
        <v>0</v>
      </c>
    </row>
    <row r="99" spans="1:8" x14ac:dyDescent="0.25">
      <c r="A99" s="34" t="s">
        <v>2940</v>
      </c>
      <c r="B99" s="34" t="s">
        <v>2939</v>
      </c>
      <c r="C99" s="34" t="s">
        <v>4040</v>
      </c>
      <c r="D99" s="34" t="s">
        <v>3853</v>
      </c>
      <c r="E99" s="34" t="s">
        <v>3854</v>
      </c>
      <c r="F99" s="3">
        <v>43003.083333333299</v>
      </c>
      <c r="G99" s="35">
        <f ca="1">YEAR(TODAY()) - YEAR(F99) - (IF(DATE(YEAR(TODAY()), MONTH(F99), DAY(F99)) &gt; TODAY(), 1, 0))</f>
        <v>8</v>
      </c>
      <c r="H99" cm="1">
        <f t="array" aca="1" ref="H99" ca="1">SUMPRODUCT((BRON!A99:A1294=Table1[[#This Row],[Personeelsnummer]])*(YEAR(BRON!T99:T1294)=YEAR(TODAY())))</f>
        <v>0</v>
      </c>
    </row>
    <row r="100" spans="1:8" x14ac:dyDescent="0.25">
      <c r="A100" s="34" t="s">
        <v>1377</v>
      </c>
      <c r="B100" s="34" t="s">
        <v>1376</v>
      </c>
      <c r="C100" s="34" t="s">
        <v>4041</v>
      </c>
      <c r="D100" s="34" t="s">
        <v>3853</v>
      </c>
      <c r="E100" s="34" t="s">
        <v>3854</v>
      </c>
      <c r="F100" s="3">
        <v>43045.041666666701</v>
      </c>
      <c r="G100" s="35">
        <f ca="1">YEAR(TODAY()) - YEAR(F100) - (IF(DATE(YEAR(TODAY()), MONTH(F100), DAY(F100)) &gt; TODAY(), 1, 0))</f>
        <v>8</v>
      </c>
      <c r="H100" cm="1">
        <f t="array" aca="1" ref="H100" ca="1">SUMPRODUCT((BRON!A100:A1295=Table1[[#This Row],[Personeelsnummer]])*(YEAR(BRON!T100:T1295)=YEAR(TODAY())))</f>
        <v>0</v>
      </c>
    </row>
    <row r="101" spans="1:8" x14ac:dyDescent="0.25">
      <c r="A101" s="34" t="s">
        <v>3236</v>
      </c>
      <c r="B101" s="34" t="s">
        <v>3235</v>
      </c>
      <c r="C101" s="34" t="s">
        <v>4042</v>
      </c>
      <c r="D101" s="34" t="s">
        <v>3853</v>
      </c>
      <c r="E101" s="34" t="s">
        <v>3870</v>
      </c>
      <c r="F101" s="3">
        <v>43073.041666666701</v>
      </c>
      <c r="G101" s="35">
        <f ca="1">YEAR(TODAY()) - YEAR(F101) - (IF(DATE(YEAR(TODAY()), MONTH(F101), DAY(F101)) &gt; TODAY(), 1, 0))</f>
        <v>7</v>
      </c>
      <c r="H101" cm="1">
        <f t="array" aca="1" ref="H101" ca="1">SUMPRODUCT((BRON!A101:A1296=Table1[[#This Row],[Personeelsnummer]])*(YEAR(BRON!T101:T1296)=YEAR(TODAY())))</f>
        <v>0</v>
      </c>
    </row>
    <row r="102" spans="1:8" x14ac:dyDescent="0.25">
      <c r="A102" s="34" t="s">
        <v>1960</v>
      </c>
      <c r="B102" s="34" t="s">
        <v>1967</v>
      </c>
      <c r="C102" s="34" t="s">
        <v>4043</v>
      </c>
      <c r="D102" s="34" t="s">
        <v>3860</v>
      </c>
      <c r="E102" s="34" t="s">
        <v>3870</v>
      </c>
      <c r="F102" s="3">
        <v>43108.041666666701</v>
      </c>
      <c r="G102" s="35">
        <f ca="1">YEAR(TODAY()) - YEAR(F102) - (IF(DATE(YEAR(TODAY()), MONTH(F102), DAY(F102)) &gt; TODAY(), 1, 0))</f>
        <v>7</v>
      </c>
      <c r="H102" cm="1">
        <f t="array" aca="1" ref="H102" ca="1">SUMPRODUCT((BRON!A102:A1297=Table1[[#This Row],[Personeelsnummer]])*(YEAR(BRON!T102:T1297)=YEAR(TODAY())))</f>
        <v>0</v>
      </c>
    </row>
    <row r="103" spans="1:8" x14ac:dyDescent="0.25">
      <c r="A103" s="34" t="s">
        <v>1960</v>
      </c>
      <c r="B103" s="34" t="s">
        <v>1964</v>
      </c>
      <c r="C103" s="34" t="s">
        <v>4055</v>
      </c>
      <c r="D103" s="34" t="s">
        <v>3860</v>
      </c>
      <c r="E103" s="34" t="s">
        <v>3874</v>
      </c>
      <c r="F103" s="3">
        <v>43528.041666666701</v>
      </c>
      <c r="G103" s="35">
        <f ca="1">YEAR(TODAY()) - YEAR(F103) - (IF(DATE(YEAR(TODAY()), MONTH(F103), DAY(F103)) &gt; TODAY(), 1, 0))</f>
        <v>6</v>
      </c>
      <c r="H103" cm="1">
        <f t="array" aca="1" ref="H103" ca="1">SUMPRODUCT((BRON!A103:A1298=Table1[[#This Row],[Personeelsnummer]])*(YEAR(BRON!T103:T1298)=YEAR(TODAY())))</f>
        <v>0</v>
      </c>
    </row>
    <row r="104" spans="1:8" x14ac:dyDescent="0.25">
      <c r="A104" s="34" t="s">
        <v>1550</v>
      </c>
      <c r="B104" s="34" t="s">
        <v>1560</v>
      </c>
      <c r="C104" s="34" t="s">
        <v>4057</v>
      </c>
      <c r="D104" s="34" t="s">
        <v>3867</v>
      </c>
      <c r="E104" s="34" t="s">
        <v>3863</v>
      </c>
      <c r="F104" s="3">
        <v>43627.083333333299</v>
      </c>
      <c r="G104" s="35">
        <f ca="1">YEAR(TODAY()) - YEAR(F104) - (IF(DATE(YEAR(TODAY()), MONTH(F104), DAY(F104)) &gt; TODAY(), 1, 0))</f>
        <v>6</v>
      </c>
      <c r="H104" cm="1">
        <f t="array" aca="1" ref="H104" ca="1">SUMPRODUCT((BRON!A104:A1299=Table1[[#This Row],[Personeelsnummer]])*(YEAR(BRON!T104:T1299)=YEAR(TODAY())))</f>
        <v>0</v>
      </c>
    </row>
    <row r="105" spans="1:8" x14ac:dyDescent="0.25">
      <c r="A105" s="34" t="s">
        <v>549</v>
      </c>
      <c r="B105" s="34" t="s">
        <v>1439</v>
      </c>
      <c r="C105" s="34" t="s">
        <v>4064</v>
      </c>
      <c r="D105" s="34" t="s">
        <v>3855</v>
      </c>
      <c r="E105" s="34" t="s">
        <v>3856</v>
      </c>
      <c r="F105" s="3">
        <v>43697.083333333299</v>
      </c>
      <c r="G105" s="35">
        <f ca="1">YEAR(TODAY()) - YEAR(F105) - (IF(DATE(YEAR(TODAY()), MONTH(F105), DAY(F105)) &gt; TODAY(), 1, 0))</f>
        <v>6</v>
      </c>
      <c r="H105" cm="1">
        <f t="array" aca="1" ref="H105" ca="1">SUMPRODUCT((BRON!A105:A1300=Table1[[#This Row],[Personeelsnummer]])*(YEAR(BRON!T105:T1300)=YEAR(TODAY())))</f>
        <v>0</v>
      </c>
    </row>
    <row r="106" spans="1:8" x14ac:dyDescent="0.25">
      <c r="A106" s="34" t="s">
        <v>1407</v>
      </c>
      <c r="B106" s="34" t="s">
        <v>1406</v>
      </c>
      <c r="C106" s="34" t="s">
        <v>4066</v>
      </c>
      <c r="D106" s="34" t="s">
        <v>3853</v>
      </c>
      <c r="E106" s="34" t="s">
        <v>3854</v>
      </c>
      <c r="F106" s="3">
        <v>43906.041666666701</v>
      </c>
      <c r="G106" s="35">
        <f ca="1">YEAR(TODAY()) - YEAR(F106) - (IF(DATE(YEAR(TODAY()), MONTH(F106), DAY(F106)) &gt; TODAY(), 1, 0))</f>
        <v>5</v>
      </c>
      <c r="H106" cm="1">
        <f t="array" aca="1" ref="H106" ca="1">SUMPRODUCT((BRON!A106:A1301=Table1[[#This Row],[Personeelsnummer]])*(YEAR(BRON!T106:T1301)=YEAR(TODAY())))</f>
        <v>0</v>
      </c>
    </row>
    <row r="107" spans="1:8" x14ac:dyDescent="0.25">
      <c r="A107" s="34" t="s">
        <v>1326</v>
      </c>
      <c r="B107" s="34" t="s">
        <v>2995</v>
      </c>
      <c r="C107" s="34" t="s">
        <v>4068</v>
      </c>
      <c r="D107" s="34" t="s">
        <v>3853</v>
      </c>
      <c r="E107" s="34" t="s">
        <v>3864</v>
      </c>
      <c r="F107" s="3">
        <v>43864.041666666701</v>
      </c>
      <c r="G107" s="35">
        <f ca="1">YEAR(TODAY()) - YEAR(F107) - (IF(DATE(YEAR(TODAY()), MONTH(F107), DAY(F107)) &gt; TODAY(), 1, 0))</f>
        <v>5</v>
      </c>
      <c r="H107" cm="1">
        <f t="array" aca="1" ref="H107" ca="1">SUMPRODUCT((BRON!A107:A1302=Table1[[#This Row],[Personeelsnummer]])*(YEAR(BRON!T107:T1302)=YEAR(TODAY())))</f>
        <v>0</v>
      </c>
    </row>
    <row r="108" spans="1:8" x14ac:dyDescent="0.25">
      <c r="A108" s="34" t="s">
        <v>3105</v>
      </c>
      <c r="B108" s="34" t="s">
        <v>3108</v>
      </c>
      <c r="C108" s="34" t="s">
        <v>4069</v>
      </c>
      <c r="D108" s="34" t="s">
        <v>3860</v>
      </c>
      <c r="E108" s="34" t="s">
        <v>3871</v>
      </c>
      <c r="F108" s="3">
        <v>43878.041666666701</v>
      </c>
      <c r="G108" s="35">
        <f ca="1">YEAR(TODAY()) - YEAR(F108) - (IF(DATE(YEAR(TODAY()), MONTH(F108), DAY(F108)) &gt; TODAY(), 1, 0))</f>
        <v>5</v>
      </c>
      <c r="H108" cm="1">
        <f t="array" aca="1" ref="H108" ca="1">SUMPRODUCT((BRON!A108:A1303=Table1[[#This Row],[Personeelsnummer]])*(YEAR(BRON!T108:T1303)=YEAR(TODAY())))</f>
        <v>0</v>
      </c>
    </row>
    <row r="109" spans="1:8" x14ac:dyDescent="0.25">
      <c r="A109" s="34" t="s">
        <v>2931</v>
      </c>
      <c r="B109" s="34" t="s">
        <v>2936</v>
      </c>
      <c r="C109" s="34" t="s">
        <v>4070</v>
      </c>
      <c r="D109" s="34" t="s">
        <v>3857</v>
      </c>
      <c r="E109" s="34" t="s">
        <v>3866</v>
      </c>
      <c r="F109" s="3">
        <v>43891.041666666701</v>
      </c>
      <c r="G109" s="35">
        <f ca="1">YEAR(TODAY()) - YEAR(F109) - (IF(DATE(YEAR(TODAY()), MONTH(F109), DAY(F109)) &gt; TODAY(), 1, 0))</f>
        <v>5</v>
      </c>
      <c r="H109" cm="1">
        <f t="array" aca="1" ref="H109" ca="1">SUMPRODUCT((BRON!A109:A1304=Table1[[#This Row],[Personeelsnummer]])*(YEAR(BRON!T109:T1304)=YEAR(TODAY())))</f>
        <v>0</v>
      </c>
    </row>
    <row r="110" spans="1:8" x14ac:dyDescent="0.25">
      <c r="A110" s="34" t="s">
        <v>2220</v>
      </c>
      <c r="B110" s="34" t="s">
        <v>2219</v>
      </c>
      <c r="C110" s="34" t="s">
        <v>4071</v>
      </c>
      <c r="D110" s="34" t="s">
        <v>3853</v>
      </c>
      <c r="E110" s="34" t="s">
        <v>3866</v>
      </c>
      <c r="F110" s="3">
        <v>43892.041666666701</v>
      </c>
      <c r="G110" s="35">
        <f ca="1">YEAR(TODAY()) - YEAR(F110) - (IF(DATE(YEAR(TODAY()), MONTH(F110), DAY(F110)) &gt; TODAY(), 1, 0))</f>
        <v>5</v>
      </c>
      <c r="H110" cm="1">
        <f t="array" aca="1" ref="H110" ca="1">SUMPRODUCT((BRON!A110:A1305=Table1[[#This Row],[Personeelsnummer]])*(YEAR(BRON!T110:T1305)=YEAR(TODAY())))</f>
        <v>0</v>
      </c>
    </row>
    <row r="111" spans="1:8" x14ac:dyDescent="0.25">
      <c r="A111" s="34" t="s">
        <v>3299</v>
      </c>
      <c r="B111" s="34" t="s">
        <v>3298</v>
      </c>
      <c r="C111" s="34" t="s">
        <v>4077</v>
      </c>
      <c r="D111" s="34" t="s">
        <v>3853</v>
      </c>
      <c r="E111" s="34" t="s">
        <v>3881</v>
      </c>
      <c r="F111" s="3">
        <v>44081.083333333299</v>
      </c>
      <c r="G111" s="35">
        <f ca="1">YEAR(TODAY()) - YEAR(F111) - (IF(DATE(YEAR(TODAY()), MONTH(F111), DAY(F111)) &gt; TODAY(), 1, 0))</f>
        <v>5</v>
      </c>
      <c r="H111" cm="1">
        <f t="array" aca="1" ref="H111" ca="1">SUMPRODUCT((BRON!A111:A1306=Table1[[#This Row],[Personeelsnummer]])*(YEAR(BRON!T111:T1306)=YEAR(TODAY())))</f>
        <v>0</v>
      </c>
    </row>
    <row r="112" spans="1:8" x14ac:dyDescent="0.25">
      <c r="A112" s="34" t="s">
        <v>3191</v>
      </c>
      <c r="B112" s="34" t="s">
        <v>3190</v>
      </c>
      <c r="C112" s="34" t="s">
        <v>4080</v>
      </c>
      <c r="D112" s="34" t="s">
        <v>3860</v>
      </c>
      <c r="E112" s="34" t="s">
        <v>3874</v>
      </c>
      <c r="F112" s="3">
        <v>44025.083333333299</v>
      </c>
      <c r="G112" s="35">
        <f ca="1">YEAR(TODAY()) - YEAR(F112) - (IF(DATE(YEAR(TODAY()), MONTH(F112), DAY(F112)) &gt; TODAY(), 1, 0))</f>
        <v>5</v>
      </c>
      <c r="H112" cm="1">
        <f t="array" aca="1" ref="H112" ca="1">SUMPRODUCT((BRON!A112:A1307=Table1[[#This Row],[Personeelsnummer]])*(YEAR(BRON!T112:T1307)=YEAR(TODAY())))</f>
        <v>0</v>
      </c>
    </row>
    <row r="113" spans="1:8" x14ac:dyDescent="0.25">
      <c r="A113" s="34" t="s">
        <v>2288</v>
      </c>
      <c r="B113" s="34" t="s">
        <v>2287</v>
      </c>
      <c r="C113" s="34" t="s">
        <v>4082</v>
      </c>
      <c r="D113" s="34" t="s">
        <v>3853</v>
      </c>
      <c r="E113" s="34" t="s">
        <v>3866</v>
      </c>
      <c r="F113" s="3">
        <v>44039.083333333299</v>
      </c>
      <c r="G113" s="35">
        <f ca="1">YEAR(TODAY()) - YEAR(F113) - (IF(DATE(YEAR(TODAY()), MONTH(F113), DAY(F113)) &gt; TODAY(), 1, 0))</f>
        <v>5</v>
      </c>
      <c r="H113" cm="1">
        <f t="array" aca="1" ref="H113" ca="1">SUMPRODUCT((BRON!A113:A1308=Table1[[#This Row],[Personeelsnummer]])*(YEAR(BRON!T113:T1308)=YEAR(TODAY())))</f>
        <v>0</v>
      </c>
    </row>
    <row r="114" spans="1:8" x14ac:dyDescent="0.25">
      <c r="A114" s="34" t="s">
        <v>2311</v>
      </c>
      <c r="B114" s="34" t="s">
        <v>2320</v>
      </c>
      <c r="C114" s="34" t="s">
        <v>4083</v>
      </c>
      <c r="D114" s="34" t="s">
        <v>3853</v>
      </c>
      <c r="E114" s="34" t="s">
        <v>3854</v>
      </c>
      <c r="F114" s="3">
        <v>44025.083333333299</v>
      </c>
      <c r="G114" s="35">
        <f ca="1">YEAR(TODAY()) - YEAR(F114) - (IF(DATE(YEAR(TODAY()), MONTH(F114), DAY(F114)) &gt; TODAY(), 1, 0))</f>
        <v>5</v>
      </c>
      <c r="H114" cm="1">
        <f t="array" aca="1" ref="H114" ca="1">SUMPRODUCT((BRON!A114:A1309=Table1[[#This Row],[Personeelsnummer]])*(YEAR(BRON!T114:T1309)=YEAR(TODAY())))</f>
        <v>0</v>
      </c>
    </row>
    <row r="115" spans="1:8" x14ac:dyDescent="0.25">
      <c r="A115" s="34" t="s">
        <v>1448</v>
      </c>
      <c r="B115" s="34" t="s">
        <v>1447</v>
      </c>
      <c r="C115" s="34" t="s">
        <v>4085</v>
      </c>
      <c r="D115" s="34" t="s">
        <v>3853</v>
      </c>
      <c r="E115" s="34" t="s">
        <v>3881</v>
      </c>
      <c r="F115" s="3">
        <v>44039.083333333299</v>
      </c>
      <c r="G115" s="35">
        <f ca="1">YEAR(TODAY()) - YEAR(F115) - (IF(DATE(YEAR(TODAY()), MONTH(F115), DAY(F115)) &gt; TODAY(), 1, 0))</f>
        <v>5</v>
      </c>
      <c r="H115" cm="1">
        <f t="array" aca="1" ref="H115" ca="1">SUMPRODUCT((BRON!A115:A1310=Table1[[#This Row],[Personeelsnummer]])*(YEAR(BRON!T115:T1310)=YEAR(TODAY())))</f>
        <v>0</v>
      </c>
    </row>
    <row r="116" spans="1:8" x14ac:dyDescent="0.25">
      <c r="A116" s="34" t="s">
        <v>1389</v>
      </c>
      <c r="B116" s="34" t="s">
        <v>1388</v>
      </c>
      <c r="C116" s="34" t="s">
        <v>4086</v>
      </c>
      <c r="D116" s="34" t="s">
        <v>3853</v>
      </c>
      <c r="E116" s="34" t="s">
        <v>3874</v>
      </c>
      <c r="F116" s="3">
        <v>44067.083333333299</v>
      </c>
      <c r="G116" s="35">
        <f ca="1">YEAR(TODAY()) - YEAR(F116) - (IF(DATE(YEAR(TODAY()), MONTH(F116), DAY(F116)) &gt; TODAY(), 1, 0))</f>
        <v>5</v>
      </c>
      <c r="H116" cm="1">
        <f t="array" aca="1" ref="H116" ca="1">SUMPRODUCT((BRON!A116:A1311=Table1[[#This Row],[Personeelsnummer]])*(YEAR(BRON!T116:T1311)=YEAR(TODAY())))</f>
        <v>0</v>
      </c>
    </row>
    <row r="117" spans="1:8" x14ac:dyDescent="0.25">
      <c r="A117" s="34" t="s">
        <v>1760</v>
      </c>
      <c r="B117" s="34" t="s">
        <v>1759</v>
      </c>
      <c r="C117" s="34" t="s">
        <v>4088</v>
      </c>
      <c r="D117" s="34" t="s">
        <v>3860</v>
      </c>
      <c r="E117" s="34" t="s">
        <v>3870</v>
      </c>
      <c r="F117" s="3">
        <v>44075.083333333299</v>
      </c>
      <c r="G117" s="35">
        <f ca="1">YEAR(TODAY()) - YEAR(F117) - (IF(DATE(YEAR(TODAY()), MONTH(F117), DAY(F117)) &gt; TODAY(), 1, 0))</f>
        <v>5</v>
      </c>
      <c r="H117" cm="1">
        <f t="array" aca="1" ref="H117" ca="1">SUMPRODUCT((BRON!A117:A1312=Table1[[#This Row],[Personeelsnummer]])*(YEAR(BRON!T117:T1312)=YEAR(TODAY())))</f>
        <v>0</v>
      </c>
    </row>
    <row r="118" spans="1:8" x14ac:dyDescent="0.25">
      <c r="A118" s="34" t="s">
        <v>1616</v>
      </c>
      <c r="B118" s="34" t="s">
        <v>1495</v>
      </c>
      <c r="C118" s="34" t="s">
        <v>4090</v>
      </c>
      <c r="D118" s="34" t="s">
        <v>3857</v>
      </c>
      <c r="E118" s="34" t="s">
        <v>3866</v>
      </c>
      <c r="F118" s="3">
        <v>44214.041666666701</v>
      </c>
      <c r="G118" s="35">
        <f ca="1">YEAR(TODAY()) - YEAR(F118) - (IF(DATE(YEAR(TODAY()), MONTH(F118), DAY(F118)) &gt; TODAY(), 1, 0))</f>
        <v>4</v>
      </c>
      <c r="H118" cm="1">
        <f t="array" aca="1" ref="H118" ca="1">SUMPRODUCT((BRON!A118:A1313=Table1[[#This Row],[Personeelsnummer]])*(YEAR(BRON!T118:T1313)=YEAR(TODAY())))</f>
        <v>0</v>
      </c>
    </row>
    <row r="119" spans="1:8" x14ac:dyDescent="0.25">
      <c r="A119" s="34" t="s">
        <v>3318</v>
      </c>
      <c r="B119" s="34" t="s">
        <v>3317</v>
      </c>
      <c r="C119" s="34" t="s">
        <v>4091</v>
      </c>
      <c r="D119" s="34" t="s">
        <v>3853</v>
      </c>
      <c r="E119" s="34" t="s">
        <v>3870</v>
      </c>
      <c r="F119" s="3">
        <v>44256.041666666701</v>
      </c>
      <c r="G119" s="35">
        <f ca="1">YEAR(TODAY()) - YEAR(F119) - (IF(DATE(YEAR(TODAY()), MONTH(F119), DAY(F119)) &gt; TODAY(), 1, 0))</f>
        <v>4</v>
      </c>
      <c r="H119" cm="1">
        <f t="array" aca="1" ref="H119" ca="1">SUMPRODUCT((BRON!A119:A1314=Table1[[#This Row],[Personeelsnummer]])*(YEAR(BRON!T119:T1314)=YEAR(TODAY())))</f>
        <v>0</v>
      </c>
    </row>
    <row r="120" spans="1:8" x14ac:dyDescent="0.25">
      <c r="A120" s="34" t="s">
        <v>3105</v>
      </c>
      <c r="B120" s="34" t="s">
        <v>3104</v>
      </c>
      <c r="C120" s="34" t="s">
        <v>4094</v>
      </c>
      <c r="D120" s="34" t="s">
        <v>3857</v>
      </c>
      <c r="E120" s="34" t="s">
        <v>3854</v>
      </c>
      <c r="F120" s="3">
        <v>44284.083333333299</v>
      </c>
      <c r="G120" s="35">
        <f ca="1">YEAR(TODAY()) - YEAR(F120) - (IF(DATE(YEAR(TODAY()), MONTH(F120), DAY(F120)) &gt; TODAY(), 1, 0))</f>
        <v>4</v>
      </c>
      <c r="H120" cm="1">
        <f t="array" aca="1" ref="H120" ca="1">SUMPRODUCT((BRON!A120:A1315=Table1[[#This Row],[Personeelsnummer]])*(YEAR(BRON!T120:T1315)=YEAR(TODAY())))</f>
        <v>0</v>
      </c>
    </row>
    <row r="121" spans="1:8" x14ac:dyDescent="0.25">
      <c r="A121" s="34" t="s">
        <v>2449</v>
      </c>
      <c r="B121" s="34" t="s">
        <v>2448</v>
      </c>
      <c r="C121" s="34" t="s">
        <v>4098</v>
      </c>
      <c r="D121" s="34" t="s">
        <v>3853</v>
      </c>
      <c r="E121" s="34" t="s">
        <v>3854</v>
      </c>
      <c r="F121" s="3">
        <v>44312.083333333299</v>
      </c>
      <c r="G121" s="35">
        <f ca="1">YEAR(TODAY()) - YEAR(F121) - (IF(DATE(YEAR(TODAY()), MONTH(F121), DAY(F121)) &gt; TODAY(), 1, 0))</f>
        <v>4</v>
      </c>
      <c r="H121" cm="1">
        <f t="array" aca="1" ref="H121" ca="1">SUMPRODUCT((BRON!A121:A1316=Table1[[#This Row],[Personeelsnummer]])*(YEAR(BRON!T121:T1316)=YEAR(TODAY())))</f>
        <v>0</v>
      </c>
    </row>
    <row r="122" spans="1:8" x14ac:dyDescent="0.25">
      <c r="A122" s="34" t="s">
        <v>3034</v>
      </c>
      <c r="B122" s="34" t="s">
        <v>3033</v>
      </c>
      <c r="C122" s="34" t="s">
        <v>4100</v>
      </c>
      <c r="D122" s="34" t="s">
        <v>3853</v>
      </c>
      <c r="E122" s="34" t="s">
        <v>3863</v>
      </c>
      <c r="F122" s="3">
        <v>44333.083333333299</v>
      </c>
      <c r="G122" s="35">
        <f ca="1">YEAR(TODAY()) - YEAR(F122) - (IF(DATE(YEAR(TODAY()), MONTH(F122), DAY(F122)) &gt; TODAY(), 1, 0))</f>
        <v>4</v>
      </c>
      <c r="H122" cm="1">
        <f t="array" aca="1" ref="H122" ca="1">SUMPRODUCT((BRON!A122:A1317=Table1[[#This Row],[Personeelsnummer]])*(YEAR(BRON!T122:T1317)=YEAR(TODAY())))</f>
        <v>0</v>
      </c>
    </row>
    <row r="123" spans="1:8" x14ac:dyDescent="0.25">
      <c r="A123" s="34" t="s">
        <v>1812</v>
      </c>
      <c r="B123" s="34" t="s">
        <v>1811</v>
      </c>
      <c r="C123" s="34" t="s">
        <v>4101</v>
      </c>
      <c r="D123" s="34" t="s">
        <v>3853</v>
      </c>
      <c r="E123" s="34" t="s">
        <v>3854</v>
      </c>
      <c r="F123" s="3">
        <v>44333.083333333299</v>
      </c>
      <c r="G123" s="35">
        <f ca="1">YEAR(TODAY()) - YEAR(F123) - (IF(DATE(YEAR(TODAY()), MONTH(F123), DAY(F123)) &gt; TODAY(), 1, 0))</f>
        <v>4</v>
      </c>
      <c r="H123" cm="1">
        <f t="array" aca="1" ref="H123" ca="1">SUMPRODUCT((BRON!A123:A1318=Table1[[#This Row],[Personeelsnummer]])*(YEAR(BRON!T123:T1318)=YEAR(TODAY())))</f>
        <v>0</v>
      </c>
    </row>
    <row r="124" spans="1:8" x14ac:dyDescent="0.25">
      <c r="A124" s="34" t="s">
        <v>1880</v>
      </c>
      <c r="B124" s="34" t="s">
        <v>1240</v>
      </c>
      <c r="C124" s="34" t="s">
        <v>4103</v>
      </c>
      <c r="D124" s="34" t="s">
        <v>3860</v>
      </c>
      <c r="E124" s="34" t="s">
        <v>3854</v>
      </c>
      <c r="F124" s="3">
        <v>44333.083333333299</v>
      </c>
      <c r="G124" s="35">
        <f ca="1">YEAR(TODAY()) - YEAR(F124) - (IF(DATE(YEAR(TODAY()), MONTH(F124), DAY(F124)) &gt; TODAY(), 1, 0))</f>
        <v>4</v>
      </c>
      <c r="H124" cm="1">
        <f t="array" aca="1" ref="H124" ca="1">SUMPRODUCT((BRON!A124:A1319=Table1[[#This Row],[Personeelsnummer]])*(YEAR(BRON!T124:T1319)=YEAR(TODAY())))</f>
        <v>0</v>
      </c>
    </row>
    <row r="125" spans="1:8" x14ac:dyDescent="0.25">
      <c r="A125" s="34" t="s">
        <v>2257</v>
      </c>
      <c r="B125" s="34" t="s">
        <v>2256</v>
      </c>
      <c r="C125" s="34" t="s">
        <v>4107</v>
      </c>
      <c r="D125" s="34" t="s">
        <v>3860</v>
      </c>
      <c r="E125" s="34" t="s">
        <v>3871</v>
      </c>
      <c r="F125" s="3">
        <v>44389.083333333299</v>
      </c>
      <c r="G125" s="35">
        <f ca="1">YEAR(TODAY()) - YEAR(F125) - (IF(DATE(YEAR(TODAY()), MONTH(F125), DAY(F125)) &gt; TODAY(), 1, 0))</f>
        <v>4</v>
      </c>
      <c r="H125" cm="1">
        <f t="array" aca="1" ref="H125" ca="1">SUMPRODUCT((BRON!A125:A1320=Table1[[#This Row],[Personeelsnummer]])*(YEAR(BRON!T125:T1320)=YEAR(TODAY())))</f>
        <v>0</v>
      </c>
    </row>
    <row r="126" spans="1:8" x14ac:dyDescent="0.25">
      <c r="A126" s="34" t="s">
        <v>1918</v>
      </c>
      <c r="B126" s="34" t="s">
        <v>1922</v>
      </c>
      <c r="C126" s="34" t="s">
        <v>4113</v>
      </c>
      <c r="D126" s="34" t="s">
        <v>3860</v>
      </c>
      <c r="E126" s="34" t="s">
        <v>3874</v>
      </c>
      <c r="F126" s="3">
        <v>44473.083333333299</v>
      </c>
      <c r="G126" s="35">
        <f ca="1">YEAR(TODAY()) - YEAR(F126) - (IF(DATE(YEAR(TODAY()), MONTH(F126), DAY(F126)) &gt; TODAY(), 1, 0))</f>
        <v>4</v>
      </c>
      <c r="H126" cm="1">
        <f t="array" aca="1" ref="H126" ca="1">SUMPRODUCT((BRON!A126:A1321=Table1[[#This Row],[Personeelsnummer]])*(YEAR(BRON!T126:T1321)=YEAR(TODAY())))</f>
        <v>0</v>
      </c>
    </row>
    <row r="127" spans="1:8" x14ac:dyDescent="0.25">
      <c r="A127" s="34" t="s">
        <v>2789</v>
      </c>
      <c r="B127" s="34" t="s">
        <v>2788</v>
      </c>
      <c r="C127" s="34" t="s">
        <v>4117</v>
      </c>
      <c r="D127" s="34" t="s">
        <v>3853</v>
      </c>
      <c r="E127" s="34" t="s">
        <v>3854</v>
      </c>
      <c r="F127" s="3">
        <v>44641.041666666701</v>
      </c>
      <c r="G127" s="35">
        <f ca="1">YEAR(TODAY()) - YEAR(F127) - (IF(DATE(YEAR(TODAY()), MONTH(F127), DAY(F127)) &gt; TODAY(), 1, 0))</f>
        <v>3</v>
      </c>
      <c r="H127" cm="1">
        <f t="array" aca="1" ref="H127" ca="1">SUMPRODUCT((BRON!A127:A1322=Table1[[#This Row],[Personeelsnummer]])*(YEAR(BRON!T127:T1322)=YEAR(TODAY())))</f>
        <v>0</v>
      </c>
    </row>
    <row r="128" spans="1:8" x14ac:dyDescent="0.25">
      <c r="A128" s="34" t="s">
        <v>1662</v>
      </c>
      <c r="B128" s="34" t="s">
        <v>1661</v>
      </c>
      <c r="C128" s="34" t="s">
        <v>4118</v>
      </c>
      <c r="D128" s="34" t="s">
        <v>3860</v>
      </c>
      <c r="E128" s="34" t="s">
        <v>3854</v>
      </c>
      <c r="F128" s="3">
        <v>44664.083333333299</v>
      </c>
      <c r="G128" s="35">
        <f ca="1">YEAR(TODAY()) - YEAR(F128) - (IF(DATE(YEAR(TODAY()), MONTH(F128), DAY(F128)) &gt; TODAY(), 1, 0))</f>
        <v>3</v>
      </c>
      <c r="H128" cm="1">
        <f t="array" aca="1" ref="H128" ca="1">SUMPRODUCT((BRON!A128:A1323=Table1[[#This Row],[Personeelsnummer]])*(YEAR(BRON!T128:T1323)=YEAR(TODAY())))</f>
        <v>0</v>
      </c>
    </row>
    <row r="129" spans="1:8" x14ac:dyDescent="0.25">
      <c r="A129" s="34" t="s">
        <v>1326</v>
      </c>
      <c r="B129" s="34" t="s">
        <v>2992</v>
      </c>
      <c r="C129" s="34" t="s">
        <v>4119</v>
      </c>
      <c r="D129" s="34" t="s">
        <v>3860</v>
      </c>
      <c r="E129" s="34" t="s">
        <v>3866</v>
      </c>
      <c r="F129" s="3">
        <v>44599.041666666701</v>
      </c>
      <c r="G129" s="35">
        <f ca="1">YEAR(TODAY()) - YEAR(F129) - (IF(DATE(YEAR(TODAY()), MONTH(F129), DAY(F129)) &gt; TODAY(), 1, 0))</f>
        <v>3</v>
      </c>
      <c r="H129" cm="1">
        <f t="array" aca="1" ref="H129" ca="1">SUMPRODUCT((BRON!A129:A1324=Table1[[#This Row],[Personeelsnummer]])*(YEAR(BRON!T129:T1324)=YEAR(TODAY())))</f>
        <v>0</v>
      </c>
    </row>
    <row r="130" spans="1:8" x14ac:dyDescent="0.25">
      <c r="A130" s="34" t="s">
        <v>2228</v>
      </c>
      <c r="B130" s="34" t="s">
        <v>2227</v>
      </c>
      <c r="C130" s="34" t="s">
        <v>4122</v>
      </c>
      <c r="D130" s="34" t="s">
        <v>3853</v>
      </c>
      <c r="E130" s="34" t="s">
        <v>3864</v>
      </c>
      <c r="F130" s="3">
        <v>44704.083333333299</v>
      </c>
      <c r="G130" s="35">
        <f ca="1">YEAR(TODAY()) - YEAR(F130) - (IF(DATE(YEAR(TODAY()), MONTH(F130), DAY(F130)) &gt; TODAY(), 1, 0))</f>
        <v>3</v>
      </c>
      <c r="H130" cm="1">
        <f t="array" aca="1" ref="H130" ca="1">SUMPRODUCT((BRON!A130:A1325=Table1[[#This Row],[Personeelsnummer]])*(YEAR(BRON!T130:T1325)=YEAR(TODAY())))</f>
        <v>0</v>
      </c>
    </row>
    <row r="131" spans="1:8" x14ac:dyDescent="0.25">
      <c r="A131" s="34" t="s">
        <v>2085</v>
      </c>
      <c r="B131" s="34" t="s">
        <v>2084</v>
      </c>
      <c r="C131" s="34" t="s">
        <v>4129</v>
      </c>
      <c r="D131" s="34" t="s">
        <v>3860</v>
      </c>
      <c r="E131" s="34" t="s">
        <v>3870</v>
      </c>
      <c r="F131" s="3">
        <v>44683.083333333299</v>
      </c>
      <c r="G131" s="35">
        <f ca="1">YEAR(TODAY()) - YEAR(F131) - (IF(DATE(YEAR(TODAY()), MONTH(F131), DAY(F131)) &gt; TODAY(), 1, 0))</f>
        <v>3</v>
      </c>
      <c r="H131" cm="1">
        <f t="array" aca="1" ref="H131" ca="1">SUMPRODUCT((BRON!A131:A1326=Table1[[#This Row],[Personeelsnummer]])*(YEAR(BRON!T131:T1326)=YEAR(TODAY())))</f>
        <v>0</v>
      </c>
    </row>
    <row r="132" spans="1:8" x14ac:dyDescent="0.25">
      <c r="A132" s="34" t="s">
        <v>3157</v>
      </c>
      <c r="B132" s="34" t="s">
        <v>2327</v>
      </c>
      <c r="C132" s="34" t="s">
        <v>4132</v>
      </c>
      <c r="D132" s="34" t="s">
        <v>3860</v>
      </c>
      <c r="E132" s="34" t="s">
        <v>3874</v>
      </c>
      <c r="F132" s="3">
        <v>44739.083333333299</v>
      </c>
      <c r="G132" s="35">
        <f ca="1">YEAR(TODAY()) - YEAR(F132) - (IF(DATE(YEAR(TODAY()), MONTH(F132), DAY(F132)) &gt; TODAY(), 1, 0))</f>
        <v>3</v>
      </c>
      <c r="H132" cm="1">
        <f t="array" aca="1" ref="H132" ca="1">SUMPRODUCT((BRON!A132:A1327=Table1[[#This Row],[Personeelsnummer]])*(YEAR(BRON!T132:T1327)=YEAR(TODAY())))</f>
        <v>0</v>
      </c>
    </row>
    <row r="133" spans="1:8" x14ac:dyDescent="0.25">
      <c r="A133" s="34" t="s">
        <v>2866</v>
      </c>
      <c r="B133" s="34" t="s">
        <v>1811</v>
      </c>
      <c r="C133" s="34" t="s">
        <v>4133</v>
      </c>
      <c r="D133" s="34" t="s">
        <v>3853</v>
      </c>
      <c r="E133" s="34" t="s">
        <v>3881</v>
      </c>
      <c r="F133" s="3">
        <v>44753.083333333299</v>
      </c>
      <c r="G133" s="35">
        <f ca="1">YEAR(TODAY()) - YEAR(F133) - (IF(DATE(YEAR(TODAY()), MONTH(F133), DAY(F133)) &gt; TODAY(), 1, 0))</f>
        <v>3</v>
      </c>
      <c r="H133" cm="1">
        <f t="array" aca="1" ref="H133" ca="1">SUMPRODUCT((BRON!A133:A1328=Table1[[#This Row],[Personeelsnummer]])*(YEAR(BRON!T133:T1328)=YEAR(TODAY())))</f>
        <v>0</v>
      </c>
    </row>
    <row r="134" spans="1:8" x14ac:dyDescent="0.25">
      <c r="A134" s="34" t="s">
        <v>2492</v>
      </c>
      <c r="B134" s="34" t="s">
        <v>1692</v>
      </c>
      <c r="C134" s="34" t="s">
        <v>4134</v>
      </c>
      <c r="D134" s="34" t="s">
        <v>3853</v>
      </c>
      <c r="E134" s="34" t="s">
        <v>3874</v>
      </c>
      <c r="F134" s="3">
        <v>44790.083333333299</v>
      </c>
      <c r="G134" s="35">
        <f ca="1">YEAR(TODAY()) - YEAR(F134) - (IF(DATE(YEAR(TODAY()), MONTH(F134), DAY(F134)) &gt; TODAY(), 1, 0))</f>
        <v>3</v>
      </c>
      <c r="H134" cm="1">
        <f t="array" aca="1" ref="H134" ca="1">SUMPRODUCT((BRON!A134:A1329=Table1[[#This Row],[Personeelsnummer]])*(YEAR(BRON!T134:T1329)=YEAR(TODAY())))</f>
        <v>0</v>
      </c>
    </row>
    <row r="135" spans="1:8" x14ac:dyDescent="0.25">
      <c r="A135" s="34" t="s">
        <v>2093</v>
      </c>
      <c r="B135" s="34" t="s">
        <v>2096</v>
      </c>
      <c r="C135" s="34" t="s">
        <v>4135</v>
      </c>
      <c r="D135" s="34" t="s">
        <v>3860</v>
      </c>
      <c r="E135" s="34" t="s">
        <v>3870</v>
      </c>
      <c r="F135" s="3">
        <v>44795.083333333299</v>
      </c>
      <c r="G135" s="35">
        <f ca="1">YEAR(TODAY()) - YEAR(F135) - (IF(DATE(YEAR(TODAY()), MONTH(F135), DAY(F135)) &gt; TODAY(), 1, 0))</f>
        <v>3</v>
      </c>
      <c r="H135" cm="1">
        <f t="array" aca="1" ref="H135" ca="1">SUMPRODUCT((BRON!A135:A1330=Table1[[#This Row],[Personeelsnummer]])*(YEAR(BRON!T135:T1330)=YEAR(TODAY())))</f>
        <v>0</v>
      </c>
    </row>
    <row r="136" spans="1:8" x14ac:dyDescent="0.25">
      <c r="A136" s="34" t="s">
        <v>2203</v>
      </c>
      <c r="B136" s="34" t="s">
        <v>2206</v>
      </c>
      <c r="C136" s="34" t="s">
        <v>4137</v>
      </c>
      <c r="D136" s="34" t="s">
        <v>3860</v>
      </c>
      <c r="E136" s="34" t="s">
        <v>3874</v>
      </c>
      <c r="F136" s="3">
        <v>44823.083333333299</v>
      </c>
      <c r="G136" s="35">
        <f ca="1">YEAR(TODAY()) - YEAR(F136) - (IF(DATE(YEAR(TODAY()), MONTH(F136), DAY(F136)) &gt; TODAY(), 1, 0))</f>
        <v>3</v>
      </c>
      <c r="H136" cm="1">
        <f t="array" aca="1" ref="H136" ca="1">SUMPRODUCT((BRON!A136:A1331=Table1[[#This Row],[Personeelsnummer]])*(YEAR(BRON!T136:T1331)=YEAR(TODAY())))</f>
        <v>0</v>
      </c>
    </row>
    <row r="137" spans="1:8" x14ac:dyDescent="0.25">
      <c r="A137" s="34" t="s">
        <v>3132</v>
      </c>
      <c r="B137" s="34" t="s">
        <v>3131</v>
      </c>
      <c r="C137" s="34" t="s">
        <v>4140</v>
      </c>
      <c r="D137" s="34" t="s">
        <v>3860</v>
      </c>
      <c r="E137" s="34" t="s">
        <v>3866</v>
      </c>
      <c r="F137" s="3">
        <v>44837.083333333299</v>
      </c>
      <c r="G137" s="35">
        <f ca="1">YEAR(TODAY()) - YEAR(F137) - (IF(DATE(YEAR(TODAY()), MONTH(F137), DAY(F137)) &gt; TODAY(), 1, 0))</f>
        <v>3</v>
      </c>
      <c r="H137" cm="1">
        <f t="array" aca="1" ref="H137" ca="1">SUMPRODUCT((BRON!A137:A1332=Table1[[#This Row],[Personeelsnummer]])*(YEAR(BRON!T137:T1332)=YEAR(TODAY())))</f>
        <v>0</v>
      </c>
    </row>
    <row r="138" spans="1:8" x14ac:dyDescent="0.25">
      <c r="A138" s="34" t="s">
        <v>1860</v>
      </c>
      <c r="B138" s="34" t="s">
        <v>3411</v>
      </c>
      <c r="C138" s="34" t="s">
        <v>4141</v>
      </c>
      <c r="D138" s="34" t="s">
        <v>3860</v>
      </c>
      <c r="E138" s="34" t="s">
        <v>3866</v>
      </c>
      <c r="F138" s="3">
        <v>44837.083333333299</v>
      </c>
      <c r="G138" s="35">
        <f ca="1">YEAR(TODAY()) - YEAR(F138) - (IF(DATE(YEAR(TODAY()), MONTH(F138), DAY(F138)) &gt; TODAY(), 1, 0))</f>
        <v>3</v>
      </c>
      <c r="H138" cm="1">
        <f t="array" aca="1" ref="H138" ca="1">SUMPRODUCT((BRON!A138:A1333=Table1[[#This Row],[Personeelsnummer]])*(YEAR(BRON!T138:T1333)=YEAR(TODAY())))</f>
        <v>0</v>
      </c>
    </row>
    <row r="139" spans="1:8" x14ac:dyDescent="0.25">
      <c r="A139" s="34" t="s">
        <v>2667</v>
      </c>
      <c r="B139" s="34" t="s">
        <v>2666</v>
      </c>
      <c r="C139" s="34" t="s">
        <v>4142</v>
      </c>
      <c r="D139" s="34" t="s">
        <v>3860</v>
      </c>
      <c r="E139" s="34" t="s">
        <v>3864</v>
      </c>
      <c r="F139" s="3">
        <v>44837.083333333299</v>
      </c>
      <c r="G139" s="35">
        <f ca="1">YEAR(TODAY()) - YEAR(F139) - (IF(DATE(YEAR(TODAY()), MONTH(F139), DAY(F139)) &gt; TODAY(), 1, 0))</f>
        <v>3</v>
      </c>
      <c r="H139" cm="1">
        <f t="array" aca="1" ref="H139" ca="1">SUMPRODUCT((BRON!A139:A1334=Table1[[#This Row],[Personeelsnummer]])*(YEAR(BRON!T139:T1334)=YEAR(TODAY())))</f>
        <v>0</v>
      </c>
    </row>
    <row r="140" spans="1:8" x14ac:dyDescent="0.25">
      <c r="A140" s="34" t="s">
        <v>2014</v>
      </c>
      <c r="B140" s="34" t="s">
        <v>3431</v>
      </c>
      <c r="C140" s="34" t="s">
        <v>4145</v>
      </c>
      <c r="D140" s="34" t="s">
        <v>3860</v>
      </c>
      <c r="E140" s="34" t="s">
        <v>3864</v>
      </c>
      <c r="F140" s="3">
        <v>44970.041666666701</v>
      </c>
      <c r="G140" s="35">
        <f ca="1">YEAR(TODAY()) - YEAR(F140) - (IF(DATE(YEAR(TODAY()), MONTH(F140), DAY(F140)) &gt; TODAY(), 1, 0))</f>
        <v>2</v>
      </c>
      <c r="H140" cm="1">
        <f t="array" aca="1" ref="H140" ca="1">SUMPRODUCT((BRON!A140:A1335=Table1[[#This Row],[Personeelsnummer]])*(YEAR(BRON!T140:T1335)=YEAR(TODAY())))</f>
        <v>0</v>
      </c>
    </row>
    <row r="141" spans="1:8" x14ac:dyDescent="0.25">
      <c r="A141" s="34" t="s">
        <v>2307</v>
      </c>
      <c r="B141" s="34" t="s">
        <v>2306</v>
      </c>
      <c r="C141" s="34" t="s">
        <v>4146</v>
      </c>
      <c r="D141" s="34" t="s">
        <v>3853</v>
      </c>
      <c r="E141" s="34" t="s">
        <v>3870</v>
      </c>
      <c r="F141" s="3">
        <v>44984.041666666701</v>
      </c>
      <c r="G141" s="35">
        <f ca="1">YEAR(TODAY()) - YEAR(F141) - (IF(DATE(YEAR(TODAY()), MONTH(F141), DAY(F141)) &gt; TODAY(), 1, 0))</f>
        <v>2</v>
      </c>
      <c r="H141" cm="1">
        <f t="array" aca="1" ref="H141" ca="1">SUMPRODUCT((BRON!A141:A1336=Table1[[#This Row],[Personeelsnummer]])*(YEAR(BRON!T141:T1336)=YEAR(TODAY())))</f>
        <v>0</v>
      </c>
    </row>
    <row r="142" spans="1:8" x14ac:dyDescent="0.25">
      <c r="A142" s="34" t="s">
        <v>1616</v>
      </c>
      <c r="B142" s="34" t="s">
        <v>1615</v>
      </c>
      <c r="C142" s="34" t="s">
        <v>4147</v>
      </c>
      <c r="D142" s="34" t="s">
        <v>3853</v>
      </c>
      <c r="E142" s="34" t="s">
        <v>3871</v>
      </c>
      <c r="F142" s="3">
        <v>45035.083333333299</v>
      </c>
      <c r="G142" s="35">
        <f ca="1">YEAR(TODAY()) - YEAR(F142) - (IF(DATE(YEAR(TODAY()), MONTH(F142), DAY(F142)) &gt; TODAY(), 1, 0))</f>
        <v>2</v>
      </c>
      <c r="H142" cm="1">
        <f t="array" aca="1" ref="H142" ca="1">SUMPRODUCT((BRON!A142:A1337=Table1[[#This Row],[Personeelsnummer]])*(YEAR(BRON!T142:T1337)=YEAR(TODAY())))</f>
        <v>0</v>
      </c>
    </row>
    <row r="143" spans="1:8" x14ac:dyDescent="0.25">
      <c r="A143" s="34" t="s">
        <v>1763</v>
      </c>
      <c r="B143" s="34" t="s">
        <v>1762</v>
      </c>
      <c r="C143" s="34" t="s">
        <v>4148</v>
      </c>
      <c r="D143" s="34" t="s">
        <v>3860</v>
      </c>
      <c r="E143" s="34" t="s">
        <v>3871</v>
      </c>
      <c r="F143" s="3">
        <v>44998.041666666701</v>
      </c>
      <c r="G143" s="35">
        <f ca="1">YEAR(TODAY()) - YEAR(F143) - (IF(DATE(YEAR(TODAY()), MONTH(F143), DAY(F143)) &gt; TODAY(), 1, 0))</f>
        <v>2</v>
      </c>
      <c r="H143" cm="1">
        <f t="array" aca="1" ref="H143" ca="1">SUMPRODUCT((BRON!A143:A1338=Table1[[#This Row],[Personeelsnummer]])*(YEAR(BRON!T143:T1338)=YEAR(TODAY())))</f>
        <v>0</v>
      </c>
    </row>
    <row r="144" spans="1:8" x14ac:dyDescent="0.25">
      <c r="A144" s="34" t="s">
        <v>1756</v>
      </c>
      <c r="B144" s="34" t="s">
        <v>1755</v>
      </c>
      <c r="C144" s="34" t="s">
        <v>4153</v>
      </c>
      <c r="D144" s="34" t="s">
        <v>3860</v>
      </c>
      <c r="E144" s="34" t="s">
        <v>3863</v>
      </c>
      <c r="F144" s="3">
        <v>45062.083333333299</v>
      </c>
      <c r="G144" s="35">
        <f ca="1">YEAR(TODAY()) - YEAR(F144) - (IF(DATE(YEAR(TODAY()), MONTH(F144), DAY(F144)) &gt; TODAY(), 1, 0))</f>
        <v>2</v>
      </c>
      <c r="H144" cm="1">
        <f t="array" aca="1" ref="H144" ca="1">SUMPRODUCT((BRON!A144:A1339=Table1[[#This Row],[Personeelsnummer]])*(YEAR(BRON!T144:T1339)=YEAR(TODAY())))</f>
        <v>0</v>
      </c>
    </row>
    <row r="145" spans="1:8" x14ac:dyDescent="0.25">
      <c r="A145" s="34" t="s">
        <v>1789</v>
      </c>
      <c r="B145" s="34" t="s">
        <v>1788</v>
      </c>
      <c r="C145" s="34" t="s">
        <v>4162</v>
      </c>
      <c r="D145" s="34" t="s">
        <v>3853</v>
      </c>
      <c r="E145" s="34" t="s">
        <v>3863</v>
      </c>
      <c r="F145" s="3">
        <v>45166.083333333299</v>
      </c>
      <c r="G145" s="35">
        <f ca="1">YEAR(TODAY()) - YEAR(F145) - (IF(DATE(YEAR(TODAY()), MONTH(F145), DAY(F145)) &gt; TODAY(), 1, 0))</f>
        <v>2</v>
      </c>
      <c r="H145" cm="1">
        <f t="array" aca="1" ref="H145" ca="1">SUMPRODUCT((BRON!A145:A1340=Table1[[#This Row],[Personeelsnummer]])*(YEAR(BRON!T145:T1340)=YEAR(TODAY())))</f>
        <v>0</v>
      </c>
    </row>
    <row r="146" spans="1:8" x14ac:dyDescent="0.25">
      <c r="A146" s="34" t="s">
        <v>2604</v>
      </c>
      <c r="B146" s="34" t="s">
        <v>1443</v>
      </c>
      <c r="C146" s="34" t="s">
        <v>4166</v>
      </c>
      <c r="D146" s="34" t="s">
        <v>3853</v>
      </c>
      <c r="E146" s="34" t="s">
        <v>3863</v>
      </c>
      <c r="F146" s="3">
        <v>45173.083333333299</v>
      </c>
      <c r="G146" s="35">
        <f ca="1">YEAR(TODAY()) - YEAR(F146) - (IF(DATE(YEAR(TODAY()), MONTH(F146), DAY(F146)) &gt; TODAY(), 1, 0))</f>
        <v>2</v>
      </c>
      <c r="H146" cm="1">
        <f t="array" aca="1" ref="H146" ca="1">SUMPRODUCT((BRON!A146:A1341=Table1[[#This Row],[Personeelsnummer]])*(YEAR(BRON!T146:T1341)=YEAR(TODAY())))</f>
        <v>0</v>
      </c>
    </row>
    <row r="147" spans="1:8" x14ac:dyDescent="0.25">
      <c r="A147" s="34" t="s">
        <v>3273</v>
      </c>
      <c r="B147" s="34" t="s">
        <v>3272</v>
      </c>
      <c r="C147" s="34" t="s">
        <v>4174</v>
      </c>
      <c r="D147" s="34" t="s">
        <v>3853</v>
      </c>
      <c r="E147" s="34" t="s">
        <v>3864</v>
      </c>
      <c r="F147" s="3">
        <v>45208.083333333299</v>
      </c>
      <c r="G147" s="35">
        <f ca="1">YEAR(TODAY()) - YEAR(F147) - (IF(DATE(YEAR(TODAY()), MONTH(F147), DAY(F147)) &gt; TODAY(), 1, 0))</f>
        <v>2</v>
      </c>
      <c r="H147" cm="1">
        <f t="array" aca="1" ref="H147" ca="1">SUMPRODUCT((BRON!A147:A1342=Table1[[#This Row],[Personeelsnummer]])*(YEAR(BRON!T147:T1342)=YEAR(TODAY())))</f>
        <v>0</v>
      </c>
    </row>
    <row r="148" spans="1:8" x14ac:dyDescent="0.25">
      <c r="A148" s="34" t="s">
        <v>2575</v>
      </c>
      <c r="B148" s="34" t="s">
        <v>2574</v>
      </c>
      <c r="C148" s="34" t="s">
        <v>4179</v>
      </c>
      <c r="D148" s="34" t="s">
        <v>3860</v>
      </c>
      <c r="E148" s="34" t="s">
        <v>3854</v>
      </c>
      <c r="F148" s="3">
        <v>45222.083333333299</v>
      </c>
      <c r="G148" s="35">
        <f ca="1">YEAR(TODAY()) - YEAR(F148) - (IF(DATE(YEAR(TODAY()), MONTH(F148), DAY(F148)) &gt; TODAY(), 1, 0))</f>
        <v>2</v>
      </c>
      <c r="H148" cm="1">
        <f t="array" aca="1" ref="H148" ca="1">SUMPRODUCT((BRON!A148:A1343=Table1[[#This Row],[Personeelsnummer]])*(YEAR(BRON!T148:T1343)=YEAR(TODAY())))</f>
        <v>0</v>
      </c>
    </row>
    <row r="149" spans="1:8" x14ac:dyDescent="0.25">
      <c r="A149" s="34" t="s">
        <v>2121</v>
      </c>
      <c r="B149" s="34" t="s">
        <v>2120</v>
      </c>
      <c r="C149" s="34" t="s">
        <v>4184</v>
      </c>
      <c r="D149" s="34" t="s">
        <v>3860</v>
      </c>
      <c r="E149" s="34" t="s">
        <v>3871</v>
      </c>
      <c r="F149" s="3">
        <v>45264.041666666701</v>
      </c>
      <c r="G149" s="35">
        <f ca="1">YEAR(TODAY()) - YEAR(F149) - (IF(DATE(YEAR(TODAY()), MONTH(F149), DAY(F149)) &gt; TODAY(), 1, 0))</f>
        <v>1</v>
      </c>
      <c r="H149" cm="1">
        <f t="array" aca="1" ref="H149" ca="1">SUMPRODUCT((BRON!A149:A1344=Table1[[#This Row],[Personeelsnummer]])*(YEAR(BRON!T149:T1344)=YEAR(TODAY())))</f>
        <v>0</v>
      </c>
    </row>
    <row r="150" spans="1:8" x14ac:dyDescent="0.25">
      <c r="A150" s="34" t="s">
        <v>1853</v>
      </c>
      <c r="B150" s="34" t="s">
        <v>1852</v>
      </c>
      <c r="C150" s="34" t="s">
        <v>4189</v>
      </c>
      <c r="D150" s="34" t="s">
        <v>3860</v>
      </c>
      <c r="E150" s="34" t="s">
        <v>3874</v>
      </c>
      <c r="F150" s="3">
        <v>45293.041666666701</v>
      </c>
      <c r="G150" s="35">
        <f ca="1">YEAR(TODAY()) - YEAR(F150) - (IF(DATE(YEAR(TODAY()), MONTH(F150), DAY(F150)) &gt; TODAY(), 1, 0))</f>
        <v>1</v>
      </c>
      <c r="H150" cm="1">
        <f t="array" aca="1" ref="H150" ca="1">SUMPRODUCT((BRON!A150:A1345=Table1[[#This Row],[Personeelsnummer]])*(YEAR(BRON!T150:T1345)=YEAR(TODAY())))</f>
        <v>0</v>
      </c>
    </row>
    <row r="151" spans="1:8" x14ac:dyDescent="0.25">
      <c r="A151" s="34" t="s">
        <v>3453</v>
      </c>
      <c r="B151" s="34" t="s">
        <v>3264</v>
      </c>
      <c r="C151" s="34" t="s">
        <v>4190</v>
      </c>
      <c r="D151" s="34" t="s">
        <v>3860</v>
      </c>
      <c r="E151" s="34" t="s">
        <v>3863</v>
      </c>
      <c r="F151" s="3">
        <v>45315.041666666701</v>
      </c>
      <c r="G151" s="35">
        <f ca="1">YEAR(TODAY()) - YEAR(F151) - (IF(DATE(YEAR(TODAY()), MONTH(F151), DAY(F151)) &gt; TODAY(), 1, 0))</f>
        <v>1</v>
      </c>
      <c r="H151" cm="1">
        <f t="array" aca="1" ref="H151" ca="1">SUMPRODUCT((BRON!A151:A1346=Table1[[#This Row],[Personeelsnummer]])*(YEAR(BRON!T151:T1346)=YEAR(TODAY())))</f>
        <v>0</v>
      </c>
    </row>
    <row r="152" spans="1:8" x14ac:dyDescent="0.25">
      <c r="A152" s="34" t="s">
        <v>2646</v>
      </c>
      <c r="B152" s="34" t="s">
        <v>2645</v>
      </c>
      <c r="C152" s="34" t="s">
        <v>4191</v>
      </c>
      <c r="D152" s="34" t="s">
        <v>3860</v>
      </c>
      <c r="E152" s="34" t="s">
        <v>3863</v>
      </c>
      <c r="F152" s="3">
        <v>45307.041666666701</v>
      </c>
      <c r="G152" s="35">
        <f ca="1">YEAR(TODAY()) - YEAR(F152) - (IF(DATE(YEAR(TODAY()), MONTH(F152), DAY(F152)) &gt; TODAY(), 1, 0))</f>
        <v>1</v>
      </c>
      <c r="H152" cm="1">
        <f t="array" aca="1" ref="H152" ca="1">SUMPRODUCT((BRON!A152:A1347=Table1[[#This Row],[Personeelsnummer]])*(YEAR(BRON!T152:T1347)=YEAR(TODAY())))</f>
        <v>0</v>
      </c>
    </row>
    <row r="153" spans="1:8" x14ac:dyDescent="0.25">
      <c r="A153" s="34" t="s">
        <v>3216</v>
      </c>
      <c r="B153" s="34" t="s">
        <v>3215</v>
      </c>
      <c r="C153" s="34" t="s">
        <v>4192</v>
      </c>
      <c r="D153" s="34" t="s">
        <v>3860</v>
      </c>
      <c r="E153" s="34" t="s">
        <v>3854</v>
      </c>
      <c r="F153" s="3">
        <v>45299.041666666701</v>
      </c>
      <c r="G153" s="35">
        <f ca="1">YEAR(TODAY()) - YEAR(F153) - (IF(DATE(YEAR(TODAY()), MONTH(F153), DAY(F153)) &gt; TODAY(), 1, 0))</f>
        <v>1</v>
      </c>
      <c r="H153" cm="1">
        <f t="array" aca="1" ref="H153" ca="1">SUMPRODUCT((BRON!A153:A1348=Table1[[#This Row],[Personeelsnummer]])*(YEAR(BRON!T153:T1348)=YEAR(TODAY())))</f>
        <v>0</v>
      </c>
    </row>
    <row r="154" spans="1:8" x14ac:dyDescent="0.25">
      <c r="A154" s="34" t="s">
        <v>3438</v>
      </c>
      <c r="B154" s="34" t="s">
        <v>3591</v>
      </c>
      <c r="C154" s="34" t="s">
        <v>4194</v>
      </c>
      <c r="D154" s="34" t="s">
        <v>3860</v>
      </c>
      <c r="E154" s="34" t="s">
        <v>3864</v>
      </c>
      <c r="F154" s="3">
        <v>45896.083333333299</v>
      </c>
      <c r="G154" s="35">
        <f ca="1">YEAR(TODAY()) - YEAR(F154) - (IF(DATE(YEAR(TODAY()), MONTH(F154), DAY(F154)) &gt; TODAY(), 1, 0))</f>
        <v>0</v>
      </c>
      <c r="H154" cm="1">
        <f t="array" aca="1" ref="H154" ca="1">SUMPRODUCT((BRON!A154:A1349=Table1[[#This Row],[Personeelsnummer]])*(YEAR(BRON!T154:T1349)=YEAR(TODAY())))</f>
        <v>0</v>
      </c>
    </row>
    <row r="155" spans="1:8" x14ac:dyDescent="0.25">
      <c r="A155" s="34" t="s">
        <v>3251</v>
      </c>
      <c r="B155" s="34" t="s">
        <v>3101</v>
      </c>
      <c r="C155" s="34" t="s">
        <v>4198</v>
      </c>
      <c r="D155" s="34" t="s">
        <v>3860</v>
      </c>
      <c r="E155" s="34" t="s">
        <v>3863</v>
      </c>
      <c r="F155" s="3">
        <v>45307.041666666701</v>
      </c>
      <c r="G155" s="35">
        <f ca="1">YEAR(TODAY()) - YEAR(F155) - (IF(DATE(YEAR(TODAY()), MONTH(F155), DAY(F155)) &gt; TODAY(), 1, 0))</f>
        <v>1</v>
      </c>
      <c r="H155" cm="1">
        <f t="array" aca="1" ref="H155" ca="1">SUMPRODUCT((BRON!A155:A1350=Table1[[#This Row],[Personeelsnummer]])*(YEAR(BRON!T155:T1350)=YEAR(TODAY())))</f>
        <v>0</v>
      </c>
    </row>
    <row r="156" spans="1:8" x14ac:dyDescent="0.25">
      <c r="A156" s="34" t="s">
        <v>3325</v>
      </c>
      <c r="B156" s="34" t="s">
        <v>3324</v>
      </c>
      <c r="C156" s="34" t="s">
        <v>4209</v>
      </c>
      <c r="D156" s="34" t="s">
        <v>3860</v>
      </c>
      <c r="E156" s="34" t="s">
        <v>3863</v>
      </c>
      <c r="F156" s="3">
        <v>45404.083333333299</v>
      </c>
      <c r="G156" s="35">
        <f ca="1">YEAR(TODAY()) - YEAR(F156) - (IF(DATE(YEAR(TODAY()), MONTH(F156), DAY(F156)) &gt; TODAY(), 1, 0))</f>
        <v>1</v>
      </c>
      <c r="H156" cm="1">
        <f t="array" aca="1" ref="H156" ca="1">SUMPRODUCT((BRON!A156:A1351=Table1[[#This Row],[Personeelsnummer]])*(YEAR(BRON!T156:T1351)=YEAR(TODAY())))</f>
        <v>0</v>
      </c>
    </row>
    <row r="157" spans="1:8" x14ac:dyDescent="0.25">
      <c r="A157" s="34" t="s">
        <v>2913</v>
      </c>
      <c r="B157" s="34" t="s">
        <v>2912</v>
      </c>
      <c r="C157" s="34" t="s">
        <v>4211</v>
      </c>
      <c r="D157" s="34" t="s">
        <v>3860</v>
      </c>
      <c r="E157" s="34" t="s">
        <v>3881</v>
      </c>
      <c r="F157" s="3">
        <v>45408.083333333299</v>
      </c>
      <c r="G157" s="35">
        <f ca="1">YEAR(TODAY()) - YEAR(F157) - (IF(DATE(YEAR(TODAY()), MONTH(F157), DAY(F157)) &gt; TODAY(), 1, 0))</f>
        <v>1</v>
      </c>
      <c r="H157" cm="1">
        <f t="array" aca="1" ref="H157" ca="1">SUMPRODUCT((BRON!A157:A1352=Table1[[#This Row],[Personeelsnummer]])*(YEAR(BRON!T157:T1352)=YEAR(TODAY())))</f>
        <v>0</v>
      </c>
    </row>
    <row r="158" spans="1:8" x14ac:dyDescent="0.25">
      <c r="A158" s="34" t="s">
        <v>2441</v>
      </c>
      <c r="B158" s="34" t="s">
        <v>2440</v>
      </c>
      <c r="C158" s="34" t="s">
        <v>4213</v>
      </c>
      <c r="D158" s="34" t="s">
        <v>3860</v>
      </c>
      <c r="E158" s="34" t="s">
        <v>3874</v>
      </c>
      <c r="F158" s="3">
        <v>45408.083333333299</v>
      </c>
      <c r="G158" s="35">
        <f ca="1">YEAR(TODAY()) - YEAR(F158) - (IF(DATE(YEAR(TODAY()), MONTH(F158), DAY(F158)) &gt; TODAY(), 1, 0))</f>
        <v>1</v>
      </c>
      <c r="H158" cm="1">
        <f t="array" aca="1" ref="H158" ca="1">SUMPRODUCT((BRON!A158:A1353=Table1[[#This Row],[Personeelsnummer]])*(YEAR(BRON!T158:T1353)=YEAR(TODAY())))</f>
        <v>0</v>
      </c>
    </row>
    <row r="159" spans="1:8" x14ac:dyDescent="0.25">
      <c r="A159" s="34" t="s">
        <v>2311</v>
      </c>
      <c r="B159" s="34" t="s">
        <v>2314</v>
      </c>
      <c r="C159" s="34" t="s">
        <v>4214</v>
      </c>
      <c r="D159" s="34" t="s">
        <v>3860</v>
      </c>
      <c r="E159" s="34" t="s">
        <v>3864</v>
      </c>
      <c r="F159" s="3">
        <v>45408.083333333299</v>
      </c>
      <c r="G159" s="35">
        <f ca="1">YEAR(TODAY()) - YEAR(F159) - (IF(DATE(YEAR(TODAY()), MONTH(F159), DAY(F159)) &gt; TODAY(), 1, 0))</f>
        <v>1</v>
      </c>
      <c r="H159" cm="1">
        <f t="array" aca="1" ref="H159" ca="1">SUMPRODUCT((BRON!A159:A1354=Table1[[#This Row],[Personeelsnummer]])*(YEAR(BRON!T159:T1354)=YEAR(TODAY())))</f>
        <v>0</v>
      </c>
    </row>
    <row r="160" spans="1:8" x14ac:dyDescent="0.25">
      <c r="A160" s="34" t="s">
        <v>2792</v>
      </c>
      <c r="B160" s="34" t="s">
        <v>1959</v>
      </c>
      <c r="C160" s="34" t="s">
        <v>4215</v>
      </c>
      <c r="D160" s="34" t="s">
        <v>3860</v>
      </c>
      <c r="E160" s="34" t="s">
        <v>3871</v>
      </c>
      <c r="F160" s="3">
        <v>45408.083333333299</v>
      </c>
      <c r="G160" s="35">
        <f ca="1">YEAR(TODAY()) - YEAR(F160) - (IF(DATE(YEAR(TODAY()), MONTH(F160), DAY(F160)) &gt; TODAY(), 1, 0))</f>
        <v>1</v>
      </c>
      <c r="H160" cm="1">
        <f t="array" aca="1" ref="H160" ca="1">SUMPRODUCT((BRON!A160:A1355=Table1[[#This Row],[Personeelsnummer]])*(YEAR(BRON!T160:T1355)=YEAR(TODAY())))</f>
        <v>0</v>
      </c>
    </row>
    <row r="161" spans="1:8" x14ac:dyDescent="0.25">
      <c r="A161" s="34" t="s">
        <v>2292</v>
      </c>
      <c r="B161" s="34" t="s">
        <v>2291</v>
      </c>
      <c r="C161" s="34" t="s">
        <v>4217</v>
      </c>
      <c r="D161" s="34" t="s">
        <v>3860</v>
      </c>
      <c r="E161" s="34" t="s">
        <v>3863</v>
      </c>
      <c r="F161" s="3">
        <v>45427.083333333299</v>
      </c>
      <c r="G161" s="35">
        <f ca="1">YEAR(TODAY()) - YEAR(F161) - (IF(DATE(YEAR(TODAY()), MONTH(F161), DAY(F161)) &gt; TODAY(), 1, 0))</f>
        <v>1</v>
      </c>
      <c r="H161" cm="1">
        <f t="array" aca="1" ref="H161" ca="1">SUMPRODUCT((BRON!A161:A1356=Table1[[#This Row],[Personeelsnummer]])*(YEAR(BRON!T161:T1356)=YEAR(TODAY())))</f>
        <v>0</v>
      </c>
    </row>
    <row r="162" spans="1:8" x14ac:dyDescent="0.25">
      <c r="A162" s="34" t="s">
        <v>3006</v>
      </c>
      <c r="B162" s="34" t="s">
        <v>3005</v>
      </c>
      <c r="C162" s="34" t="s">
        <v>4220</v>
      </c>
      <c r="D162" s="34" t="s">
        <v>3860</v>
      </c>
      <c r="E162" s="34" t="s">
        <v>3866</v>
      </c>
      <c r="F162" s="3">
        <v>45456.083333333299</v>
      </c>
      <c r="G162" s="35">
        <f ca="1">YEAR(TODAY()) - YEAR(F162) - (IF(DATE(YEAR(TODAY()), MONTH(F162), DAY(F162)) &gt; TODAY(), 1, 0))</f>
        <v>1</v>
      </c>
      <c r="H162" cm="1">
        <f t="array" aca="1" ref="H162" ca="1">SUMPRODUCT((BRON!A162:A1357=Table1[[#This Row],[Personeelsnummer]])*(YEAR(BRON!T162:T1357)=YEAR(TODAY())))</f>
        <v>0</v>
      </c>
    </row>
    <row r="163" spans="1:8" x14ac:dyDescent="0.25">
      <c r="A163" s="34" t="s">
        <v>2657</v>
      </c>
      <c r="B163" s="34" t="s">
        <v>2656</v>
      </c>
      <c r="C163" s="34" t="s">
        <v>4224</v>
      </c>
      <c r="D163" s="34" t="s">
        <v>3860</v>
      </c>
      <c r="E163" s="34" t="s">
        <v>3864</v>
      </c>
      <c r="F163" s="3">
        <v>45498.083333333299</v>
      </c>
      <c r="G163" s="35">
        <f ca="1">YEAR(TODAY()) - YEAR(F163) - (IF(DATE(YEAR(TODAY()), MONTH(F163), DAY(F163)) &gt; TODAY(), 1, 0))</f>
        <v>1</v>
      </c>
      <c r="H163" cm="1">
        <f t="array" aca="1" ref="H163" ca="1">SUMPRODUCT((BRON!A163:A1358=Table1[[#This Row],[Personeelsnummer]])*(YEAR(BRON!T163:T1358)=YEAR(TODAY())))</f>
        <v>0</v>
      </c>
    </row>
    <row r="164" spans="1:8" x14ac:dyDescent="0.25">
      <c r="A164" s="34" t="s">
        <v>1452</v>
      </c>
      <c r="B164" s="34" t="s">
        <v>1467</v>
      </c>
      <c r="C164" s="34" t="s">
        <v>4225</v>
      </c>
      <c r="D164" s="34" t="s">
        <v>3860</v>
      </c>
      <c r="E164" s="34" t="s">
        <v>3854</v>
      </c>
      <c r="F164" s="3">
        <v>45498.083333333299</v>
      </c>
      <c r="G164" s="35">
        <f ca="1">YEAR(TODAY()) - YEAR(F164) - (IF(DATE(YEAR(TODAY()), MONTH(F164), DAY(F164)) &gt; TODAY(), 1, 0))</f>
        <v>1</v>
      </c>
      <c r="H164" cm="1">
        <f t="array" aca="1" ref="H164" ca="1">SUMPRODUCT((BRON!A164:A1359=Table1[[#This Row],[Personeelsnummer]])*(YEAR(BRON!T164:T1359)=YEAR(TODAY())))</f>
        <v>0</v>
      </c>
    </row>
    <row r="165" spans="1:8" x14ac:dyDescent="0.25">
      <c r="A165" s="34" t="s">
        <v>1241</v>
      </c>
      <c r="B165" s="34" t="s">
        <v>1240</v>
      </c>
      <c r="C165" s="34" t="s">
        <v>4230</v>
      </c>
      <c r="D165" s="34" t="s">
        <v>3855</v>
      </c>
      <c r="E165" s="34" t="s">
        <v>3856</v>
      </c>
      <c r="F165" s="3">
        <v>45559.083333333299</v>
      </c>
      <c r="G165" s="35">
        <f ca="1">YEAR(TODAY()) - YEAR(F165) - (IF(DATE(YEAR(TODAY()), MONTH(F165), DAY(F165)) &gt; TODAY(), 1, 0))</f>
        <v>1</v>
      </c>
      <c r="H165" cm="1">
        <f t="array" aca="1" ref="H165" ca="1">SUMPRODUCT((BRON!A165:A1360=Table1[[#This Row],[Personeelsnummer]])*(YEAR(BRON!T165:T1360)=YEAR(TODAY())))</f>
        <v>0</v>
      </c>
    </row>
    <row r="166" spans="1:8" x14ac:dyDescent="0.25">
      <c r="A166" s="34" t="s">
        <v>1710</v>
      </c>
      <c r="B166" s="34" t="s">
        <v>1709</v>
      </c>
      <c r="C166" s="34" t="s">
        <v>4236</v>
      </c>
      <c r="D166" s="34" t="s">
        <v>3860</v>
      </c>
      <c r="E166" s="34" t="s">
        <v>3881</v>
      </c>
      <c r="F166" s="3">
        <v>45618.041666666701</v>
      </c>
      <c r="G166" s="35">
        <f ca="1">YEAR(TODAY()) - YEAR(F166) - (IF(DATE(YEAR(TODAY()), MONTH(F166), DAY(F166)) &gt; TODAY(), 1, 0))</f>
        <v>1</v>
      </c>
      <c r="H166" cm="1">
        <f t="array" aca="1" ref="H166" ca="1">SUMPRODUCT((BRON!A166:A1361=Table1[[#This Row],[Personeelsnummer]])*(YEAR(BRON!T166:T1361)=YEAR(TODAY())))</f>
        <v>0</v>
      </c>
    </row>
    <row r="167" spans="1:8" x14ac:dyDescent="0.25">
      <c r="A167" s="34" t="s">
        <v>3015</v>
      </c>
      <c r="B167" s="34" t="s">
        <v>3018</v>
      </c>
      <c r="C167" s="34" t="s">
        <v>4237</v>
      </c>
      <c r="D167" s="34" t="s">
        <v>3860</v>
      </c>
      <c r="E167" s="34" t="s">
        <v>3881</v>
      </c>
      <c r="F167" s="3">
        <v>45616.041666666701</v>
      </c>
      <c r="G167" s="35">
        <f ca="1">YEAR(TODAY()) - YEAR(F167) - (IF(DATE(YEAR(TODAY()), MONTH(F167), DAY(F167)) &gt; TODAY(), 1, 0))</f>
        <v>1</v>
      </c>
      <c r="H167" cm="1">
        <f t="array" aca="1" ref="H167" ca="1">SUMPRODUCT((BRON!A167:A1362=Table1[[#This Row],[Personeelsnummer]])*(YEAR(BRON!T167:T1362)=YEAR(TODAY())))</f>
        <v>0</v>
      </c>
    </row>
    <row r="168" spans="1:8" x14ac:dyDescent="0.25">
      <c r="A168" s="34" t="s">
        <v>1583</v>
      </c>
      <c r="B168" s="34" t="s">
        <v>1582</v>
      </c>
      <c r="C168" s="34" t="s">
        <v>4242</v>
      </c>
      <c r="D168" s="34" t="s">
        <v>3860</v>
      </c>
      <c r="E168" s="34" t="s">
        <v>3863</v>
      </c>
      <c r="F168" s="3">
        <v>45673.041666666701</v>
      </c>
      <c r="G168" s="35">
        <f ca="1">YEAR(TODAY()) - YEAR(F168) - (IF(DATE(YEAR(TODAY()), MONTH(F168), DAY(F168)) &gt; TODAY(), 1, 0))</f>
        <v>0</v>
      </c>
      <c r="H168" cm="1">
        <f t="array" aca="1" ref="H168" ca="1">SUMPRODUCT((BRON!A168:A1363=Table1[[#This Row],[Personeelsnummer]])*(YEAR(BRON!T168:T1363)=YEAR(TODAY())))</f>
        <v>0</v>
      </c>
    </row>
    <row r="169" spans="1:8" x14ac:dyDescent="0.25">
      <c r="A169" s="34" t="s">
        <v>1536</v>
      </c>
      <c r="B169" s="34" t="s">
        <v>1539</v>
      </c>
      <c r="C169" s="34" t="s">
        <v>4243</v>
      </c>
      <c r="D169" s="34" t="s">
        <v>3860</v>
      </c>
      <c r="E169" s="34" t="s">
        <v>3870</v>
      </c>
      <c r="F169" s="3">
        <v>45663.041666666701</v>
      </c>
      <c r="G169" s="35">
        <f ca="1">YEAR(TODAY()) - YEAR(F169) - (IF(DATE(YEAR(TODAY()), MONTH(F169), DAY(F169)) &gt; TODAY(), 1, 0))</f>
        <v>0</v>
      </c>
      <c r="H169" cm="1">
        <f t="array" aca="1" ref="H169" ca="1">SUMPRODUCT((BRON!A169:A1364=Table1[[#This Row],[Personeelsnummer]])*(YEAR(BRON!T169:T1364)=YEAR(TODAY())))</f>
        <v>0</v>
      </c>
    </row>
    <row r="170" spans="1:8" x14ac:dyDescent="0.25">
      <c r="A170" s="34" t="s">
        <v>1770</v>
      </c>
      <c r="B170" s="34" t="s">
        <v>1769</v>
      </c>
      <c r="C170" s="34" t="s">
        <v>4249</v>
      </c>
      <c r="D170" s="34" t="s">
        <v>3860</v>
      </c>
      <c r="E170" s="34" t="s">
        <v>3864</v>
      </c>
      <c r="F170" s="3">
        <v>45783.083333333299</v>
      </c>
      <c r="G170" s="35">
        <f ca="1">YEAR(TODAY()) - YEAR(F170) - (IF(DATE(YEAR(TODAY()), MONTH(F170), DAY(F170)) &gt; TODAY(), 1, 0))</f>
        <v>0</v>
      </c>
      <c r="H170" cm="1">
        <f t="array" aca="1" ref="H170" ca="1">SUMPRODUCT((BRON!A170:A1365=Table1[[#This Row],[Personeelsnummer]])*(YEAR(BRON!T170:T1365)=YEAR(TODAY())))</f>
        <v>0</v>
      </c>
    </row>
    <row r="171" spans="1:8" x14ac:dyDescent="0.25">
      <c r="A171" s="34" t="s">
        <v>2483</v>
      </c>
      <c r="B171" s="34" t="s">
        <v>2482</v>
      </c>
      <c r="C171" s="34" t="s">
        <v>4250</v>
      </c>
      <c r="D171" s="34" t="s">
        <v>3860</v>
      </c>
      <c r="E171" s="34" t="s">
        <v>3871</v>
      </c>
      <c r="F171" s="3">
        <v>45783.083333333299</v>
      </c>
      <c r="G171" s="35">
        <f ca="1">YEAR(TODAY()) - YEAR(F171) - (IF(DATE(YEAR(TODAY()), MONTH(F171), DAY(F171)) &gt; TODAY(), 1, 0))</f>
        <v>0</v>
      </c>
      <c r="H171" cm="1">
        <f t="array" aca="1" ref="H171" ca="1">SUMPRODUCT((BRON!A171:A1366=Table1[[#This Row],[Personeelsnummer]])*(YEAR(BRON!T171:T1366)=YEAR(TODAY())))</f>
        <v>0</v>
      </c>
    </row>
    <row r="172" spans="1:8" x14ac:dyDescent="0.25">
      <c r="A172" s="34" t="s">
        <v>2887</v>
      </c>
      <c r="B172" s="34" t="s">
        <v>2140</v>
      </c>
      <c r="C172" s="34" t="s">
        <v>4251</v>
      </c>
      <c r="D172" s="34" t="s">
        <v>3860</v>
      </c>
      <c r="E172" s="34" t="s">
        <v>3870</v>
      </c>
      <c r="F172" s="3">
        <v>45735.041666666701</v>
      </c>
      <c r="G172" s="35">
        <f ca="1">YEAR(TODAY()) - YEAR(F172) - (IF(DATE(YEAR(TODAY()), MONTH(F172), DAY(F172)) &gt; TODAY(), 1, 0))</f>
        <v>0</v>
      </c>
      <c r="H172" cm="1">
        <f t="array" aca="1" ref="H172" ca="1">SUMPRODUCT((BRON!A172:A1367=Table1[[#This Row],[Personeelsnummer]])*(YEAR(BRON!T172:T1367)=YEAR(TODAY())))</f>
        <v>0</v>
      </c>
    </row>
    <row r="173" spans="1:8" x14ac:dyDescent="0.25">
      <c r="A173" s="34" t="s">
        <v>1911</v>
      </c>
      <c r="B173" s="34" t="s">
        <v>1914</v>
      </c>
      <c r="C173" s="34" t="s">
        <v>4252</v>
      </c>
      <c r="D173" s="34" t="s">
        <v>3860</v>
      </c>
      <c r="E173" s="34" t="s">
        <v>3854</v>
      </c>
      <c r="F173" s="3">
        <v>45749.083333333299</v>
      </c>
      <c r="G173" s="35">
        <f ca="1">YEAR(TODAY()) - YEAR(F173) - (IF(DATE(YEAR(TODAY()), MONTH(F173), DAY(F173)) &gt; TODAY(), 1, 0))</f>
        <v>0</v>
      </c>
      <c r="H173" cm="1">
        <f t="array" aca="1" ref="H173" ca="1">SUMPRODUCT((BRON!A173:A1368=Table1[[#This Row],[Personeelsnummer]])*(YEAR(BRON!T173:T1368)=YEAR(TODAY())))</f>
        <v>0</v>
      </c>
    </row>
    <row r="174" spans="1:8" x14ac:dyDescent="0.25">
      <c r="A174" s="34" t="s">
        <v>2074</v>
      </c>
      <c r="B174" s="34" t="s">
        <v>3588</v>
      </c>
      <c r="C174" s="34" t="s">
        <v>4253</v>
      </c>
      <c r="D174" s="34" t="s">
        <v>3860</v>
      </c>
      <c r="E174" s="34" t="s">
        <v>3863</v>
      </c>
      <c r="F174" s="3">
        <v>45763.083333333299</v>
      </c>
      <c r="G174" s="35">
        <f ca="1">YEAR(TODAY()) - YEAR(F174) - (IF(DATE(YEAR(TODAY()), MONTH(F174), DAY(F174)) &gt; TODAY(), 1, 0))</f>
        <v>0</v>
      </c>
      <c r="H174" cm="1">
        <f t="array" aca="1" ref="H174" ca="1">SUMPRODUCT((BRON!A174:A1369=Table1[[#This Row],[Personeelsnummer]])*(YEAR(BRON!T174:T1369)=YEAR(TODAY())))</f>
        <v>0</v>
      </c>
    </row>
    <row r="175" spans="1:8" x14ac:dyDescent="0.25">
      <c r="A175" s="34" t="s">
        <v>1210</v>
      </c>
      <c r="B175" s="34" t="s">
        <v>1209</v>
      </c>
      <c r="C175" s="34" t="s">
        <v>4254</v>
      </c>
      <c r="D175" s="34" t="s">
        <v>3855</v>
      </c>
      <c r="E175" s="34" t="s">
        <v>3856</v>
      </c>
      <c r="F175" s="3">
        <v>45783.083333333299</v>
      </c>
      <c r="G175" s="35">
        <f ca="1">YEAR(TODAY()) - YEAR(F175) - (IF(DATE(YEAR(TODAY()), MONTH(F175), DAY(F175)) &gt; TODAY(), 1, 0))</f>
        <v>0</v>
      </c>
      <c r="H175" cm="1">
        <f t="array" aca="1" ref="H175" ca="1">SUMPRODUCT((BRON!A175:A1370=Table1[[#This Row],[Personeelsnummer]])*(YEAR(BRON!T175:T1370)=YEAR(TODAY())))</f>
        <v>0</v>
      </c>
    </row>
    <row r="176" spans="1:8" x14ac:dyDescent="0.25">
      <c r="A176" s="34" t="s">
        <v>1440</v>
      </c>
      <c r="B176" s="34" t="s">
        <v>1439</v>
      </c>
      <c r="C176" s="34" t="s">
        <v>4255</v>
      </c>
      <c r="D176" s="34" t="s">
        <v>3860</v>
      </c>
      <c r="E176" s="34" t="s">
        <v>3874</v>
      </c>
      <c r="F176" s="3">
        <v>45798.083333333299</v>
      </c>
      <c r="G176" s="35">
        <f ca="1">YEAR(TODAY()) - YEAR(F176) - (IF(DATE(YEAR(TODAY()), MONTH(F176), DAY(F176)) &gt; TODAY(), 1, 0))</f>
        <v>0</v>
      </c>
      <c r="H176" cm="1">
        <f t="array" aca="1" ref="H176" ca="1">SUMPRODUCT((BRON!A176:A1371=Table1[[#This Row],[Personeelsnummer]])*(YEAR(BRON!T176:T1371)=YEAR(TODAY())))</f>
        <v>0</v>
      </c>
    </row>
    <row r="177" spans="1:8" x14ac:dyDescent="0.25">
      <c r="A177" s="34" t="s">
        <v>1334</v>
      </c>
      <c r="B177" s="34" t="s">
        <v>3206</v>
      </c>
      <c r="C177" s="34" t="s">
        <v>4258</v>
      </c>
      <c r="D177" s="34" t="s">
        <v>3860</v>
      </c>
      <c r="E177" s="34" t="s">
        <v>3854</v>
      </c>
      <c r="F177" s="3">
        <v>45831.083333333299</v>
      </c>
      <c r="G177" s="35">
        <f ca="1">YEAR(TODAY()) - YEAR(F177) - (IF(DATE(YEAR(TODAY()), MONTH(F177), DAY(F177)) &gt; TODAY(), 1, 0))</f>
        <v>0</v>
      </c>
      <c r="H177" cm="1">
        <f t="array" aca="1" ref="H177" ca="1">SUMPRODUCT((BRON!A177:A1372=Table1[[#This Row],[Personeelsnummer]])*(YEAR(BRON!T177:T1372)=YEAR(TODAY())))</f>
        <v>0</v>
      </c>
    </row>
    <row r="178" spans="1:8" x14ac:dyDescent="0.25">
      <c r="A178" s="34" t="s">
        <v>1793</v>
      </c>
      <c r="B178" s="34" t="s">
        <v>1792</v>
      </c>
      <c r="C178" s="34" t="s">
        <v>4259</v>
      </c>
      <c r="D178" s="34" t="s">
        <v>3860</v>
      </c>
      <c r="E178" s="34" t="s">
        <v>3863</v>
      </c>
      <c r="F178" s="3">
        <v>45831.083333333299</v>
      </c>
      <c r="G178" s="35">
        <f ca="1">YEAR(TODAY()) - YEAR(F178) - (IF(DATE(YEAR(TODAY()), MONTH(F178), DAY(F178)) &gt; TODAY(), 1, 0))</f>
        <v>0</v>
      </c>
      <c r="H178" cm="1">
        <f t="array" aca="1" ref="H178" ca="1">SUMPRODUCT((BRON!A178:A1373=Table1[[#This Row],[Personeelsnummer]])*(YEAR(BRON!T178:T1373)=YEAR(TODAY())))</f>
        <v>0</v>
      </c>
    </row>
    <row r="179" spans="1:8" x14ac:dyDescent="0.25">
      <c r="A179" s="34" t="s">
        <v>3388</v>
      </c>
      <c r="B179" s="34" t="s">
        <v>3387</v>
      </c>
      <c r="C179" s="34" t="s">
        <v>4262</v>
      </c>
      <c r="D179" s="34" t="s">
        <v>3860</v>
      </c>
      <c r="E179" s="34" t="s">
        <v>3870</v>
      </c>
      <c r="F179" s="3">
        <v>45831.083333333299</v>
      </c>
      <c r="G179" s="35">
        <f ca="1">YEAR(TODAY()) - YEAR(F179) - (IF(DATE(YEAR(TODAY()), MONTH(F179), DAY(F179)) &gt; TODAY(), 1, 0))</f>
        <v>0</v>
      </c>
      <c r="H179" cm="1">
        <f t="array" aca="1" ref="H179" ca="1">SUMPRODUCT((BRON!A179:A1374=Table1[[#This Row],[Personeelsnummer]])*(YEAR(BRON!T179:T1374)=YEAR(TODAY())))</f>
        <v>0</v>
      </c>
    </row>
    <row r="180" spans="1:8" x14ac:dyDescent="0.25">
      <c r="A180" s="34" t="s">
        <v>2513</v>
      </c>
      <c r="B180" s="34" t="s">
        <v>2512</v>
      </c>
      <c r="C180" s="34" t="s">
        <v>4263</v>
      </c>
      <c r="D180" s="34" t="s">
        <v>3860</v>
      </c>
      <c r="E180" s="34" t="s">
        <v>3881</v>
      </c>
      <c r="F180" s="3">
        <v>45854.083333333299</v>
      </c>
      <c r="G180" s="35">
        <f ca="1">YEAR(TODAY()) - YEAR(F180) - (IF(DATE(YEAR(TODAY()), MONTH(F180), DAY(F180)) &gt; TODAY(), 1, 0))</f>
        <v>0</v>
      </c>
      <c r="H180" cm="1">
        <f t="array" aca="1" ref="H180" ca="1">SUMPRODUCT((BRON!A180:A1375=Table1[[#This Row],[Personeelsnummer]])*(YEAR(BRON!T180:T1375)=YEAR(TODAY())))</f>
        <v>0</v>
      </c>
    </row>
    <row r="181" spans="1:8" x14ac:dyDescent="0.25">
      <c r="A181" s="34" t="s">
        <v>2015</v>
      </c>
      <c r="B181" s="34" t="s">
        <v>2014</v>
      </c>
      <c r="C181" s="34" t="s">
        <v>4264</v>
      </c>
      <c r="D181" s="34" t="s">
        <v>3860</v>
      </c>
      <c r="E181" s="34" t="s">
        <v>3881</v>
      </c>
      <c r="F181" s="3">
        <v>45853.083333333299</v>
      </c>
      <c r="G181" s="35">
        <f ca="1">YEAR(TODAY()) - YEAR(F181) - (IF(DATE(YEAR(TODAY()), MONTH(F181), DAY(F181)) &gt; TODAY(), 1, 0))</f>
        <v>0</v>
      </c>
      <c r="H181" cm="1">
        <f t="array" aca="1" ref="H181" ca="1">SUMPRODUCT((BRON!A181:A1376=Table1[[#This Row],[Personeelsnummer]])*(YEAR(BRON!T181:T1376)=YEAR(TODAY())))</f>
        <v>0</v>
      </c>
    </row>
    <row r="182" spans="1:8" x14ac:dyDescent="0.25">
      <c r="A182" s="34" t="s">
        <v>2972</v>
      </c>
      <c r="B182" s="34" t="s">
        <v>2971</v>
      </c>
      <c r="C182" s="34" t="s">
        <v>4265</v>
      </c>
      <c r="D182" s="34" t="s">
        <v>3860</v>
      </c>
      <c r="E182" s="34" t="s">
        <v>3854</v>
      </c>
      <c r="F182" s="3">
        <v>45860.083333333299</v>
      </c>
      <c r="G182" s="35">
        <f ca="1">YEAR(TODAY()) - YEAR(F182) - (IF(DATE(YEAR(TODAY()), MONTH(F182), DAY(F182)) &gt; TODAY(), 1, 0))</f>
        <v>0</v>
      </c>
      <c r="H182" cm="1">
        <f t="array" aca="1" ref="H182" ca="1">SUMPRODUCT((BRON!A182:A1377=Table1[[#This Row],[Personeelsnummer]])*(YEAR(BRON!T182:T1377)=YEAR(TODAY())))</f>
        <v>0</v>
      </c>
    </row>
    <row r="183" spans="1:8" x14ac:dyDescent="0.25">
      <c r="A183" s="34" t="s">
        <v>3585</v>
      </c>
      <c r="B183" s="34" t="s">
        <v>3584</v>
      </c>
      <c r="C183" s="34" t="s">
        <v>4266</v>
      </c>
      <c r="D183" s="34" t="s">
        <v>3860</v>
      </c>
      <c r="E183" s="34" t="s">
        <v>3864</v>
      </c>
      <c r="F183" s="3">
        <v>45889.083333333299</v>
      </c>
      <c r="G183" s="35">
        <f ca="1">YEAR(TODAY()) - YEAR(F183) - (IF(DATE(YEAR(TODAY()), MONTH(F183), DAY(F183)) &gt; TODAY(), 1, 0))</f>
        <v>0</v>
      </c>
      <c r="H183" cm="1">
        <f t="array" aca="1" ref="H183" ca="1">SUMPRODUCT((BRON!A183:A1378=Table1[[#This Row],[Personeelsnummer]])*(YEAR(BRON!T183:T1378)=YEAR(TODAY())))</f>
        <v>0</v>
      </c>
    </row>
    <row r="184" spans="1:8" x14ac:dyDescent="0.25">
      <c r="A184" s="34" t="s">
        <v>3564</v>
      </c>
      <c r="B184" s="34" t="s">
        <v>2006</v>
      </c>
      <c r="C184" s="34" t="s">
        <v>4269</v>
      </c>
      <c r="D184" s="34" t="s">
        <v>3860</v>
      </c>
      <c r="E184" s="34" t="s">
        <v>3871</v>
      </c>
      <c r="F184" s="3">
        <v>45903.083333333299</v>
      </c>
      <c r="G184" s="35">
        <f ca="1">YEAR(TODAY()) - YEAR(F184) - (IF(DATE(YEAR(TODAY()), MONTH(F184), DAY(F184)) &gt; TODAY(), 1, 0))</f>
        <v>0</v>
      </c>
      <c r="H184" cm="1">
        <f t="array" aca="1" ref="H184" ca="1">SUMPRODUCT((BRON!A184:A1379=Table1[[#This Row],[Personeelsnummer]])*(YEAR(BRON!T184:T1379)=YEAR(TODAY())))</f>
        <v>0</v>
      </c>
    </row>
    <row r="185" spans="1:8" x14ac:dyDescent="0.25">
      <c r="A185" s="34" t="s">
        <v>1662</v>
      </c>
      <c r="B185" s="34" t="s">
        <v>3561</v>
      </c>
      <c r="C185" s="34" t="s">
        <v>4270</v>
      </c>
      <c r="D185" s="34" t="s">
        <v>3860</v>
      </c>
      <c r="E185" s="34" t="s">
        <v>3854</v>
      </c>
      <c r="F185" s="3">
        <v>45903.083333333299</v>
      </c>
      <c r="G185" s="35">
        <f ca="1">YEAR(TODAY()) - YEAR(F185) - (IF(DATE(YEAR(TODAY()), MONTH(F185), DAY(F185)) &gt; TODAY(), 1, 0))</f>
        <v>0</v>
      </c>
      <c r="H185" cm="1">
        <f t="array" aca="1" ref="H185" ca="1">SUMPRODUCT((BRON!A185:A1380=Table1[[#This Row],[Personeelsnummer]])*(YEAR(BRON!T185:T1380)=YEAR(TODAY())))</f>
        <v>0</v>
      </c>
    </row>
    <row r="186" spans="1:8" x14ac:dyDescent="0.25">
      <c r="A186" s="34" t="s">
        <v>3553</v>
      </c>
      <c r="B186" s="34" t="s">
        <v>3552</v>
      </c>
      <c r="C186" s="34" t="s">
        <v>4272</v>
      </c>
      <c r="D186" s="34" t="s">
        <v>3860</v>
      </c>
      <c r="E186" s="34" t="s">
        <v>3881</v>
      </c>
      <c r="F186" s="3">
        <v>45918.083333333299</v>
      </c>
      <c r="G186" s="35">
        <f ca="1">YEAR(TODAY()) - YEAR(F186) - (IF(DATE(YEAR(TODAY()), MONTH(F186), DAY(F186)) &gt; TODAY(), 1, 0))</f>
        <v>0</v>
      </c>
      <c r="H186" cm="1">
        <f t="array" aca="1" ref="H186" ca="1">SUMPRODUCT((BRON!A186:A1381=Table1[[#This Row],[Personeelsnummer]])*(YEAR(BRON!T186:T1381)=YEAR(TODAY())))</f>
        <v>0</v>
      </c>
    </row>
    <row r="187" spans="1:8" x14ac:dyDescent="0.25">
      <c r="A187" s="34" t="s">
        <v>3548</v>
      </c>
      <c r="B187" s="34" t="s">
        <v>3547</v>
      </c>
      <c r="C187" s="34" t="s">
        <v>4273</v>
      </c>
      <c r="D187" s="34" t="s">
        <v>3860</v>
      </c>
      <c r="E187" s="34" t="s">
        <v>3866</v>
      </c>
      <c r="F187" s="3">
        <v>45918.083333333299</v>
      </c>
      <c r="G187" s="35">
        <f ca="1">YEAR(TODAY()) - YEAR(F187) - (IF(DATE(YEAR(TODAY()), MONTH(F187), DAY(F187)) &gt; TODAY(), 1, 0))</f>
        <v>0</v>
      </c>
      <c r="H187" cm="1">
        <f t="array" aca="1" ref="H187" ca="1">SUMPRODUCT((BRON!A187:A1382=Table1[[#This Row],[Personeelsnummer]])*(YEAR(BRON!T187:T1382)=YEAR(TODAY())))</f>
        <v>0</v>
      </c>
    </row>
    <row r="188" spans="1:8" x14ac:dyDescent="0.25">
      <c r="A188" s="34" t="s">
        <v>2663</v>
      </c>
      <c r="B188" s="34" t="s">
        <v>2662</v>
      </c>
      <c r="C188" s="34" t="s">
        <v>3858</v>
      </c>
      <c r="D188" s="34" t="s">
        <v>3853</v>
      </c>
      <c r="E188" s="34" t="s">
        <v>3854</v>
      </c>
      <c r="F188" s="3">
        <v>44348.083333333299</v>
      </c>
      <c r="G188" s="35">
        <f ca="1">YEAR(TODAY()) - YEAR(F188) - (IF(DATE(YEAR(TODAY()), MONTH(F188), DAY(F188)) &gt; TODAY(), 1, 0))</f>
        <v>4</v>
      </c>
      <c r="H188" cm="1">
        <f t="array" aca="1" ref="H188" ca="1">SUMPRODUCT((BRON!A188:A1383=Table1[[#This Row],[Personeelsnummer]])*(YEAR(BRON!T188:T1383)=YEAR(TODAY())))</f>
        <v>0</v>
      </c>
    </row>
    <row r="189" spans="1:8" x14ac:dyDescent="0.25">
      <c r="A189" s="34" t="s">
        <v>2093</v>
      </c>
      <c r="B189" s="34" t="s">
        <v>2018</v>
      </c>
      <c r="C189" s="34" t="s">
        <v>3859</v>
      </c>
      <c r="D189" s="34" t="s">
        <v>3853</v>
      </c>
      <c r="E189" s="34" t="s">
        <v>3854</v>
      </c>
      <c r="F189" s="3">
        <v>42429.041666666701</v>
      </c>
      <c r="G189" s="35">
        <f ca="1">YEAR(TODAY()) - YEAR(F189) - (IF(DATE(YEAR(TODAY()), MONTH(F189), DAY(F189)) &gt; TODAY(), 1, 0))</f>
        <v>9</v>
      </c>
      <c r="H189" cm="1">
        <f t="array" aca="1" ref="H189" ca="1">SUMPRODUCT((BRON!A189:A1384=Table1[[#This Row],[Personeelsnummer]])*(YEAR(BRON!T189:T1384)=YEAR(TODAY())))</f>
        <v>0</v>
      </c>
    </row>
    <row r="190" spans="1:8" x14ac:dyDescent="0.25">
      <c r="A190" s="34" t="s">
        <v>1605</v>
      </c>
      <c r="B190" s="34" t="s">
        <v>1560</v>
      </c>
      <c r="C190" s="34" t="s">
        <v>3873</v>
      </c>
      <c r="D190" s="34" t="s">
        <v>3857</v>
      </c>
      <c r="E190" s="34" t="s">
        <v>3874</v>
      </c>
      <c r="F190" s="3">
        <v>33546.041666666701</v>
      </c>
      <c r="G190" s="35">
        <f ca="1">YEAR(TODAY()) - YEAR(F190) - (IF(DATE(YEAR(TODAY()), MONTH(F190), DAY(F190)) &gt; TODAY(), 1, 0))</f>
        <v>34</v>
      </c>
      <c r="H190" cm="1">
        <f t="array" aca="1" ref="H190" ca="1">SUMPRODUCT((BRON!A190:A1385=Table1[[#This Row],[Personeelsnummer]])*(YEAR(BRON!T190:T1385)=YEAR(TODAY())))</f>
        <v>0</v>
      </c>
    </row>
    <row r="191" spans="1:8" x14ac:dyDescent="0.25">
      <c r="A191" s="34" t="s">
        <v>2675</v>
      </c>
      <c r="B191" s="34" t="s">
        <v>2674</v>
      </c>
      <c r="C191" s="34" t="s">
        <v>3876</v>
      </c>
      <c r="D191" s="34" t="s">
        <v>3853</v>
      </c>
      <c r="E191" s="34" t="s">
        <v>3854</v>
      </c>
      <c r="F191" s="3">
        <v>33707.083333333299</v>
      </c>
      <c r="G191" s="35">
        <f ca="1">YEAR(TODAY()) - YEAR(F191) - (IF(DATE(YEAR(TODAY()), MONTH(F191), DAY(F191)) &gt; TODAY(), 1, 0))</f>
        <v>33</v>
      </c>
      <c r="H191" cm="1">
        <f t="array" aca="1" ref="H191" ca="1">SUMPRODUCT((BRON!A191:A1386=Table1[[#This Row],[Personeelsnummer]])*(YEAR(BRON!T191:T1386)=YEAR(TODAY())))</f>
        <v>0</v>
      </c>
    </row>
    <row r="192" spans="1:8" x14ac:dyDescent="0.25">
      <c r="A192" s="34" t="s">
        <v>1842</v>
      </c>
      <c r="B192" s="34" t="s">
        <v>1841</v>
      </c>
      <c r="C192" s="34" t="s">
        <v>3880</v>
      </c>
      <c r="D192" s="34" t="s">
        <v>3857</v>
      </c>
      <c r="E192" s="34" t="s">
        <v>3881</v>
      </c>
      <c r="F192" s="3">
        <v>35065.041666666701</v>
      </c>
      <c r="G192" s="35">
        <f ca="1">YEAR(TODAY()) - YEAR(F192) - (IF(DATE(YEAR(TODAY()), MONTH(F192), DAY(F192)) &gt; TODAY(), 1, 0))</f>
        <v>29</v>
      </c>
      <c r="H192" cm="1">
        <f t="array" aca="1" ref="H192" ca="1">SUMPRODUCT((BRON!A192:A1387=Table1[[#This Row],[Personeelsnummer]])*(YEAR(BRON!T192:T1387)=YEAR(TODAY())))</f>
        <v>0</v>
      </c>
    </row>
    <row r="193" spans="1:8" x14ac:dyDescent="0.25">
      <c r="A193" s="34" t="s">
        <v>1677</v>
      </c>
      <c r="B193" s="34" t="s">
        <v>1554</v>
      </c>
      <c r="C193" s="34" t="s">
        <v>3912</v>
      </c>
      <c r="D193" s="34" t="s">
        <v>3857</v>
      </c>
      <c r="E193" s="34" t="s">
        <v>3870</v>
      </c>
      <c r="F193" s="3">
        <v>37284.041666666701</v>
      </c>
      <c r="G193" s="35">
        <f ca="1">YEAR(TODAY()) - YEAR(F193) - (IF(DATE(YEAR(TODAY()), MONTH(F193), DAY(F193)) &gt; TODAY(), 1, 0))</f>
        <v>23</v>
      </c>
      <c r="H193" cm="1">
        <f t="array" aca="1" ref="H193" ca="1">SUMPRODUCT((BRON!A193:A1388=Table1[[#This Row],[Personeelsnummer]])*(YEAR(BRON!T193:T1388)=YEAR(TODAY())))</f>
        <v>0</v>
      </c>
    </row>
    <row r="194" spans="1:8" x14ac:dyDescent="0.25">
      <c r="A194" s="34" t="s">
        <v>1918</v>
      </c>
      <c r="B194" s="34" t="s">
        <v>1925</v>
      </c>
      <c r="C194" s="34" t="s">
        <v>3914</v>
      </c>
      <c r="D194" s="34" t="s">
        <v>3860</v>
      </c>
      <c r="E194" s="34" t="s">
        <v>3864</v>
      </c>
      <c r="F194" s="3">
        <v>37424.083333333299</v>
      </c>
      <c r="G194" s="35">
        <f ca="1">YEAR(TODAY()) - YEAR(F194) - (IF(DATE(YEAR(TODAY()), MONTH(F194), DAY(F194)) &gt; TODAY(), 1, 0))</f>
        <v>23</v>
      </c>
      <c r="H194" cm="1">
        <f t="array" aca="1" ref="H194" ca="1">SUMPRODUCT((BRON!A194:A1389=Table1[[#This Row],[Personeelsnummer]])*(YEAR(BRON!T194:T1389)=YEAR(TODAY())))</f>
        <v>0</v>
      </c>
    </row>
    <row r="195" spans="1:8" x14ac:dyDescent="0.25">
      <c r="A195" s="34" t="s">
        <v>3015</v>
      </c>
      <c r="B195" s="34" t="s">
        <v>3027</v>
      </c>
      <c r="C195" s="34" t="s">
        <v>3915</v>
      </c>
      <c r="D195" s="34" t="s">
        <v>3860</v>
      </c>
      <c r="E195" s="34" t="s">
        <v>3870</v>
      </c>
      <c r="F195" s="3">
        <v>37501.083333333299</v>
      </c>
      <c r="G195" s="35">
        <f ca="1">YEAR(TODAY()) - YEAR(F195) - (IF(DATE(YEAR(TODAY()), MONTH(F195), DAY(F195)) &gt; TODAY(), 1, 0))</f>
        <v>23</v>
      </c>
      <c r="H195" cm="1">
        <f t="array" aca="1" ref="H195" ca="1">SUMPRODUCT((BRON!A195:A1390=Table1[[#This Row],[Personeelsnummer]])*(YEAR(BRON!T195:T1390)=YEAR(TODAY())))</f>
        <v>0</v>
      </c>
    </row>
    <row r="196" spans="1:8" x14ac:dyDescent="0.25">
      <c r="A196" s="34" t="s">
        <v>2409</v>
      </c>
      <c r="B196" s="34" t="s">
        <v>2408</v>
      </c>
      <c r="C196" s="34" t="s">
        <v>3918</v>
      </c>
      <c r="D196" s="34" t="s">
        <v>3867</v>
      </c>
      <c r="E196" s="34" t="s">
        <v>3854</v>
      </c>
      <c r="F196" s="3">
        <v>37564.041666666701</v>
      </c>
      <c r="G196" s="35">
        <f ca="1">YEAR(TODAY()) - YEAR(F196) - (IF(DATE(YEAR(TODAY()), MONTH(F196), DAY(F196)) &gt; TODAY(), 1, 0))</f>
        <v>23</v>
      </c>
      <c r="H196" cm="1">
        <f t="array" aca="1" ref="H196" ca="1">SUMPRODUCT((BRON!A196:A1391=Table1[[#This Row],[Personeelsnummer]])*(YEAR(BRON!T196:T1391)=YEAR(TODAY())))</f>
        <v>0</v>
      </c>
    </row>
    <row r="197" spans="1:8" x14ac:dyDescent="0.25">
      <c r="A197" s="34" t="s">
        <v>2866</v>
      </c>
      <c r="B197" s="34" t="s">
        <v>2872</v>
      </c>
      <c r="C197" s="34" t="s">
        <v>3920</v>
      </c>
      <c r="D197" s="34" t="s">
        <v>3867</v>
      </c>
      <c r="E197" s="34" t="s">
        <v>3864</v>
      </c>
      <c r="F197" s="3">
        <v>37634.041666666701</v>
      </c>
      <c r="G197" s="35">
        <f ca="1">YEAR(TODAY()) - YEAR(F197) - (IF(DATE(YEAR(TODAY()), MONTH(F197), DAY(F197)) &gt; TODAY(), 1, 0))</f>
        <v>22</v>
      </c>
      <c r="H197" cm="1">
        <f t="array" aca="1" ref="H197" ca="1">SUMPRODUCT((BRON!A197:A1392=Table1[[#This Row],[Personeelsnummer]])*(YEAR(BRON!T197:T1392)=YEAR(TODAY())))</f>
        <v>0</v>
      </c>
    </row>
    <row r="198" spans="1:8" x14ac:dyDescent="0.25">
      <c r="A198" s="34" t="s">
        <v>2921</v>
      </c>
      <c r="B198" s="34" t="s">
        <v>2920</v>
      </c>
      <c r="C198" s="34" t="s">
        <v>3926</v>
      </c>
      <c r="D198" s="34" t="s">
        <v>3860</v>
      </c>
      <c r="E198" s="34" t="s">
        <v>3864</v>
      </c>
      <c r="F198" s="3">
        <v>37991.041666666701</v>
      </c>
      <c r="G198" s="35">
        <f ca="1">YEAR(TODAY()) - YEAR(F198) - (IF(DATE(YEAR(TODAY()), MONTH(F198), DAY(F198)) &gt; TODAY(), 1, 0))</f>
        <v>21</v>
      </c>
      <c r="H198" cm="1">
        <f t="array" aca="1" ref="H198" ca="1">SUMPRODUCT((BRON!A198:A1393=Table1[[#This Row],[Personeelsnummer]])*(YEAR(BRON!T198:T1393)=YEAR(TODAY())))</f>
        <v>0</v>
      </c>
    </row>
    <row r="199" spans="1:8" x14ac:dyDescent="0.25">
      <c r="A199" s="34" t="s">
        <v>1817</v>
      </c>
      <c r="B199" s="34" t="s">
        <v>1816</v>
      </c>
      <c r="C199" s="34" t="s">
        <v>3927</v>
      </c>
      <c r="D199" s="34" t="s">
        <v>3860</v>
      </c>
      <c r="E199" s="34" t="s">
        <v>3863</v>
      </c>
      <c r="F199" s="3">
        <v>37991.041666666701</v>
      </c>
      <c r="G199" s="35">
        <f ca="1">YEAR(TODAY()) - YEAR(F199) - (IF(DATE(YEAR(TODAY()), MONTH(F199), DAY(F199)) &gt; TODAY(), 1, 0))</f>
        <v>21</v>
      </c>
      <c r="H199" cm="1">
        <f t="array" aca="1" ref="H199" ca="1">SUMPRODUCT((BRON!A199:A1394=Table1[[#This Row],[Personeelsnummer]])*(YEAR(BRON!T199:T1394)=YEAR(TODAY())))</f>
        <v>0</v>
      </c>
    </row>
    <row r="200" spans="1:8" x14ac:dyDescent="0.25">
      <c r="A200" s="34" t="s">
        <v>3347</v>
      </c>
      <c r="B200" s="34" t="s">
        <v>3087</v>
      </c>
      <c r="C200" s="34" t="s">
        <v>3929</v>
      </c>
      <c r="D200" s="34" t="s">
        <v>3857</v>
      </c>
      <c r="E200" s="34" t="s">
        <v>3874</v>
      </c>
      <c r="F200" s="3">
        <v>38103.083333333299</v>
      </c>
      <c r="G200" s="35">
        <f ca="1">YEAR(TODAY()) - YEAR(F200) - (IF(DATE(YEAR(TODAY()), MONTH(F200), DAY(F200)) &gt; TODAY(), 1, 0))</f>
        <v>21</v>
      </c>
      <c r="H200" cm="1">
        <f t="array" aca="1" ref="H200" ca="1">SUMPRODUCT((BRON!A200:A1395=Table1[[#This Row],[Personeelsnummer]])*(YEAR(BRON!T200:T1395)=YEAR(TODAY())))</f>
        <v>0</v>
      </c>
    </row>
    <row r="201" spans="1:8" x14ac:dyDescent="0.25">
      <c r="A201" s="34" t="s">
        <v>1873</v>
      </c>
      <c r="B201" s="34" t="s">
        <v>1872</v>
      </c>
      <c r="C201" s="34" t="s">
        <v>3931</v>
      </c>
      <c r="D201" s="34" t="s">
        <v>3857</v>
      </c>
      <c r="E201" s="34" t="s">
        <v>3864</v>
      </c>
      <c r="F201" s="3">
        <v>38222.083333333299</v>
      </c>
      <c r="G201" s="35">
        <f ca="1">YEAR(TODAY()) - YEAR(F201) - (IF(DATE(YEAR(TODAY()), MONTH(F201), DAY(F201)) &gt; TODAY(), 1, 0))</f>
        <v>21</v>
      </c>
      <c r="H201" cm="1">
        <f t="array" aca="1" ref="H201" ca="1">SUMPRODUCT((BRON!A201:A1396=Table1[[#This Row],[Personeelsnummer]])*(YEAR(BRON!T201:T1396)=YEAR(TODAY())))</f>
        <v>0</v>
      </c>
    </row>
    <row r="202" spans="1:8" x14ac:dyDescent="0.25">
      <c r="A202" s="34" t="s">
        <v>2749</v>
      </c>
      <c r="B202" s="34" t="s">
        <v>2748</v>
      </c>
      <c r="C202" s="34" t="s">
        <v>3932</v>
      </c>
      <c r="D202" s="34" t="s">
        <v>3857</v>
      </c>
      <c r="E202" s="34" t="s">
        <v>3871</v>
      </c>
      <c r="F202" s="3">
        <v>38390.041666666701</v>
      </c>
      <c r="G202" s="35">
        <f ca="1">YEAR(TODAY()) - YEAR(F202) - (IF(DATE(YEAR(TODAY()), MONTH(F202), DAY(F202)) &gt; TODAY(), 1, 0))</f>
        <v>20</v>
      </c>
      <c r="H202" cm="1">
        <f t="array" aca="1" ref="H202" ca="1">SUMPRODUCT((BRON!A202:A1397=Table1[[#This Row],[Personeelsnummer]])*(YEAR(BRON!T202:T1397)=YEAR(TODAY())))</f>
        <v>0</v>
      </c>
    </row>
    <row r="203" spans="1:8" x14ac:dyDescent="0.25">
      <c r="A203" s="34" t="s">
        <v>1341</v>
      </c>
      <c r="B203" s="34" t="s">
        <v>1376</v>
      </c>
      <c r="C203" s="34" t="s">
        <v>3947</v>
      </c>
      <c r="D203" s="34" t="s">
        <v>3867</v>
      </c>
      <c r="E203" s="34" t="s">
        <v>3863</v>
      </c>
      <c r="F203" s="3">
        <v>39146.041666666701</v>
      </c>
      <c r="G203" s="35">
        <f ca="1">YEAR(TODAY()) - YEAR(F203) - (IF(DATE(YEAR(TODAY()), MONTH(F203), DAY(F203)) &gt; TODAY(), 1, 0))</f>
        <v>18</v>
      </c>
      <c r="H203" cm="1">
        <f t="array" aca="1" ref="H203" ca="1">SUMPRODUCT((BRON!A203:A1398=Table1[[#This Row],[Personeelsnummer]])*(YEAR(BRON!T203:T1398)=YEAR(TODAY())))</f>
        <v>0</v>
      </c>
    </row>
    <row r="204" spans="1:8" x14ac:dyDescent="0.25">
      <c r="A204" s="34" t="s">
        <v>2174</v>
      </c>
      <c r="B204" s="34" t="s">
        <v>2180</v>
      </c>
      <c r="C204" s="34" t="s">
        <v>3952</v>
      </c>
      <c r="D204" s="34" t="s">
        <v>3857</v>
      </c>
      <c r="E204" s="34" t="s">
        <v>3854</v>
      </c>
      <c r="F204" s="3">
        <v>39286.083333333299</v>
      </c>
      <c r="G204" s="35">
        <f ca="1">YEAR(TODAY()) - YEAR(F204) - (IF(DATE(YEAR(TODAY()), MONTH(F204), DAY(F204)) &gt; TODAY(), 1, 0))</f>
        <v>18</v>
      </c>
      <c r="H204" cm="1">
        <f t="array" aca="1" ref="H204" ca="1">SUMPRODUCT((BRON!A204:A1399=Table1[[#This Row],[Personeelsnummer]])*(YEAR(BRON!T204:T1399)=YEAR(TODAY())))</f>
        <v>0</v>
      </c>
    </row>
    <row r="205" spans="1:8" x14ac:dyDescent="0.25">
      <c r="A205" s="34" t="s">
        <v>2588</v>
      </c>
      <c r="B205" s="34" t="s">
        <v>2587</v>
      </c>
      <c r="C205" s="34" t="s">
        <v>3955</v>
      </c>
      <c r="D205" s="34" t="s">
        <v>3853</v>
      </c>
      <c r="E205" s="34" t="s">
        <v>3871</v>
      </c>
      <c r="F205" s="3">
        <v>39370.083333333299</v>
      </c>
      <c r="G205" s="35">
        <f ca="1">YEAR(TODAY()) - YEAR(F205) - (IF(DATE(YEAR(TODAY()), MONTH(F205), DAY(F205)) &gt; TODAY(), 1, 0))</f>
        <v>18</v>
      </c>
      <c r="H205" cm="1">
        <f t="array" aca="1" ref="H205" ca="1">SUMPRODUCT((BRON!A205:A1400=Table1[[#This Row],[Personeelsnummer]])*(YEAR(BRON!T205:T1400)=YEAR(TODAY())))</f>
        <v>0</v>
      </c>
    </row>
    <row r="206" spans="1:8" x14ac:dyDescent="0.25">
      <c r="A206" s="34" t="s">
        <v>2857</v>
      </c>
      <c r="B206" s="34" t="s">
        <v>2863</v>
      </c>
      <c r="C206" s="34" t="s">
        <v>3957</v>
      </c>
      <c r="D206" s="34" t="s">
        <v>3860</v>
      </c>
      <c r="E206" s="34" t="s">
        <v>3866</v>
      </c>
      <c r="F206" s="3">
        <v>39433.041666666701</v>
      </c>
      <c r="G206" s="35">
        <f ca="1">YEAR(TODAY()) - YEAR(F206) - (IF(DATE(YEAR(TODAY()), MONTH(F206), DAY(F206)) &gt; TODAY(), 1, 0))</f>
        <v>17</v>
      </c>
      <c r="H206" cm="1">
        <f t="array" aca="1" ref="H206" ca="1">SUMPRODUCT((BRON!A206:A1401=Table1[[#This Row],[Personeelsnummer]])*(YEAR(BRON!T206:T1401)=YEAR(TODAY())))</f>
        <v>0</v>
      </c>
    </row>
    <row r="207" spans="1:8" x14ac:dyDescent="0.25">
      <c r="A207" s="34" t="s">
        <v>1647</v>
      </c>
      <c r="B207" s="34" t="s">
        <v>1653</v>
      </c>
      <c r="C207" s="34" t="s">
        <v>3959</v>
      </c>
      <c r="D207" s="34" t="s">
        <v>3857</v>
      </c>
      <c r="E207" s="34" t="s">
        <v>3874</v>
      </c>
      <c r="F207" s="3">
        <v>39524.041666666701</v>
      </c>
      <c r="G207" s="35">
        <f ca="1">YEAR(TODAY()) - YEAR(F207) - (IF(DATE(YEAR(TODAY()), MONTH(F207), DAY(F207)) &gt; TODAY(), 1, 0))</f>
        <v>17</v>
      </c>
      <c r="H207" cm="1">
        <f t="array" aca="1" ref="H207" ca="1">SUMPRODUCT((BRON!A207:A1402=Table1[[#This Row],[Personeelsnummer]])*(YEAR(BRON!T207:T1402)=YEAR(TODAY())))</f>
        <v>0</v>
      </c>
    </row>
    <row r="208" spans="1:8" x14ac:dyDescent="0.25">
      <c r="A208" s="34" t="s">
        <v>2506</v>
      </c>
      <c r="B208" s="34" t="s">
        <v>2505</v>
      </c>
      <c r="C208" s="34" t="s">
        <v>3962</v>
      </c>
      <c r="D208" s="34" t="s">
        <v>3857</v>
      </c>
      <c r="E208" s="34" t="s">
        <v>3871</v>
      </c>
      <c r="F208" s="3">
        <v>39587.083333333299</v>
      </c>
      <c r="G208" s="35">
        <f ca="1">YEAR(TODAY()) - YEAR(F208) - (IF(DATE(YEAR(TODAY()), MONTH(F208), DAY(F208)) &gt; TODAY(), 1, 0))</f>
        <v>17</v>
      </c>
      <c r="H208" cm="1">
        <f t="array" aca="1" ref="H208" ca="1">SUMPRODUCT((BRON!A208:A1403=Table1[[#This Row],[Personeelsnummer]])*(YEAR(BRON!T208:T1403)=YEAR(TODAY())))</f>
        <v>0</v>
      </c>
    </row>
    <row r="209" spans="1:8" x14ac:dyDescent="0.25">
      <c r="A209" s="34" t="s">
        <v>1626</v>
      </c>
      <c r="B209" s="34" t="s">
        <v>1625</v>
      </c>
      <c r="C209" s="34" t="s">
        <v>3963</v>
      </c>
      <c r="D209" s="34" t="s">
        <v>3853</v>
      </c>
      <c r="E209" s="34" t="s">
        <v>3863</v>
      </c>
      <c r="F209" s="3">
        <v>39587.083333333299</v>
      </c>
      <c r="G209" s="35">
        <f ca="1">YEAR(TODAY()) - YEAR(F209) - (IF(DATE(YEAR(TODAY()), MONTH(F209), DAY(F209)) &gt; TODAY(), 1, 0))</f>
        <v>17</v>
      </c>
      <c r="H209" cm="1">
        <f t="array" aca="1" ref="H209" ca="1">SUMPRODUCT((BRON!A209:A1404=Table1[[#This Row],[Personeelsnummer]])*(YEAR(BRON!T209:T1404)=YEAR(TODAY())))</f>
        <v>0</v>
      </c>
    </row>
    <row r="210" spans="1:8" x14ac:dyDescent="0.25">
      <c r="A210" s="34" t="s">
        <v>3136</v>
      </c>
      <c r="B210" s="34" t="s">
        <v>3139</v>
      </c>
      <c r="C210" s="34" t="s">
        <v>3968</v>
      </c>
      <c r="D210" s="34" t="s">
        <v>3860</v>
      </c>
      <c r="E210" s="34" t="s">
        <v>3881</v>
      </c>
      <c r="F210" s="3">
        <v>45181.083333333299</v>
      </c>
      <c r="G210" s="35">
        <f ca="1">YEAR(TODAY()) - YEAR(F210) - (IF(DATE(YEAR(TODAY()), MONTH(F210), DAY(F210)) &gt; TODAY(), 1, 0))</f>
        <v>2</v>
      </c>
      <c r="H210" cm="1">
        <f t="array" aca="1" ref="H210" ca="1">SUMPRODUCT((BRON!A210:A1405=Table1[[#This Row],[Personeelsnummer]])*(YEAR(BRON!T210:T1405)=YEAR(TODAY())))</f>
        <v>0</v>
      </c>
    </row>
    <row r="211" spans="1:8" x14ac:dyDescent="0.25">
      <c r="A211" s="34" t="s">
        <v>1697</v>
      </c>
      <c r="B211" s="34" t="s">
        <v>1696</v>
      </c>
      <c r="C211" s="34" t="s">
        <v>3979</v>
      </c>
      <c r="D211" s="34" t="s">
        <v>3853</v>
      </c>
      <c r="E211" s="34" t="s">
        <v>3863</v>
      </c>
      <c r="F211" s="3">
        <v>40455.083333333299</v>
      </c>
      <c r="G211" s="35">
        <f ca="1">YEAR(TODAY()) - YEAR(F211) - (IF(DATE(YEAR(TODAY()), MONTH(F211), DAY(F211)) &gt; TODAY(), 1, 0))</f>
        <v>15</v>
      </c>
      <c r="H211" cm="1">
        <f t="array" aca="1" ref="H211" ca="1">SUMPRODUCT((BRON!A211:A1406=Table1[[#This Row],[Personeelsnummer]])*(YEAR(BRON!T211:T1406)=YEAR(TODAY())))</f>
        <v>0</v>
      </c>
    </row>
    <row r="212" spans="1:8" x14ac:dyDescent="0.25">
      <c r="A212" s="34" t="s">
        <v>3438</v>
      </c>
      <c r="B212" s="34" t="s">
        <v>2666</v>
      </c>
      <c r="C212" s="34" t="s">
        <v>3980</v>
      </c>
      <c r="D212" s="34" t="s">
        <v>3857</v>
      </c>
      <c r="E212" s="34" t="s">
        <v>3870</v>
      </c>
      <c r="F212" s="3">
        <v>40469.083333333299</v>
      </c>
      <c r="G212" s="35">
        <f ca="1">YEAR(TODAY()) - YEAR(F212) - (IF(DATE(YEAR(TODAY()), MONTH(F212), DAY(F212)) &gt; TODAY(), 1, 0))</f>
        <v>15</v>
      </c>
      <c r="H212" cm="1">
        <f t="array" aca="1" ref="H212" ca="1">SUMPRODUCT((BRON!A212:A1407=Table1[[#This Row],[Personeelsnummer]])*(YEAR(BRON!T212:T1407)=YEAR(TODAY())))</f>
        <v>0</v>
      </c>
    </row>
    <row r="213" spans="1:8" x14ac:dyDescent="0.25">
      <c r="A213" s="34" t="s">
        <v>2405</v>
      </c>
      <c r="B213" s="34" t="s">
        <v>2568</v>
      </c>
      <c r="C213" s="34" t="s">
        <v>3995</v>
      </c>
      <c r="D213" s="34" t="s">
        <v>3857</v>
      </c>
      <c r="E213" s="34" t="s">
        <v>3864</v>
      </c>
      <c r="F213" s="3">
        <v>40826.083333333299</v>
      </c>
      <c r="G213" s="35">
        <f ca="1">YEAR(TODAY()) - YEAR(F213) - (IF(DATE(YEAR(TODAY()), MONTH(F213), DAY(F213)) &gt; TODAY(), 1, 0))</f>
        <v>14</v>
      </c>
      <c r="H213" cm="1">
        <f t="array" aca="1" ref="H213" ca="1">SUMPRODUCT((BRON!A213:A1408=Table1[[#This Row],[Personeelsnummer]])*(YEAR(BRON!T213:T1408)=YEAR(TODAY())))</f>
        <v>0</v>
      </c>
    </row>
    <row r="214" spans="1:8" x14ac:dyDescent="0.25">
      <c r="A214" s="34" t="s">
        <v>2897</v>
      </c>
      <c r="B214" s="34" t="s">
        <v>2896</v>
      </c>
      <c r="C214" s="34" t="s">
        <v>3998</v>
      </c>
      <c r="D214" s="34" t="s">
        <v>3860</v>
      </c>
      <c r="E214" s="34" t="s">
        <v>3863</v>
      </c>
      <c r="F214" s="3">
        <v>45139.083333333299</v>
      </c>
      <c r="G214" s="35">
        <f ca="1">YEAR(TODAY()) - YEAR(F214) - (IF(DATE(YEAR(TODAY()), MONTH(F214), DAY(F214)) &gt; TODAY(), 1, 0))</f>
        <v>2</v>
      </c>
      <c r="H214" cm="1">
        <f t="array" aca="1" ref="H214" ca="1">SUMPRODUCT((BRON!A214:A1409=Table1[[#This Row],[Personeelsnummer]])*(YEAR(BRON!T214:T1409)=YEAR(TODAY())))</f>
        <v>0</v>
      </c>
    </row>
    <row r="215" spans="1:8" x14ac:dyDescent="0.25">
      <c r="A215" s="34" t="s">
        <v>2019</v>
      </c>
      <c r="B215" s="34" t="s">
        <v>2018</v>
      </c>
      <c r="C215" s="34" t="s">
        <v>4009</v>
      </c>
      <c r="D215" s="34" t="s">
        <v>3860</v>
      </c>
      <c r="E215" s="34" t="s">
        <v>3864</v>
      </c>
      <c r="F215" s="3">
        <v>41743.083333333299</v>
      </c>
      <c r="G215" s="35">
        <f ca="1">YEAR(TODAY()) - YEAR(F215) - (IF(DATE(YEAR(TODAY()), MONTH(F215), DAY(F215)) &gt; TODAY(), 1, 0))</f>
        <v>11</v>
      </c>
      <c r="H215" cm="1">
        <f t="array" aca="1" ref="H215" ca="1">SUMPRODUCT((BRON!A215:A1410=Table1[[#This Row],[Personeelsnummer]])*(YEAR(BRON!T215:T1410)=YEAR(TODAY())))</f>
        <v>0</v>
      </c>
    </row>
    <row r="216" spans="1:8" x14ac:dyDescent="0.25">
      <c r="A216" s="34" t="s">
        <v>2741</v>
      </c>
      <c r="B216" s="34" t="s">
        <v>2740</v>
      </c>
      <c r="C216" s="34" t="s">
        <v>4013</v>
      </c>
      <c r="D216" s="34" t="s">
        <v>3853</v>
      </c>
      <c r="E216" s="34" t="s">
        <v>3871</v>
      </c>
      <c r="F216" s="3">
        <v>41946.041666666701</v>
      </c>
      <c r="G216" s="35">
        <f ca="1">YEAR(TODAY()) - YEAR(F216) - (IF(DATE(YEAR(TODAY()), MONTH(F216), DAY(F216)) &gt; TODAY(), 1, 0))</f>
        <v>11</v>
      </c>
      <c r="H216" cm="1">
        <f t="array" aca="1" ref="H216" ca="1">SUMPRODUCT((BRON!A216:A1411=Table1[[#This Row],[Personeelsnummer]])*(YEAR(BRON!T216:T1411)=YEAR(TODAY())))</f>
        <v>0</v>
      </c>
    </row>
    <row r="217" spans="1:8" x14ac:dyDescent="0.25">
      <c r="A217" s="34" t="s">
        <v>1550</v>
      </c>
      <c r="B217" s="34" t="s">
        <v>1567</v>
      </c>
      <c r="C217" s="34" t="s">
        <v>4019</v>
      </c>
      <c r="D217" s="34" t="s">
        <v>3857</v>
      </c>
      <c r="E217" s="34" t="s">
        <v>3881</v>
      </c>
      <c r="F217" s="3">
        <v>42198.083333333299</v>
      </c>
      <c r="G217" s="35">
        <f ca="1">YEAR(TODAY()) - YEAR(F217) - (IF(DATE(YEAR(TODAY()), MONTH(F217), DAY(F217)) &gt; TODAY(), 1, 0))</f>
        <v>10</v>
      </c>
      <c r="H217" cm="1">
        <f t="array" aca="1" ref="H217" ca="1">SUMPRODUCT((BRON!A217:A1412=Table1[[#This Row],[Personeelsnummer]])*(YEAR(BRON!T217:T1412)=YEAR(TODAY())))</f>
        <v>0</v>
      </c>
    </row>
    <row r="218" spans="1:8" x14ac:dyDescent="0.25">
      <c r="A218" s="34" t="s">
        <v>2562</v>
      </c>
      <c r="B218" s="34" t="s">
        <v>2565</v>
      </c>
      <c r="C218" s="34" t="s">
        <v>4022</v>
      </c>
      <c r="D218" s="34" t="s">
        <v>3860</v>
      </c>
      <c r="E218" s="34" t="s">
        <v>3871</v>
      </c>
      <c r="F218" s="3">
        <v>42534.083333333299</v>
      </c>
      <c r="G218" s="35">
        <f ca="1">YEAR(TODAY()) - YEAR(F218) - (IF(DATE(YEAR(TODAY()), MONTH(F218), DAY(F218)) &gt; TODAY(), 1, 0))</f>
        <v>9</v>
      </c>
      <c r="H218" cm="1">
        <f t="array" aca="1" ref="H218" ca="1">SUMPRODUCT((BRON!A218:A1413=Table1[[#This Row],[Personeelsnummer]])*(YEAR(BRON!T218:T1413)=YEAR(TODAY())))</f>
        <v>0</v>
      </c>
    </row>
    <row r="219" spans="1:8" x14ac:dyDescent="0.25">
      <c r="A219" s="34" t="s">
        <v>2453</v>
      </c>
      <c r="B219" s="34" t="s">
        <v>2459</v>
      </c>
      <c r="C219" s="34" t="s">
        <v>4024</v>
      </c>
      <c r="D219" s="34" t="s">
        <v>3867</v>
      </c>
      <c r="E219" s="34" t="s">
        <v>3866</v>
      </c>
      <c r="F219" s="3">
        <v>42604.083333333299</v>
      </c>
      <c r="G219" s="35">
        <f ca="1">YEAR(TODAY()) - YEAR(F219) - (IF(DATE(YEAR(TODAY()), MONTH(F219), DAY(F219)) &gt; TODAY(), 1, 0))</f>
        <v>9</v>
      </c>
      <c r="H219" cm="1">
        <f t="array" aca="1" ref="H219" ca="1">SUMPRODUCT((BRON!A219:A1414=Table1[[#This Row],[Personeelsnummer]])*(YEAR(BRON!T219:T1414)=YEAR(TODAY())))</f>
        <v>0</v>
      </c>
    </row>
    <row r="220" spans="1:8" x14ac:dyDescent="0.25">
      <c r="A220" s="34" t="s">
        <v>2057</v>
      </c>
      <c r="B220" s="34" t="s">
        <v>2056</v>
      </c>
      <c r="C220" s="34" t="s">
        <v>4025</v>
      </c>
      <c r="D220" s="34" t="s">
        <v>3853</v>
      </c>
      <c r="E220" s="34" t="s">
        <v>3870</v>
      </c>
      <c r="F220" s="3">
        <v>42604.083333333299</v>
      </c>
      <c r="G220" s="35">
        <f ca="1">YEAR(TODAY()) - YEAR(F220) - (IF(DATE(YEAR(TODAY()), MONTH(F220), DAY(F220)) &gt; TODAY(), 1, 0))</f>
        <v>9</v>
      </c>
      <c r="H220" cm="1">
        <f t="array" aca="1" ref="H220" ca="1">SUMPRODUCT((BRON!A220:A1415=Table1[[#This Row],[Personeelsnummer]])*(YEAR(BRON!T220:T1415)=YEAR(TODAY())))</f>
        <v>0</v>
      </c>
    </row>
    <row r="221" spans="1:8" x14ac:dyDescent="0.25">
      <c r="A221" s="34" t="s">
        <v>1343</v>
      </c>
      <c r="B221" s="34" t="s">
        <v>2191</v>
      </c>
      <c r="C221" s="34" t="s">
        <v>4026</v>
      </c>
      <c r="D221" s="34" t="s">
        <v>3860</v>
      </c>
      <c r="E221" s="34" t="s">
        <v>3871</v>
      </c>
      <c r="F221" s="3">
        <v>42618.083333333299</v>
      </c>
      <c r="G221" s="35">
        <f ca="1">YEAR(TODAY()) - YEAR(F221) - (IF(DATE(YEAR(TODAY()), MONTH(F221), DAY(F221)) &gt; TODAY(), 1, 0))</f>
        <v>9</v>
      </c>
      <c r="H221" cm="1">
        <f t="array" aca="1" ref="H221" ca="1">SUMPRODUCT((BRON!A221:A1416=Table1[[#This Row],[Personeelsnummer]])*(YEAR(BRON!T221:T1416)=YEAR(TODAY())))</f>
        <v>0</v>
      </c>
    </row>
    <row r="222" spans="1:8" x14ac:dyDescent="0.25">
      <c r="A222" s="34" t="s">
        <v>1729</v>
      </c>
      <c r="B222" s="34" t="s">
        <v>1728</v>
      </c>
      <c r="C222" s="34" t="s">
        <v>4028</v>
      </c>
      <c r="D222" s="34" t="s">
        <v>3860</v>
      </c>
      <c r="E222" s="34" t="s">
        <v>3866</v>
      </c>
      <c r="F222" s="3">
        <v>42646.083333333299</v>
      </c>
      <c r="G222" s="35">
        <f ca="1">YEAR(TODAY()) - YEAR(F222) - (IF(DATE(YEAR(TODAY()), MONTH(F222), DAY(F222)) &gt; TODAY(), 1, 0))</f>
        <v>9</v>
      </c>
      <c r="H222" cm="1">
        <f t="array" aca="1" ref="H222" ca="1">SUMPRODUCT((BRON!A222:A1417=Table1[[#This Row],[Personeelsnummer]])*(YEAR(BRON!T222:T1417)=YEAR(TODAY())))</f>
        <v>0</v>
      </c>
    </row>
    <row r="223" spans="1:8" x14ac:dyDescent="0.25">
      <c r="A223" s="34" t="s">
        <v>1550</v>
      </c>
      <c r="B223" s="34" t="s">
        <v>1563</v>
      </c>
      <c r="C223" s="34" t="s">
        <v>4031</v>
      </c>
      <c r="D223" s="34" t="s">
        <v>3853</v>
      </c>
      <c r="E223" s="34" t="s">
        <v>3871</v>
      </c>
      <c r="F223" s="3">
        <v>42843.083333333299</v>
      </c>
      <c r="G223" s="35">
        <f ca="1">YEAR(TODAY()) - YEAR(F223) - (IF(DATE(YEAR(TODAY()), MONTH(F223), DAY(F223)) &gt; TODAY(), 1, 0))</f>
        <v>8</v>
      </c>
      <c r="H223" cm="1">
        <f t="array" aca="1" ref="H223" ca="1">SUMPRODUCT((BRON!A223:A1418=Table1[[#This Row],[Personeelsnummer]])*(YEAR(BRON!T223:T1418)=YEAR(TODAY())))</f>
        <v>0</v>
      </c>
    </row>
    <row r="224" spans="1:8" x14ac:dyDescent="0.25">
      <c r="A224" s="34" t="s">
        <v>2188</v>
      </c>
      <c r="B224" s="34" t="s">
        <v>2187</v>
      </c>
      <c r="C224" s="34" t="s">
        <v>4033</v>
      </c>
      <c r="D224" s="34" t="s">
        <v>3860</v>
      </c>
      <c r="E224" s="34" t="s">
        <v>3870</v>
      </c>
      <c r="F224" s="3">
        <v>42863.083333333299</v>
      </c>
      <c r="G224" s="35">
        <f ca="1">YEAR(TODAY()) - YEAR(F224) - (IF(DATE(YEAR(TODAY()), MONTH(F224), DAY(F224)) &gt; TODAY(), 1, 0))</f>
        <v>8</v>
      </c>
      <c r="H224" cm="1">
        <f t="array" aca="1" ref="H224" ca="1">SUMPRODUCT((BRON!A224:A1419=Table1[[#This Row],[Personeelsnummer]])*(YEAR(BRON!T224:T1419)=YEAR(TODAY())))</f>
        <v>0</v>
      </c>
    </row>
    <row r="225" spans="1:8" x14ac:dyDescent="0.25">
      <c r="A225" s="34" t="s">
        <v>2284</v>
      </c>
      <c r="B225" s="34" t="s">
        <v>2283</v>
      </c>
      <c r="C225" s="34" t="s">
        <v>4036</v>
      </c>
      <c r="D225" s="34" t="s">
        <v>3853</v>
      </c>
      <c r="E225" s="34" t="s">
        <v>3870</v>
      </c>
      <c r="F225" s="3">
        <v>42919.083333333299</v>
      </c>
      <c r="G225" s="35">
        <f ca="1">YEAR(TODAY()) - YEAR(F225) - (IF(DATE(YEAR(TODAY()), MONTH(F225), DAY(F225)) &gt; TODAY(), 1, 0))</f>
        <v>8</v>
      </c>
      <c r="H225" cm="1">
        <f t="array" aca="1" ref="H225" ca="1">SUMPRODUCT((BRON!A225:A1420=Table1[[#This Row],[Personeelsnummer]])*(YEAR(BRON!T225:T1420)=YEAR(TODAY())))</f>
        <v>0</v>
      </c>
    </row>
    <row r="226" spans="1:8" x14ac:dyDescent="0.25">
      <c r="A226" s="34" t="s">
        <v>1347</v>
      </c>
      <c r="B226" s="34" t="s">
        <v>2412</v>
      </c>
      <c r="C226" s="34" t="s">
        <v>4037</v>
      </c>
      <c r="D226" s="34" t="s">
        <v>3853</v>
      </c>
      <c r="E226" s="34" t="s">
        <v>3881</v>
      </c>
      <c r="F226" s="3">
        <v>42919.083333333299</v>
      </c>
      <c r="G226" s="35">
        <f ca="1">YEAR(TODAY()) - YEAR(F226) - (IF(DATE(YEAR(TODAY()), MONTH(F226), DAY(F226)) &gt; TODAY(), 1, 0))</f>
        <v>8</v>
      </c>
      <c r="H226" cm="1">
        <f t="array" aca="1" ref="H226" ca="1">SUMPRODUCT((BRON!A226:A1421=Table1[[#This Row],[Personeelsnummer]])*(YEAR(BRON!T226:T1421)=YEAR(TODAY())))</f>
        <v>0</v>
      </c>
    </row>
    <row r="227" spans="1:8" x14ac:dyDescent="0.25">
      <c r="A227" s="34" t="s">
        <v>2737</v>
      </c>
      <c r="B227" s="34" t="s">
        <v>2736</v>
      </c>
      <c r="C227" s="34" t="s">
        <v>4039</v>
      </c>
      <c r="D227" s="34" t="s">
        <v>3853</v>
      </c>
      <c r="E227" s="34" t="s">
        <v>3874</v>
      </c>
      <c r="F227" s="3">
        <v>42989.083333333299</v>
      </c>
      <c r="G227" s="35">
        <f ca="1">YEAR(TODAY()) - YEAR(F227) - (IF(DATE(YEAR(TODAY()), MONTH(F227), DAY(F227)) &gt; TODAY(), 1, 0))</f>
        <v>8</v>
      </c>
      <c r="H227" cm="1">
        <f t="array" aca="1" ref="H227" ca="1">SUMPRODUCT((BRON!A227:A1422=Table1[[#This Row],[Personeelsnummer]])*(YEAR(BRON!T227:T1422)=YEAR(TODAY())))</f>
        <v>0</v>
      </c>
    </row>
    <row r="228" spans="1:8" x14ac:dyDescent="0.25">
      <c r="A228" s="34" t="s">
        <v>3465</v>
      </c>
      <c r="B228" s="34" t="s">
        <v>3464</v>
      </c>
      <c r="C228" s="34" t="s">
        <v>4045</v>
      </c>
      <c r="D228" s="34" t="s">
        <v>3860</v>
      </c>
      <c r="E228" s="34" t="s">
        <v>3874</v>
      </c>
      <c r="F228" s="3">
        <v>43164.041666666701</v>
      </c>
      <c r="G228" s="35">
        <f ca="1">YEAR(TODAY()) - YEAR(F228) - (IF(DATE(YEAR(TODAY()), MONTH(F228), DAY(F228)) &gt; TODAY(), 1, 0))</f>
        <v>7</v>
      </c>
      <c r="H228" cm="1">
        <f t="array" aca="1" ref="H228" ca="1">SUMPRODUCT((BRON!A228:A1423=Table1[[#This Row],[Personeelsnummer]])*(YEAR(BRON!T228:T1423)=YEAR(TODAY())))</f>
        <v>0</v>
      </c>
    </row>
    <row r="229" spans="1:8" x14ac:dyDescent="0.25">
      <c r="A229" s="34" t="s">
        <v>2462</v>
      </c>
      <c r="B229" s="34" t="s">
        <v>2468</v>
      </c>
      <c r="C229" s="34" t="s">
        <v>4046</v>
      </c>
      <c r="D229" s="34" t="s">
        <v>3857</v>
      </c>
      <c r="E229" s="34" t="s">
        <v>3881</v>
      </c>
      <c r="F229" s="3">
        <v>43150.041666666701</v>
      </c>
      <c r="G229" s="35">
        <f ca="1">YEAR(TODAY()) - YEAR(F229) - (IF(DATE(YEAR(TODAY()), MONTH(F229), DAY(F229)) &gt; TODAY(), 1, 0))</f>
        <v>7</v>
      </c>
      <c r="H229" cm="1">
        <f t="array" aca="1" ref="H229" ca="1">SUMPRODUCT((BRON!A229:A1424=Table1[[#This Row],[Personeelsnummer]])*(YEAR(BRON!T229:T1424)=YEAR(TODAY())))</f>
        <v>0</v>
      </c>
    </row>
    <row r="230" spans="1:8" x14ac:dyDescent="0.25">
      <c r="A230" s="34" t="s">
        <v>2007</v>
      </c>
      <c r="B230" s="34" t="s">
        <v>2006</v>
      </c>
      <c r="C230" s="34" t="s">
        <v>4047</v>
      </c>
      <c r="D230" s="34" t="s">
        <v>3853</v>
      </c>
      <c r="E230" s="34" t="s">
        <v>3854</v>
      </c>
      <c r="F230" s="3">
        <v>43178.041666666701</v>
      </c>
      <c r="G230" s="35">
        <f ca="1">YEAR(TODAY()) - YEAR(F230) - (IF(DATE(YEAR(TODAY()), MONTH(F230), DAY(F230)) &gt; TODAY(), 1, 0))</f>
        <v>7</v>
      </c>
      <c r="H230" cm="1">
        <f t="array" aca="1" ref="H230" ca="1">SUMPRODUCT((BRON!A230:A1425=Table1[[#This Row],[Personeelsnummer]])*(YEAR(BRON!T230:T1425)=YEAR(TODAY())))</f>
        <v>0</v>
      </c>
    </row>
    <row r="231" spans="1:8" x14ac:dyDescent="0.25">
      <c r="A231" s="34" t="s">
        <v>2649</v>
      </c>
      <c r="B231" s="34" t="s">
        <v>1406</v>
      </c>
      <c r="C231" s="34" t="s">
        <v>4050</v>
      </c>
      <c r="D231" s="34" t="s">
        <v>3853</v>
      </c>
      <c r="E231" s="34" t="s">
        <v>3854</v>
      </c>
      <c r="F231" s="3">
        <v>45460.083333333299</v>
      </c>
      <c r="G231" s="35">
        <f ca="1">YEAR(TODAY()) - YEAR(F231) - (IF(DATE(YEAR(TODAY()), MONTH(F231), DAY(F231)) &gt; TODAY(), 1, 0))</f>
        <v>1</v>
      </c>
      <c r="H231" cm="1">
        <f t="array" aca="1" ref="H231" ca="1">SUMPRODUCT((BRON!A231:A1426=Table1[[#This Row],[Personeelsnummer]])*(YEAR(BRON!T231:T1426)=YEAR(TODAY())))</f>
        <v>0</v>
      </c>
    </row>
    <row r="232" spans="1:8" x14ac:dyDescent="0.25">
      <c r="A232" s="34" t="s">
        <v>3151</v>
      </c>
      <c r="B232" s="34" t="s">
        <v>3150</v>
      </c>
      <c r="C232" s="34" t="s">
        <v>4052</v>
      </c>
      <c r="D232" s="34" t="s">
        <v>3853</v>
      </c>
      <c r="E232" s="34" t="s">
        <v>3854</v>
      </c>
      <c r="F232" s="3">
        <v>43472.041666666701</v>
      </c>
      <c r="G232" s="35">
        <f ca="1">YEAR(TODAY()) - YEAR(F232) - (IF(DATE(YEAR(TODAY()), MONTH(F232), DAY(F232)) &gt; TODAY(), 1, 0))</f>
        <v>6</v>
      </c>
      <c r="H232" cm="1">
        <f t="array" aca="1" ref="H232" ca="1">SUMPRODUCT((BRON!A232:A1427=Table1[[#This Row],[Personeelsnummer]])*(YEAR(BRON!T232:T1427)=YEAR(TODAY())))</f>
        <v>0</v>
      </c>
    </row>
    <row r="233" spans="1:8" x14ac:dyDescent="0.25">
      <c r="A233" s="34" t="s">
        <v>1956</v>
      </c>
      <c r="B233" s="34" t="s">
        <v>1955</v>
      </c>
      <c r="C233" s="34" t="s">
        <v>4053</v>
      </c>
      <c r="D233" s="34" t="s">
        <v>3860</v>
      </c>
      <c r="E233" s="34" t="s">
        <v>3870</v>
      </c>
      <c r="F233" s="3">
        <v>43486.041666666701</v>
      </c>
      <c r="G233" s="35">
        <f ca="1">YEAR(TODAY()) - YEAR(F233) - (IF(DATE(YEAR(TODAY()), MONTH(F233), DAY(F233)) &gt; TODAY(), 1, 0))</f>
        <v>6</v>
      </c>
      <c r="H233" cm="1">
        <f t="array" aca="1" ref="H233" ca="1">SUMPRODUCT((BRON!A233:A1428=Table1[[#This Row],[Personeelsnummer]])*(YEAR(BRON!T233:T1428)=YEAR(TODAY())))</f>
        <v>0</v>
      </c>
    </row>
    <row r="234" spans="1:8" x14ac:dyDescent="0.25">
      <c r="A234" s="34" t="s">
        <v>3347</v>
      </c>
      <c r="B234" s="34" t="s">
        <v>3349</v>
      </c>
      <c r="C234" s="34" t="s">
        <v>4054</v>
      </c>
      <c r="D234" s="34" t="s">
        <v>3853</v>
      </c>
      <c r="E234" s="34" t="s">
        <v>3870</v>
      </c>
      <c r="F234" s="3">
        <v>45372.041666666701</v>
      </c>
      <c r="G234" s="35">
        <f ca="1">YEAR(TODAY()) - YEAR(F234) - (IF(DATE(YEAR(TODAY()), MONTH(F234), DAY(F234)) &gt; TODAY(), 1, 0))</f>
        <v>1</v>
      </c>
      <c r="H234" cm="1">
        <f t="array" aca="1" ref="H234" ca="1">SUMPRODUCT((BRON!A234:A1429=Table1[[#This Row],[Personeelsnummer]])*(YEAR(BRON!T234:T1429)=YEAR(TODAY())))</f>
        <v>0</v>
      </c>
    </row>
    <row r="235" spans="1:8" x14ac:dyDescent="0.25">
      <c r="A235" s="34" t="s">
        <v>2453</v>
      </c>
      <c r="B235" s="34" t="s">
        <v>2456</v>
      </c>
      <c r="C235" s="34" t="s">
        <v>4058</v>
      </c>
      <c r="D235" s="34" t="s">
        <v>3853</v>
      </c>
      <c r="E235" s="34" t="s">
        <v>3863</v>
      </c>
      <c r="F235" s="3">
        <v>43640.083333333299</v>
      </c>
      <c r="G235" s="35">
        <f ca="1">YEAR(TODAY()) - YEAR(F235) - (IF(DATE(YEAR(TODAY()), MONTH(F235), DAY(F235)) &gt; TODAY(), 1, 0))</f>
        <v>6</v>
      </c>
      <c r="H235" cm="1">
        <f t="array" aca="1" ref="H235" ca="1">SUMPRODUCT((BRON!A235:A1430=Table1[[#This Row],[Personeelsnummer]])*(YEAR(BRON!T235:T1430)=YEAR(TODAY())))</f>
        <v>0</v>
      </c>
    </row>
    <row r="236" spans="1:8" x14ac:dyDescent="0.25">
      <c r="A236" s="34" t="s">
        <v>1575</v>
      </c>
      <c r="B236" s="34" t="s">
        <v>1574</v>
      </c>
      <c r="C236" s="34" t="s">
        <v>4059</v>
      </c>
      <c r="D236" s="34" t="s">
        <v>3853</v>
      </c>
      <c r="E236" s="34" t="s">
        <v>3870</v>
      </c>
      <c r="F236" s="3">
        <v>43669.083333333299</v>
      </c>
      <c r="G236" s="35">
        <f ca="1">YEAR(TODAY()) - YEAR(F236) - (IF(DATE(YEAR(TODAY()), MONTH(F236), DAY(F236)) &gt; TODAY(), 1, 0))</f>
        <v>6</v>
      </c>
      <c r="H236" cm="1">
        <f t="array" aca="1" ref="H236" ca="1">SUMPRODUCT((BRON!A236:A1431=Table1[[#This Row],[Personeelsnummer]])*(YEAR(BRON!T236:T1431)=YEAR(TODAY())))</f>
        <v>0</v>
      </c>
    </row>
    <row r="237" spans="1:8" x14ac:dyDescent="0.25">
      <c r="A237" s="34" t="s">
        <v>2141</v>
      </c>
      <c r="B237" s="34" t="s">
        <v>2140</v>
      </c>
      <c r="C237" s="34" t="s">
        <v>4060</v>
      </c>
      <c r="D237" s="34" t="s">
        <v>3853</v>
      </c>
      <c r="E237" s="34" t="s">
        <v>3874</v>
      </c>
      <c r="F237" s="3">
        <v>43724.083333333299</v>
      </c>
      <c r="G237" s="35">
        <f ca="1">YEAR(TODAY()) - YEAR(F237) - (IF(DATE(YEAR(TODAY()), MONTH(F237), DAY(F237)) &gt; TODAY(), 1, 0))</f>
        <v>6</v>
      </c>
      <c r="H237" cm="1">
        <f t="array" aca="1" ref="H237" ca="1">SUMPRODUCT((BRON!A237:A1432=Table1[[#This Row],[Personeelsnummer]])*(YEAR(BRON!T237:T1432)=YEAR(TODAY())))</f>
        <v>0</v>
      </c>
    </row>
    <row r="238" spans="1:8" x14ac:dyDescent="0.25">
      <c r="A238" s="34" t="s">
        <v>3442</v>
      </c>
      <c r="B238" s="34" t="s">
        <v>3441</v>
      </c>
      <c r="C238" s="34" t="s">
        <v>4067</v>
      </c>
      <c r="D238" s="34" t="s">
        <v>3853</v>
      </c>
      <c r="E238" s="34" t="s">
        <v>3870</v>
      </c>
      <c r="F238" s="3">
        <v>43864.041666666701</v>
      </c>
      <c r="G238" s="35">
        <f ca="1">YEAR(TODAY()) - YEAR(F238) - (IF(DATE(YEAR(TODAY()), MONTH(F238), DAY(F238)) &gt; TODAY(), 1, 0))</f>
        <v>5</v>
      </c>
      <c r="H238" cm="1">
        <f t="array" aca="1" ref="H238" ca="1">SUMPRODUCT((BRON!A238:A1433=Table1[[#This Row],[Personeelsnummer]])*(YEAR(BRON!T238:T1433)=YEAR(TODAY())))</f>
        <v>0</v>
      </c>
    </row>
    <row r="239" spans="1:8" x14ac:dyDescent="0.25">
      <c r="A239" s="34" t="s">
        <v>2516</v>
      </c>
      <c r="B239" s="34" t="s">
        <v>1255</v>
      </c>
      <c r="C239" s="34" t="s">
        <v>4072</v>
      </c>
      <c r="D239" s="34" t="s">
        <v>3853</v>
      </c>
      <c r="E239" s="34" t="s">
        <v>3870</v>
      </c>
      <c r="F239" s="3">
        <v>43906.041666666701</v>
      </c>
      <c r="G239" s="35">
        <f ca="1">YEAR(TODAY()) - YEAR(F239) - (IF(DATE(YEAR(TODAY()), MONTH(F239), DAY(F239)) &gt; TODAY(), 1, 0))</f>
        <v>5</v>
      </c>
      <c r="H239" cm="1">
        <f t="array" aca="1" ref="H239" ca="1">SUMPRODUCT((BRON!A239:A1434=Table1[[#This Row],[Personeelsnummer]])*(YEAR(BRON!T239:T1434)=YEAR(TODAY())))</f>
        <v>0</v>
      </c>
    </row>
    <row r="240" spans="1:8" x14ac:dyDescent="0.25">
      <c r="A240" s="34" t="s">
        <v>1766</v>
      </c>
      <c r="B240" s="34" t="s">
        <v>1490</v>
      </c>
      <c r="C240" s="34" t="s">
        <v>4073</v>
      </c>
      <c r="D240" s="34" t="s">
        <v>3853</v>
      </c>
      <c r="E240" s="34" t="s">
        <v>3870</v>
      </c>
      <c r="F240" s="3">
        <v>43969.083333333299</v>
      </c>
      <c r="G240" s="35">
        <f ca="1">YEAR(TODAY()) - YEAR(F240) - (IF(DATE(YEAR(TODAY()), MONTH(F240), DAY(F240)) &gt; TODAY(), 1, 0))</f>
        <v>5</v>
      </c>
      <c r="H240" cm="1">
        <f t="array" aca="1" ref="H240" ca="1">SUMPRODUCT((BRON!A240:A1435=Table1[[#This Row],[Personeelsnummer]])*(YEAR(BRON!T240:T1435)=YEAR(TODAY())))</f>
        <v>0</v>
      </c>
    </row>
    <row r="241" spans="1:8" x14ac:dyDescent="0.25">
      <c r="A241" s="34" t="s">
        <v>2745</v>
      </c>
      <c r="B241" s="34" t="s">
        <v>2744</v>
      </c>
      <c r="C241" s="34" t="s">
        <v>4074</v>
      </c>
      <c r="D241" s="34" t="s">
        <v>3857</v>
      </c>
      <c r="E241" s="34" t="s">
        <v>3874</v>
      </c>
      <c r="F241" s="3">
        <v>43980.083333333299</v>
      </c>
      <c r="G241" s="35">
        <f ca="1">YEAR(TODAY()) - YEAR(F241) - (IF(DATE(YEAR(TODAY()), MONTH(F241), DAY(F241)) &gt; TODAY(), 1, 0))</f>
        <v>5</v>
      </c>
      <c r="H241" cm="1">
        <f t="array" aca="1" ref="H241" ca="1">SUMPRODUCT((BRON!A241:A1436=Table1[[#This Row],[Personeelsnummer]])*(YEAR(BRON!T241:T1436)=YEAR(TODAY())))</f>
        <v>0</v>
      </c>
    </row>
    <row r="242" spans="1:8" x14ac:dyDescent="0.25">
      <c r="A242" s="34" t="s">
        <v>3408</v>
      </c>
      <c r="B242" s="34" t="s">
        <v>3407</v>
      </c>
      <c r="C242" s="34" t="s">
        <v>4075</v>
      </c>
      <c r="D242" s="34" t="s">
        <v>3853</v>
      </c>
      <c r="E242" s="34" t="s">
        <v>3866</v>
      </c>
      <c r="F242" s="3">
        <v>43984.083333333299</v>
      </c>
      <c r="G242" s="35">
        <f ca="1">YEAR(TODAY()) - YEAR(F242) - (IF(DATE(YEAR(TODAY()), MONTH(F242), DAY(F242)) &gt; TODAY(), 1, 0))</f>
        <v>5</v>
      </c>
      <c r="H242" cm="1">
        <f t="array" aca="1" ref="H242" ca="1">SUMPRODUCT((BRON!A242:A1437=Table1[[#This Row],[Personeelsnummer]])*(YEAR(BRON!T242:T1437)=YEAR(TODAY())))</f>
        <v>0</v>
      </c>
    </row>
    <row r="243" spans="1:8" x14ac:dyDescent="0.25">
      <c r="A243" s="34" t="s">
        <v>3015</v>
      </c>
      <c r="B243" s="34" t="s">
        <v>3021</v>
      </c>
      <c r="C243" s="34" t="s">
        <v>4076</v>
      </c>
      <c r="D243" s="34" t="s">
        <v>3860</v>
      </c>
      <c r="E243" s="34" t="s">
        <v>3870</v>
      </c>
      <c r="F243" s="3">
        <v>44011.083333333299</v>
      </c>
      <c r="G243" s="35">
        <f ca="1">YEAR(TODAY()) - YEAR(F243) - (IF(DATE(YEAR(TODAY()), MONTH(F243), DAY(F243)) &gt; TODAY(), 1, 0))</f>
        <v>5</v>
      </c>
      <c r="H243" cm="1">
        <f t="array" aca="1" ref="H243" ca="1">SUMPRODUCT((BRON!A243:A1438=Table1[[#This Row],[Personeelsnummer]])*(YEAR(BRON!T243:T1438)=YEAR(TODAY())))</f>
        <v>0</v>
      </c>
    </row>
    <row r="244" spans="1:8" x14ac:dyDescent="0.25">
      <c r="A244" s="34" t="s">
        <v>1394</v>
      </c>
      <c r="B244" s="34" t="s">
        <v>1393</v>
      </c>
      <c r="C244" s="34" t="s">
        <v>4081</v>
      </c>
      <c r="D244" s="34" t="s">
        <v>3860</v>
      </c>
      <c r="E244" s="34" t="s">
        <v>3870</v>
      </c>
      <c r="F244" s="3">
        <v>44025.083333333299</v>
      </c>
      <c r="G244" s="35">
        <f ca="1">YEAR(TODAY()) - YEAR(F244) - (IF(DATE(YEAR(TODAY()), MONTH(F244), DAY(F244)) &gt; TODAY(), 1, 0))</f>
        <v>5</v>
      </c>
      <c r="H244" cm="1">
        <f t="array" aca="1" ref="H244" ca="1">SUMPRODUCT((BRON!A244:A1439=Table1[[#This Row],[Personeelsnummer]])*(YEAR(BRON!T244:T1439)=YEAR(TODAY())))</f>
        <v>0</v>
      </c>
    </row>
    <row r="245" spans="1:8" x14ac:dyDescent="0.25">
      <c r="A245" s="34" t="s">
        <v>2841</v>
      </c>
      <c r="B245" s="34" t="s">
        <v>2840</v>
      </c>
      <c r="C245" s="34" t="s">
        <v>4089</v>
      </c>
      <c r="D245" s="34" t="s">
        <v>3860</v>
      </c>
      <c r="E245" s="34" t="s">
        <v>3866</v>
      </c>
      <c r="F245" s="3">
        <v>44151.041666666701</v>
      </c>
      <c r="G245" s="35">
        <f ca="1">YEAR(TODAY()) - YEAR(F245) - (IF(DATE(YEAR(TODAY()), MONTH(F245), DAY(F245)) &gt; TODAY(), 1, 0))</f>
        <v>5</v>
      </c>
      <c r="H245" cm="1">
        <f t="array" aca="1" ref="H245" ca="1">SUMPRODUCT((BRON!A245:A1440=Table1[[#This Row],[Personeelsnummer]])*(YEAR(BRON!T245:T1440)=YEAR(TODAY())))</f>
        <v>0</v>
      </c>
    </row>
    <row r="246" spans="1:8" x14ac:dyDescent="0.25">
      <c r="A246" s="34" t="s">
        <v>3255</v>
      </c>
      <c r="B246" s="34" t="s">
        <v>3254</v>
      </c>
      <c r="C246" s="34" t="s">
        <v>4092</v>
      </c>
      <c r="D246" s="34" t="s">
        <v>3860</v>
      </c>
      <c r="E246" s="34" t="s">
        <v>3881</v>
      </c>
      <c r="F246" s="3">
        <v>44687.083333333299</v>
      </c>
      <c r="G246" s="35">
        <f ca="1">YEAR(TODAY()) - YEAR(F246) - (IF(DATE(YEAR(TODAY()), MONTH(F246), DAY(F246)) &gt; TODAY(), 1, 0))</f>
        <v>3</v>
      </c>
      <c r="H246" cm="1">
        <f t="array" aca="1" ref="H246" ca="1">SUMPRODUCT((BRON!A246:A1441=Table1[[#This Row],[Personeelsnummer]])*(YEAR(BRON!T246:T1441)=YEAR(TODAY())))</f>
        <v>0</v>
      </c>
    </row>
    <row r="247" spans="1:8" x14ac:dyDescent="0.25">
      <c r="A247" s="34" t="s">
        <v>2957</v>
      </c>
      <c r="B247" s="34" t="s">
        <v>2956</v>
      </c>
      <c r="C247" s="34" t="s">
        <v>4095</v>
      </c>
      <c r="D247" s="34" t="s">
        <v>3853</v>
      </c>
      <c r="E247" s="34" t="s">
        <v>3871</v>
      </c>
      <c r="F247" s="3">
        <v>44270.041666666701</v>
      </c>
      <c r="G247" s="35">
        <f ca="1">YEAR(TODAY()) - YEAR(F247) - (IF(DATE(YEAR(TODAY()), MONTH(F247), DAY(F247)) &gt; TODAY(), 1, 0))</f>
        <v>4</v>
      </c>
      <c r="H247" cm="1">
        <f t="array" aca="1" ref="H247" ca="1">SUMPRODUCT((BRON!A247:A1442=Table1[[#This Row],[Personeelsnummer]])*(YEAR(BRON!T247:T1442)=YEAR(TODAY())))</f>
        <v>0</v>
      </c>
    </row>
    <row r="248" spans="1:8" x14ac:dyDescent="0.25">
      <c r="A248" s="34" t="s">
        <v>1733</v>
      </c>
      <c r="B248" s="34" t="s">
        <v>1741</v>
      </c>
      <c r="C248" s="34" t="s">
        <v>4104</v>
      </c>
      <c r="D248" s="34" t="s">
        <v>3853</v>
      </c>
      <c r="E248" s="34" t="s">
        <v>3854</v>
      </c>
      <c r="F248" s="3">
        <v>44347.083333333299</v>
      </c>
      <c r="G248" s="35">
        <f ca="1">YEAR(TODAY()) - YEAR(F248) - (IF(DATE(YEAR(TODAY()), MONTH(F248), DAY(F248)) &gt; TODAY(), 1, 0))</f>
        <v>4</v>
      </c>
      <c r="H248" cm="1">
        <f t="array" aca="1" ref="H248" ca="1">SUMPRODUCT((BRON!A248:A1443=Table1[[#This Row],[Personeelsnummer]])*(YEAR(BRON!T248:T1443)=YEAR(TODAY())))</f>
        <v>0</v>
      </c>
    </row>
    <row r="249" spans="1:8" x14ac:dyDescent="0.25">
      <c r="A249" s="34" t="s">
        <v>2224</v>
      </c>
      <c r="B249" s="34" t="s">
        <v>2223</v>
      </c>
      <c r="C249" s="34" t="s">
        <v>4114</v>
      </c>
      <c r="D249" s="34" t="s">
        <v>3853</v>
      </c>
      <c r="E249" s="34" t="s">
        <v>3854</v>
      </c>
      <c r="F249" s="3">
        <v>44585.041666666701</v>
      </c>
      <c r="G249" s="35">
        <f ca="1">YEAR(TODAY()) - YEAR(F249) - (IF(DATE(YEAR(TODAY()), MONTH(F249), DAY(F249)) &gt; TODAY(), 1, 0))</f>
        <v>3</v>
      </c>
      <c r="H249" cm="1">
        <f t="array" aca="1" ref="H249" ca="1">SUMPRODUCT((BRON!A249:A1444=Table1[[#This Row],[Personeelsnummer]])*(YEAR(BRON!T249:T1444)=YEAR(TODAY())))</f>
        <v>0</v>
      </c>
    </row>
    <row r="250" spans="1:8" x14ac:dyDescent="0.25">
      <c r="A250" s="34" t="s">
        <v>2917</v>
      </c>
      <c r="B250" s="34" t="s">
        <v>2916</v>
      </c>
      <c r="C250" s="34" t="s">
        <v>4115</v>
      </c>
      <c r="D250" s="34" t="s">
        <v>3853</v>
      </c>
      <c r="E250" s="34" t="s">
        <v>3881</v>
      </c>
      <c r="F250" s="3">
        <v>44599.041666666701</v>
      </c>
      <c r="G250" s="35">
        <f ca="1">YEAR(TODAY()) - YEAR(F250) - (IF(DATE(YEAR(TODAY()), MONTH(F250), DAY(F250)) &gt; TODAY(), 1, 0))</f>
        <v>3</v>
      </c>
      <c r="H250" cm="1">
        <f t="array" aca="1" ref="H250" ca="1">SUMPRODUCT((BRON!A250:A1445=Table1[[#This Row],[Personeelsnummer]])*(YEAR(BRON!T250:T1445)=YEAR(TODAY())))</f>
        <v>0</v>
      </c>
    </row>
    <row r="251" spans="1:8" x14ac:dyDescent="0.25">
      <c r="A251" s="34" t="s">
        <v>2137</v>
      </c>
      <c r="B251" s="34" t="s">
        <v>2136</v>
      </c>
      <c r="C251" s="34" t="s">
        <v>4116</v>
      </c>
      <c r="D251" s="34" t="s">
        <v>3853</v>
      </c>
      <c r="E251" s="34" t="s">
        <v>3864</v>
      </c>
      <c r="F251" s="3">
        <v>44571.041666666701</v>
      </c>
      <c r="G251" s="35">
        <f ca="1">YEAR(TODAY()) - YEAR(F251) - (IF(DATE(YEAR(TODAY()), MONTH(F251), DAY(F251)) &gt; TODAY(), 1, 0))</f>
        <v>3</v>
      </c>
      <c r="H251" cm="1">
        <f t="array" aca="1" ref="H251" ca="1">SUMPRODUCT((BRON!A251:A1446=Table1[[#This Row],[Personeelsnummer]])*(YEAR(BRON!T251:T1446)=YEAR(TODAY())))</f>
        <v>0</v>
      </c>
    </row>
    <row r="252" spans="1:8" x14ac:dyDescent="0.25">
      <c r="A252" s="34" t="s">
        <v>1877</v>
      </c>
      <c r="B252" s="34" t="s">
        <v>1876</v>
      </c>
      <c r="C252" s="34" t="s">
        <v>4120</v>
      </c>
      <c r="D252" s="34" t="s">
        <v>3853</v>
      </c>
      <c r="E252" s="34" t="s">
        <v>3854</v>
      </c>
      <c r="F252" s="3">
        <v>44585.041666666701</v>
      </c>
      <c r="G252" s="35">
        <f ca="1">YEAR(TODAY()) - YEAR(F252) - (IF(DATE(YEAR(TODAY()), MONTH(F252), DAY(F252)) &gt; TODAY(), 1, 0))</f>
        <v>3</v>
      </c>
      <c r="H252" cm="1">
        <f t="array" aca="1" ref="H252" ca="1">SUMPRODUCT((BRON!A252:A1447=Table1[[#This Row],[Personeelsnummer]])*(YEAR(BRON!T252:T1447)=YEAR(TODAY())))</f>
        <v>0</v>
      </c>
    </row>
    <row r="253" spans="1:8" x14ac:dyDescent="0.25">
      <c r="A253" s="34" t="s">
        <v>2972</v>
      </c>
      <c r="B253" s="34" t="s">
        <v>2975</v>
      </c>
      <c r="C253" s="34" t="s">
        <v>4130</v>
      </c>
      <c r="D253" s="34" t="s">
        <v>3853</v>
      </c>
      <c r="E253" s="34" t="s">
        <v>3854</v>
      </c>
      <c r="F253" s="3">
        <v>44704.083333333299</v>
      </c>
      <c r="G253" s="35">
        <f ca="1">YEAR(TODAY()) - YEAR(F253) - (IF(DATE(YEAR(TODAY()), MONTH(F253), DAY(F253)) &gt; TODAY(), 1, 0))</f>
        <v>3</v>
      </c>
      <c r="H253" cm="1">
        <f t="array" aca="1" ref="H253" ca="1">SUMPRODUCT((BRON!A253:A1448=Table1[[#This Row],[Personeelsnummer]])*(YEAR(BRON!T253:T1448)=YEAR(TODAY())))</f>
        <v>0</v>
      </c>
    </row>
    <row r="254" spans="1:8" x14ac:dyDescent="0.25">
      <c r="A254" s="34" t="s">
        <v>3388</v>
      </c>
      <c r="B254" s="34" t="s">
        <v>3391</v>
      </c>
      <c r="C254" s="34" t="s">
        <v>4138</v>
      </c>
      <c r="D254" s="34" t="s">
        <v>3860</v>
      </c>
      <c r="E254" s="34" t="s">
        <v>3874</v>
      </c>
      <c r="F254" s="3">
        <v>44837.083333333299</v>
      </c>
      <c r="G254" s="35">
        <f ca="1">YEAR(TODAY()) - YEAR(F254) - (IF(DATE(YEAR(TODAY()), MONTH(F254), DAY(F254)) &gt; TODAY(), 1, 0))</f>
        <v>3</v>
      </c>
      <c r="H254" cm="1">
        <f t="array" aca="1" ref="H254" ca="1">SUMPRODUCT((BRON!A254:A1449=Table1[[#This Row],[Personeelsnummer]])*(YEAR(BRON!T254:T1449)=YEAR(TODAY())))</f>
        <v>0</v>
      </c>
    </row>
    <row r="255" spans="1:8" x14ac:dyDescent="0.25">
      <c r="A255" s="34" t="s">
        <v>3335</v>
      </c>
      <c r="B255" s="34" t="s">
        <v>3334</v>
      </c>
      <c r="C255" s="34" t="s">
        <v>4154</v>
      </c>
      <c r="D255" s="34" t="s">
        <v>3853</v>
      </c>
      <c r="E255" s="34" t="s">
        <v>3863</v>
      </c>
      <c r="F255" s="3">
        <v>45027.083333333299</v>
      </c>
      <c r="G255" s="35">
        <f ca="1">YEAR(TODAY()) - YEAR(F255) - (IF(DATE(YEAR(TODAY()), MONTH(F255), DAY(F255)) &gt; TODAY(), 1, 0))</f>
        <v>2</v>
      </c>
      <c r="H255" cm="1">
        <f t="array" aca="1" ref="H255" ca="1">SUMPRODUCT((BRON!A255:A1450=Table1[[#This Row],[Personeelsnummer]])*(YEAR(BRON!T255:T1450)=YEAR(TODAY())))</f>
        <v>0</v>
      </c>
    </row>
    <row r="256" spans="1:8" x14ac:dyDescent="0.25">
      <c r="A256" s="34" t="s">
        <v>2483</v>
      </c>
      <c r="B256" s="34" t="s">
        <v>2489</v>
      </c>
      <c r="C256" s="34" t="s">
        <v>4161</v>
      </c>
      <c r="D256" s="34" t="s">
        <v>3860</v>
      </c>
      <c r="E256" s="34" t="s">
        <v>3866</v>
      </c>
      <c r="F256" s="3">
        <v>45061.083333333299</v>
      </c>
      <c r="G256" s="35">
        <f ca="1">YEAR(TODAY()) - YEAR(F256) - (IF(DATE(YEAR(TODAY()), MONTH(F256), DAY(F256)) &gt; TODAY(), 1, 0))</f>
        <v>2</v>
      </c>
      <c r="H256" cm="1">
        <f t="array" aca="1" ref="H256" ca="1">SUMPRODUCT((BRON!A256:A1451=Table1[[#This Row],[Personeelsnummer]])*(YEAR(BRON!T256:T1451)=YEAR(TODAY())))</f>
        <v>0</v>
      </c>
    </row>
    <row r="257" spans="1:8" x14ac:dyDescent="0.25">
      <c r="A257" s="34" t="s">
        <v>1427</v>
      </c>
      <c r="B257" s="34" t="s">
        <v>1426</v>
      </c>
      <c r="C257" s="34" t="s">
        <v>4165</v>
      </c>
      <c r="D257" s="34" t="s">
        <v>3853</v>
      </c>
      <c r="E257" s="34" t="s">
        <v>3863</v>
      </c>
      <c r="F257" s="3">
        <v>45097.083333333299</v>
      </c>
      <c r="G257" s="35">
        <f ca="1">YEAR(TODAY()) - YEAR(F257) - (IF(DATE(YEAR(TODAY()), MONTH(F257), DAY(F257)) &gt; TODAY(), 1, 0))</f>
        <v>2</v>
      </c>
      <c r="H257" cm="1">
        <f t="array" aca="1" ref="H257" ca="1">SUMPRODUCT((BRON!A257:A1452=Table1[[#This Row],[Personeelsnummer]])*(YEAR(BRON!T257:T1452)=YEAR(TODAY())))</f>
        <v>0</v>
      </c>
    </row>
    <row r="258" spans="1:8" x14ac:dyDescent="0.25">
      <c r="A258" s="34" t="s">
        <v>2151</v>
      </c>
      <c r="B258" s="34" t="s">
        <v>2150</v>
      </c>
      <c r="C258" s="34" t="s">
        <v>4168</v>
      </c>
      <c r="D258" s="34" t="s">
        <v>3853</v>
      </c>
      <c r="E258" s="34" t="s">
        <v>3863</v>
      </c>
      <c r="F258" s="3">
        <v>45194.083333333299</v>
      </c>
      <c r="G258" s="35">
        <f ca="1">YEAR(TODAY()) - YEAR(F258) - (IF(DATE(YEAR(TODAY()), MONTH(F258), DAY(F258)) &gt; TODAY(), 1, 0))</f>
        <v>2</v>
      </c>
      <c r="H258" cm="1">
        <f t="array" aca="1" ref="H258" ca="1">SUMPRODUCT((BRON!A258:A1453=Table1[[#This Row],[Personeelsnummer]])*(YEAR(BRON!T258:T1453)=YEAR(TODAY())))</f>
        <v>0</v>
      </c>
    </row>
    <row r="259" spans="1:8" x14ac:dyDescent="0.25">
      <c r="A259" s="34" t="s">
        <v>3169</v>
      </c>
      <c r="B259" s="34" t="s">
        <v>2975</v>
      </c>
      <c r="C259" s="34" t="s">
        <v>4172</v>
      </c>
      <c r="D259" s="34" t="s">
        <v>3860</v>
      </c>
      <c r="E259" s="34" t="s">
        <v>3874</v>
      </c>
      <c r="F259" s="3">
        <v>45208.083333333299</v>
      </c>
      <c r="G259" s="35">
        <f ca="1">YEAR(TODAY()) - YEAR(F259) - (IF(DATE(YEAR(TODAY()), MONTH(F259), DAY(F259)) &gt; TODAY(), 1, 0))</f>
        <v>2</v>
      </c>
      <c r="H259" cm="1">
        <f t="array" aca="1" ref="H259" ca="1">SUMPRODUCT((BRON!A259:A1454=Table1[[#This Row],[Personeelsnummer]])*(YEAR(BRON!T259:T1454)=YEAR(TODAY())))</f>
        <v>0</v>
      </c>
    </row>
    <row r="260" spans="1:8" x14ac:dyDescent="0.25">
      <c r="A260" s="34" t="s">
        <v>2366</v>
      </c>
      <c r="B260" s="34" t="s">
        <v>2365</v>
      </c>
      <c r="C260" s="34" t="s">
        <v>4176</v>
      </c>
      <c r="D260" s="34" t="s">
        <v>3860</v>
      </c>
      <c r="E260" s="34" t="s">
        <v>3854</v>
      </c>
      <c r="F260" s="3">
        <v>45222.083333333299</v>
      </c>
      <c r="G260" s="35">
        <f ca="1">YEAR(TODAY()) - YEAR(F260) - (IF(DATE(YEAR(TODAY()), MONTH(F260), DAY(F260)) &gt; TODAY(), 1, 0))</f>
        <v>2</v>
      </c>
      <c r="H260" cm="1">
        <f t="array" aca="1" ref="H260" ca="1">SUMPRODUCT((BRON!A260:A1455=Table1[[#This Row],[Personeelsnummer]])*(YEAR(BRON!T260:T1455)=YEAR(TODAY())))</f>
        <v>0</v>
      </c>
    </row>
    <row r="261" spans="1:8" x14ac:dyDescent="0.25">
      <c r="A261" s="34" t="s">
        <v>3295</v>
      </c>
      <c r="B261" s="34" t="s">
        <v>3294</v>
      </c>
      <c r="C261" s="34" t="s">
        <v>4181</v>
      </c>
      <c r="D261" s="34" t="s">
        <v>3860</v>
      </c>
      <c r="E261" s="34" t="s">
        <v>3866</v>
      </c>
      <c r="F261" s="3">
        <v>45250.041666666701</v>
      </c>
      <c r="G261" s="35">
        <f ca="1">YEAR(TODAY()) - YEAR(F261) - (IF(DATE(YEAR(TODAY()), MONTH(F261), DAY(F261)) &gt; TODAY(), 1, 0))</f>
        <v>2</v>
      </c>
      <c r="H261" cm="1">
        <f t="array" aca="1" ref="H261" ca="1">SUMPRODUCT((BRON!A261:A1456=Table1[[#This Row],[Personeelsnummer]])*(YEAR(BRON!T261:T1456)=YEAR(TODAY())))</f>
        <v>0</v>
      </c>
    </row>
    <row r="262" spans="1:8" x14ac:dyDescent="0.25">
      <c r="A262" s="34" t="s">
        <v>1693</v>
      </c>
      <c r="B262" s="34" t="s">
        <v>1692</v>
      </c>
      <c r="C262" s="34" t="s">
        <v>4183</v>
      </c>
      <c r="D262" s="34" t="s">
        <v>3860</v>
      </c>
      <c r="E262" s="34" t="s">
        <v>3866</v>
      </c>
      <c r="F262" s="3">
        <v>45264.041666666701</v>
      </c>
      <c r="G262" s="35">
        <f ca="1">YEAR(TODAY()) - YEAR(F262) - (IF(DATE(YEAR(TODAY()), MONTH(F262), DAY(F262)) &gt; TODAY(), 1, 0))</f>
        <v>1</v>
      </c>
      <c r="H262" cm="1">
        <f t="array" aca="1" ref="H262" ca="1">SUMPRODUCT((BRON!A262:A1457=Table1[[#This Row],[Personeelsnummer]])*(YEAR(BRON!T262:T1457)=YEAR(TODAY())))</f>
        <v>0</v>
      </c>
    </row>
    <row r="263" spans="1:8" x14ac:dyDescent="0.25">
      <c r="A263" s="34" t="s">
        <v>1478</v>
      </c>
      <c r="B263" s="34" t="s">
        <v>1477</v>
      </c>
      <c r="C263" s="34" t="s">
        <v>4185</v>
      </c>
      <c r="D263" s="34" t="s">
        <v>3860</v>
      </c>
      <c r="E263" s="34" t="s">
        <v>3881</v>
      </c>
      <c r="F263" s="3">
        <v>45264.041666666701</v>
      </c>
      <c r="G263" s="35">
        <f ca="1">YEAR(TODAY()) - YEAR(F263) - (IF(DATE(YEAR(TODAY()), MONTH(F263), DAY(F263)) &gt; TODAY(), 1, 0))</f>
        <v>1</v>
      </c>
      <c r="H263" cm="1">
        <f t="array" aca="1" ref="H263" ca="1">SUMPRODUCT((BRON!A263:A1458=Table1[[#This Row],[Personeelsnummer]])*(YEAR(BRON!T263:T1458)=YEAR(TODAY())))</f>
        <v>0</v>
      </c>
    </row>
    <row r="264" spans="1:8" x14ac:dyDescent="0.25">
      <c r="A264" s="34" t="s">
        <v>3269</v>
      </c>
      <c r="B264" s="34" t="s">
        <v>3268</v>
      </c>
      <c r="C264" s="34" t="s">
        <v>4186</v>
      </c>
      <c r="D264" s="34" t="s">
        <v>3860</v>
      </c>
      <c r="E264" s="34" t="s">
        <v>3854</v>
      </c>
      <c r="F264" s="3">
        <v>45264.041666666701</v>
      </c>
      <c r="G264" s="35">
        <f ca="1">YEAR(TODAY()) - YEAR(F264) - (IF(DATE(YEAR(TODAY()), MONTH(F264), DAY(F264)) &gt; TODAY(), 1, 0))</f>
        <v>1</v>
      </c>
      <c r="H264" cm="1">
        <f t="array" aca="1" ref="H264" ca="1">SUMPRODUCT((BRON!A264:A1459=Table1[[#This Row],[Personeelsnummer]])*(YEAR(BRON!T264:T1459)=YEAR(TODAY())))</f>
        <v>0</v>
      </c>
    </row>
    <row r="265" spans="1:8" x14ac:dyDescent="0.25">
      <c r="A265" s="34" t="s">
        <v>2953</v>
      </c>
      <c r="B265" s="34" t="s">
        <v>2952</v>
      </c>
      <c r="C265" s="34" t="s">
        <v>4187</v>
      </c>
      <c r="D265" s="34" t="s">
        <v>3860</v>
      </c>
      <c r="E265" s="34" t="s">
        <v>3871</v>
      </c>
      <c r="F265" s="3">
        <v>45264.041666666701</v>
      </c>
      <c r="G265" s="35">
        <f ca="1">YEAR(TODAY()) - YEAR(F265) - (IF(DATE(YEAR(TODAY()), MONTH(F265), DAY(F265)) &gt; TODAY(), 1, 0))</f>
        <v>1</v>
      </c>
      <c r="H265" cm="1">
        <f t="array" aca="1" ref="H265" ca="1">SUMPRODUCT((BRON!A265:A1460=Table1[[#This Row],[Personeelsnummer]])*(YEAR(BRON!T265:T1460)=YEAR(TODAY())))</f>
        <v>0</v>
      </c>
    </row>
    <row r="266" spans="1:8" x14ac:dyDescent="0.25">
      <c r="A266" s="34" t="s">
        <v>2546</v>
      </c>
      <c r="B266" s="34" t="s">
        <v>2545</v>
      </c>
      <c r="C266" s="34" t="s">
        <v>4193</v>
      </c>
      <c r="D266" s="34" t="s">
        <v>3853</v>
      </c>
      <c r="E266" s="34" t="s">
        <v>3863</v>
      </c>
      <c r="F266" s="3">
        <v>45307.041666666701</v>
      </c>
      <c r="G266" s="35">
        <f ca="1">YEAR(TODAY()) - YEAR(F266) - (IF(DATE(YEAR(TODAY()), MONTH(F266), DAY(F266)) &gt; TODAY(), 1, 0))</f>
        <v>1</v>
      </c>
      <c r="H266" cm="1">
        <f t="array" aca="1" ref="H266" ca="1">SUMPRODUCT((BRON!A266:A1461=Table1[[#This Row],[Personeelsnummer]])*(YEAR(BRON!T266:T1461)=YEAR(TODAY())))</f>
        <v>0</v>
      </c>
    </row>
    <row r="267" spans="1:8" x14ac:dyDescent="0.25">
      <c r="A267" s="34" t="s">
        <v>1895</v>
      </c>
      <c r="B267" s="34" t="s">
        <v>1894</v>
      </c>
      <c r="C267" s="34" t="s">
        <v>4196</v>
      </c>
      <c r="D267" s="34" t="s">
        <v>3860</v>
      </c>
      <c r="E267" s="34" t="s">
        <v>3863</v>
      </c>
      <c r="F267" s="3">
        <v>45307.041666666701</v>
      </c>
      <c r="G267" s="35">
        <f ca="1">YEAR(TODAY()) - YEAR(F267) - (IF(DATE(YEAR(TODAY()), MONTH(F267), DAY(F267)) &gt; TODAY(), 1, 0))</f>
        <v>1</v>
      </c>
      <c r="H267" cm="1">
        <f t="array" aca="1" ref="H267" ca="1">SUMPRODUCT((BRON!A267:A1462=Table1[[#This Row],[Personeelsnummer]])*(YEAR(BRON!T267:T1462)=YEAR(TODAY())))</f>
        <v>0</v>
      </c>
    </row>
    <row r="268" spans="1:8" x14ac:dyDescent="0.25">
      <c r="A268" s="34" t="s">
        <v>1918</v>
      </c>
      <c r="B268" s="34" t="s">
        <v>1917</v>
      </c>
      <c r="C268" s="34" t="s">
        <v>4197</v>
      </c>
      <c r="D268" s="34" t="s">
        <v>3860</v>
      </c>
      <c r="E268" s="34" t="s">
        <v>3863</v>
      </c>
      <c r="F268" s="3">
        <v>45307.041666666701</v>
      </c>
      <c r="G268" s="35">
        <f ca="1">YEAR(TODAY()) - YEAR(F268) - (IF(DATE(YEAR(TODAY()), MONTH(F268), DAY(F268)) &gt; TODAY(), 1, 0))</f>
        <v>1</v>
      </c>
      <c r="H268" cm="1">
        <f t="array" aca="1" ref="H268" ca="1">SUMPRODUCT((BRON!A268:A1463=Table1[[#This Row],[Personeelsnummer]])*(YEAR(BRON!T268:T1463)=YEAR(TODAY())))</f>
        <v>0</v>
      </c>
    </row>
    <row r="269" spans="1:8" x14ac:dyDescent="0.25">
      <c r="A269" s="34" t="s">
        <v>2049</v>
      </c>
      <c r="B269" s="34" t="s">
        <v>2048</v>
      </c>
      <c r="C269" s="34" t="s">
        <v>4199</v>
      </c>
      <c r="D269" s="34" t="s">
        <v>3860</v>
      </c>
      <c r="E269" s="34" t="s">
        <v>3881</v>
      </c>
      <c r="F269" s="3">
        <v>45364.041666666701</v>
      </c>
      <c r="G269" s="35">
        <f ca="1">YEAR(TODAY()) - YEAR(F269) - (IF(DATE(YEAR(TODAY()), MONTH(F269), DAY(F269)) &gt; TODAY(), 1, 0))</f>
        <v>1</v>
      </c>
      <c r="H269" cm="1">
        <f t="array" aca="1" ref="H269" ca="1">SUMPRODUCT((BRON!A269:A1464=Table1[[#This Row],[Personeelsnummer]])*(YEAR(BRON!T269:T1464)=YEAR(TODAY())))</f>
        <v>0</v>
      </c>
    </row>
    <row r="270" spans="1:8" x14ac:dyDescent="0.25">
      <c r="A270" s="34" t="s">
        <v>3370</v>
      </c>
      <c r="B270" s="34" t="s">
        <v>3369</v>
      </c>
      <c r="C270" s="34" t="s">
        <v>4200</v>
      </c>
      <c r="D270" s="34" t="s">
        <v>3860</v>
      </c>
      <c r="E270" s="34" t="s">
        <v>3870</v>
      </c>
      <c r="F270" s="3">
        <v>45321.041666666701</v>
      </c>
      <c r="G270" s="35">
        <f ca="1">YEAR(TODAY()) - YEAR(F270) - (IF(DATE(YEAR(TODAY()), MONTH(F270), DAY(F270)) &gt; TODAY(), 1, 0))</f>
        <v>1</v>
      </c>
      <c r="H270" cm="1">
        <f t="array" aca="1" ref="H270" ca="1">SUMPRODUCT((BRON!A270:A1465=Table1[[#This Row],[Personeelsnummer]])*(YEAR(BRON!T270:T1465)=YEAR(TODAY())))</f>
        <v>0</v>
      </c>
    </row>
    <row r="271" spans="1:8" x14ac:dyDescent="0.25">
      <c r="A271" s="34" t="s">
        <v>2445</v>
      </c>
      <c r="B271" s="34" t="s">
        <v>2444</v>
      </c>
      <c r="C271" s="34" t="s">
        <v>4205</v>
      </c>
      <c r="D271" s="34" t="s">
        <v>3860</v>
      </c>
      <c r="E271" s="34" t="s">
        <v>3881</v>
      </c>
      <c r="F271" s="3">
        <v>45345.041666666701</v>
      </c>
      <c r="G271" s="35">
        <f ca="1">YEAR(TODAY()) - YEAR(F271) - (IF(DATE(YEAR(TODAY()), MONTH(F271), DAY(F271)) &gt; TODAY(), 1, 0))</f>
        <v>1</v>
      </c>
      <c r="H271" cm="1">
        <f t="array" aca="1" ref="H271" ca="1">SUMPRODUCT((BRON!A271:A1466=Table1[[#This Row],[Personeelsnummer]])*(YEAR(BRON!T271:T1466)=YEAR(TODAY())))</f>
        <v>0</v>
      </c>
    </row>
    <row r="272" spans="1:8" x14ac:dyDescent="0.25">
      <c r="A272" s="34" t="s">
        <v>1686</v>
      </c>
      <c r="B272" s="34" t="s">
        <v>1685</v>
      </c>
      <c r="C272" s="34" t="s">
        <v>4206</v>
      </c>
      <c r="D272" s="34" t="s">
        <v>3860</v>
      </c>
      <c r="E272" s="34" t="s">
        <v>3881</v>
      </c>
      <c r="F272" s="3">
        <v>45349.041666666701</v>
      </c>
      <c r="G272" s="35">
        <f ca="1">YEAR(TODAY()) - YEAR(F272) - (IF(DATE(YEAR(TODAY()), MONTH(F272), DAY(F272)) &gt; TODAY(), 1, 0))</f>
        <v>1</v>
      </c>
      <c r="H272" cm="1">
        <f t="array" aca="1" ref="H272" ca="1">SUMPRODUCT((BRON!A272:A1467=Table1[[#This Row],[Personeelsnummer]])*(YEAR(BRON!T272:T1467)=YEAR(TODAY())))</f>
        <v>0</v>
      </c>
    </row>
    <row r="273" spans="1:8" x14ac:dyDescent="0.25">
      <c r="A273" s="34" t="s">
        <v>3378</v>
      </c>
      <c r="B273" s="34" t="s">
        <v>3377</v>
      </c>
      <c r="C273" s="34" t="s">
        <v>4218</v>
      </c>
      <c r="D273" s="34" t="s">
        <v>3860</v>
      </c>
      <c r="E273" s="34" t="s">
        <v>3866</v>
      </c>
      <c r="F273" s="3">
        <v>45419.083333333299</v>
      </c>
      <c r="G273" s="35">
        <f ca="1">YEAR(TODAY()) - YEAR(F273) - (IF(DATE(YEAR(TODAY()), MONTH(F273), DAY(F273)) &gt; TODAY(), 1, 0))</f>
        <v>1</v>
      </c>
      <c r="H273" cm="1">
        <f t="array" aca="1" ref="H273" ca="1">SUMPRODUCT((BRON!A273:A1468=Table1[[#This Row],[Personeelsnummer]])*(YEAR(BRON!T273:T1468)=YEAR(TODAY())))</f>
        <v>0</v>
      </c>
    </row>
    <row r="274" spans="1:8" x14ac:dyDescent="0.25">
      <c r="A274" s="34" t="s">
        <v>2311</v>
      </c>
      <c r="B274" s="34" t="s">
        <v>2310</v>
      </c>
      <c r="C274" s="34" t="s">
        <v>4219</v>
      </c>
      <c r="D274" s="34" t="s">
        <v>3860</v>
      </c>
      <c r="E274" s="34" t="s">
        <v>3881</v>
      </c>
      <c r="F274" s="3">
        <v>45450.083333333299</v>
      </c>
      <c r="G274" s="35">
        <f ca="1">YEAR(TODAY()) - YEAR(F274) - (IF(DATE(YEAR(TODAY()), MONTH(F274), DAY(F274)) &gt; TODAY(), 1, 0))</f>
        <v>1</v>
      </c>
      <c r="H274" cm="1">
        <f t="array" aca="1" ref="H274" ca="1">SUMPRODUCT((BRON!A274:A1469=Table1[[#This Row],[Personeelsnummer]])*(YEAR(BRON!T274:T1469)=YEAR(TODAY())))</f>
        <v>0</v>
      </c>
    </row>
    <row r="275" spans="1:8" x14ac:dyDescent="0.25">
      <c r="A275" s="34" t="s">
        <v>2623</v>
      </c>
      <c r="B275" s="34" t="s">
        <v>2622</v>
      </c>
      <c r="C275" s="34" t="s">
        <v>4221</v>
      </c>
      <c r="D275" s="34" t="s">
        <v>3860</v>
      </c>
      <c r="E275" s="34" t="s">
        <v>3871</v>
      </c>
      <c r="F275" s="3">
        <v>45544.083333333299</v>
      </c>
      <c r="G275" s="35">
        <f ca="1">YEAR(TODAY()) - YEAR(F275) - (IF(DATE(YEAR(TODAY()), MONTH(F275), DAY(F275)) &gt; TODAY(), 1, 0))</f>
        <v>1</v>
      </c>
      <c r="H275" cm="1">
        <f t="array" aca="1" ref="H275" ca="1">SUMPRODUCT((BRON!A275:A1470=Table1[[#This Row],[Personeelsnummer]])*(YEAR(BRON!T275:T1470)=YEAR(TODAY())))</f>
        <v>0</v>
      </c>
    </row>
    <row r="276" spans="1:8" x14ac:dyDescent="0.25">
      <c r="A276" s="34" t="s">
        <v>1413</v>
      </c>
      <c r="B276" s="34" t="s">
        <v>1412</v>
      </c>
      <c r="C276" s="34" t="s">
        <v>4231</v>
      </c>
      <c r="D276" s="34" t="s">
        <v>3860</v>
      </c>
      <c r="E276" s="34" t="s">
        <v>3870</v>
      </c>
      <c r="F276" s="3">
        <v>45574.083333333299</v>
      </c>
      <c r="G276" s="35">
        <f ca="1">YEAR(TODAY()) - YEAR(F276) - (IF(DATE(YEAR(TODAY()), MONTH(F276), DAY(F276)) &gt; TODAY(), 1, 0))</f>
        <v>1</v>
      </c>
      <c r="H276" cm="1">
        <f t="array" aca="1" ref="H276" ca="1">SUMPRODUCT((BRON!A276:A1471=Table1[[#This Row],[Personeelsnummer]])*(YEAR(BRON!T276:T1471)=YEAR(TODAY())))</f>
        <v>0</v>
      </c>
    </row>
    <row r="277" spans="1:8" x14ac:dyDescent="0.25">
      <c r="A277" s="34" t="s">
        <v>3314</v>
      </c>
      <c r="B277" s="34" t="s">
        <v>3313</v>
      </c>
      <c r="C277" s="34" t="s">
        <v>4233</v>
      </c>
      <c r="D277" s="34" t="s">
        <v>3860</v>
      </c>
      <c r="E277" s="34" t="s">
        <v>3881</v>
      </c>
      <c r="F277" s="3">
        <v>45588.083333333299</v>
      </c>
      <c r="G277" s="35">
        <f ca="1">YEAR(TODAY()) - YEAR(F277) - (IF(DATE(YEAR(TODAY()), MONTH(F277), DAY(F277)) &gt; TODAY(), 1, 0))</f>
        <v>1</v>
      </c>
      <c r="H277" cm="1">
        <f t="array" aca="1" ref="H277" ca="1">SUMPRODUCT((BRON!A277:A1472=Table1[[#This Row],[Personeelsnummer]])*(YEAR(BRON!T277:T1472)=YEAR(TODAY())))</f>
        <v>0</v>
      </c>
    </row>
    <row r="278" spans="1:8" x14ac:dyDescent="0.25">
      <c r="A278" s="34" t="s">
        <v>1612</v>
      </c>
      <c r="B278" s="34" t="s">
        <v>1611</v>
      </c>
      <c r="C278" s="34" t="s">
        <v>4234</v>
      </c>
      <c r="D278" s="34" t="s">
        <v>3860</v>
      </c>
      <c r="E278" s="34" t="s">
        <v>3881</v>
      </c>
      <c r="F278" s="3">
        <v>45603.041666666701</v>
      </c>
      <c r="G278" s="35">
        <f ca="1">YEAR(TODAY()) - YEAR(F278) - (IF(DATE(YEAR(TODAY()), MONTH(F278), DAY(F278)) &gt; TODAY(), 1, 0))</f>
        <v>1</v>
      </c>
      <c r="H278" cm="1">
        <f t="array" aca="1" ref="H278" ca="1">SUMPRODUCT((BRON!A278:A1473=Table1[[#This Row],[Personeelsnummer]])*(YEAR(BRON!T278:T1473)=YEAR(TODAY())))</f>
        <v>0</v>
      </c>
    </row>
    <row r="279" spans="1:8" x14ac:dyDescent="0.25">
      <c r="A279" s="34" t="s">
        <v>1351</v>
      </c>
      <c r="B279" s="34" t="s">
        <v>3279</v>
      </c>
      <c r="C279" s="34" t="s">
        <v>4239</v>
      </c>
      <c r="D279" s="34" t="s">
        <v>3860</v>
      </c>
      <c r="E279" s="34" t="s">
        <v>3881</v>
      </c>
      <c r="F279" s="3">
        <v>45603.041666666701</v>
      </c>
      <c r="G279" s="35">
        <f ca="1">YEAR(TODAY()) - YEAR(F279) - (IF(DATE(YEAR(TODAY()), MONTH(F279), DAY(F279)) &gt; TODAY(), 1, 0))</f>
        <v>1</v>
      </c>
      <c r="H279" cm="1">
        <f t="array" aca="1" ref="H279" ca="1">SUMPRODUCT((BRON!A279:A1474=Table1[[#This Row],[Personeelsnummer]])*(YEAR(BRON!T279:T1474)=YEAR(TODAY())))</f>
        <v>0</v>
      </c>
    </row>
    <row r="280" spans="1:8" x14ac:dyDescent="0.25">
      <c r="A280" s="34" t="s">
        <v>2053</v>
      </c>
      <c r="B280" s="34" t="s">
        <v>2052</v>
      </c>
      <c r="C280" s="34" t="s">
        <v>4241</v>
      </c>
      <c r="D280" s="34" t="s">
        <v>3860</v>
      </c>
      <c r="E280" s="34" t="s">
        <v>3863</v>
      </c>
      <c r="F280" s="3">
        <v>45618.041666666701</v>
      </c>
      <c r="G280" s="35">
        <f ca="1">YEAR(TODAY()) - YEAR(F280) - (IF(DATE(YEAR(TODAY()), MONTH(F280), DAY(F280)) &gt; TODAY(), 1, 0))</f>
        <v>1</v>
      </c>
      <c r="H280" cm="1">
        <f t="array" aca="1" ref="H280" ca="1">SUMPRODUCT((BRON!A280:A1475=Table1[[#This Row],[Personeelsnummer]])*(YEAR(BRON!T280:T1475)=YEAR(TODAY())))</f>
        <v>0</v>
      </c>
    </row>
    <row r="281" spans="1:8" x14ac:dyDescent="0.25">
      <c r="A281" s="34" t="s">
        <v>1399</v>
      </c>
      <c r="B281" s="34" t="s">
        <v>1398</v>
      </c>
      <c r="C281" s="34" t="s">
        <v>4247</v>
      </c>
      <c r="D281" s="34" t="s">
        <v>3860</v>
      </c>
      <c r="E281" s="34" t="s">
        <v>3854</v>
      </c>
      <c r="F281" s="3">
        <v>45749.083333333299</v>
      </c>
      <c r="G281" s="35">
        <f ca="1">YEAR(TODAY()) - YEAR(F281) - (IF(DATE(YEAR(TODAY()), MONTH(F281), DAY(F281)) &gt; TODAY(), 1, 0))</f>
        <v>0</v>
      </c>
      <c r="H281" cm="1">
        <f t="array" aca="1" ref="H281" ca="1">SUMPRODUCT((BRON!A281:A1476=Table1[[#This Row],[Personeelsnummer]])*(YEAR(BRON!T281:T1476)=YEAR(TODAY())))</f>
        <v>0</v>
      </c>
    </row>
    <row r="282" spans="1:8" x14ac:dyDescent="0.25">
      <c r="A282" s="34" t="s">
        <v>2691</v>
      </c>
      <c r="B282" s="34" t="s">
        <v>2690</v>
      </c>
      <c r="C282" s="34" t="s">
        <v>4256</v>
      </c>
      <c r="D282" s="34" t="s">
        <v>3860</v>
      </c>
      <c r="E282" s="34" t="s">
        <v>3881</v>
      </c>
      <c r="F282" s="3">
        <v>45798.083333333299</v>
      </c>
      <c r="G282" s="35">
        <f ca="1">YEAR(TODAY()) - YEAR(F282) - (IF(DATE(YEAR(TODAY()), MONTH(F282), DAY(F282)) &gt; TODAY(), 1, 0))</f>
        <v>0</v>
      </c>
      <c r="H282" cm="1">
        <f t="array" aca="1" ref="H282" ca="1">SUMPRODUCT((BRON!A282:A1477=Table1[[#This Row],[Personeelsnummer]])*(YEAR(BRON!T282:T1477)=YEAR(TODAY())))</f>
        <v>0</v>
      </c>
    </row>
    <row r="283" spans="1:8" x14ac:dyDescent="0.25">
      <c r="A283" s="34" t="s">
        <v>1452</v>
      </c>
      <c r="B283" s="34" t="s">
        <v>1464</v>
      </c>
      <c r="C283" s="34" t="s">
        <v>4260</v>
      </c>
      <c r="D283" s="34" t="s">
        <v>3860</v>
      </c>
      <c r="E283" s="34" t="s">
        <v>3871</v>
      </c>
      <c r="F283" s="3">
        <v>45831.083333333299</v>
      </c>
      <c r="G283" s="35">
        <f ca="1">YEAR(TODAY()) - YEAR(F283) - (IF(DATE(YEAR(TODAY()), MONTH(F283), DAY(F283)) &gt; TODAY(), 1, 0))</f>
        <v>0</v>
      </c>
      <c r="H283" cm="1">
        <f t="array" aca="1" ref="H283" ca="1">SUMPRODUCT((BRON!A283:A1478=Table1[[#This Row],[Personeelsnummer]])*(YEAR(BRON!T283:T1478)=YEAR(TODAY())))</f>
        <v>0</v>
      </c>
    </row>
    <row r="284" spans="1:8" x14ac:dyDescent="0.25">
      <c r="A284" s="34" t="s">
        <v>2453</v>
      </c>
      <c r="B284" s="34" t="s">
        <v>2452</v>
      </c>
      <c r="C284" s="34" t="s">
        <v>4261</v>
      </c>
      <c r="D284" s="34" t="s">
        <v>3860</v>
      </c>
      <c r="E284" s="34" t="s">
        <v>3870</v>
      </c>
      <c r="F284" s="3">
        <v>45814.083333333299</v>
      </c>
      <c r="G284" s="35">
        <f ca="1">YEAR(TODAY()) - YEAR(F284) - (IF(DATE(YEAR(TODAY()), MONTH(F284), DAY(F284)) &gt; TODAY(), 1, 0))</f>
        <v>0</v>
      </c>
      <c r="H284" cm="1">
        <f t="array" aca="1" ref="H284" ca="1">SUMPRODUCT((BRON!A284:A1479=Table1[[#This Row],[Personeelsnummer]])*(YEAR(BRON!T284:T1479)=YEAR(TODAY())))</f>
        <v>0</v>
      </c>
    </row>
    <row r="285" spans="1:8" x14ac:dyDescent="0.25">
      <c r="A285" s="34" t="s">
        <v>1682</v>
      </c>
      <c r="B285" s="34" t="s">
        <v>1681</v>
      </c>
      <c r="C285" s="34" t="s">
        <v>4267</v>
      </c>
      <c r="D285" s="34" t="s">
        <v>3860</v>
      </c>
      <c r="E285" s="34" t="s">
        <v>3874</v>
      </c>
      <c r="F285" s="3">
        <v>45874.083333333299</v>
      </c>
      <c r="G285" s="35">
        <f ca="1">YEAR(TODAY()) - YEAR(F285) - (IF(DATE(YEAR(TODAY()), MONTH(F285), DAY(F285)) &gt; TODAY(), 1, 0))</f>
        <v>0</v>
      </c>
      <c r="H285" cm="1">
        <f t="array" aca="1" ref="H285" ca="1">SUMPRODUCT((BRON!A285:A1480=Table1[[#This Row],[Personeelsnummer]])*(YEAR(BRON!T285:T1480)=YEAR(TODAY())))</f>
        <v>0</v>
      </c>
    </row>
    <row r="286" spans="1:8" x14ac:dyDescent="0.25">
      <c r="A286" s="34" t="s">
        <v>3047</v>
      </c>
      <c r="B286" s="34" t="s">
        <v>2765</v>
      </c>
      <c r="C286" s="34" t="s">
        <v>3861</v>
      </c>
      <c r="D286" s="34" t="s">
        <v>3860</v>
      </c>
      <c r="E286" s="34" t="s">
        <v>3854</v>
      </c>
      <c r="F286" s="3">
        <v>44970.041666666701</v>
      </c>
      <c r="G286" s="35">
        <f ca="1">YEAR(TODAY()) - YEAR(F286) - (IF(DATE(YEAR(TODAY()), MONTH(F286), DAY(F286)) &gt; TODAY(), 1, 0))</f>
        <v>2</v>
      </c>
      <c r="H286" cm="1">
        <f t="array" aca="1" ref="H286" ca="1">SUMPRODUCT((BRON!A286:A1481=Table1[[#This Row],[Personeelsnummer]])*(YEAR(BRON!T286:T1481)=YEAR(TODAY())))</f>
        <v>0</v>
      </c>
    </row>
    <row r="287" spans="1:8" x14ac:dyDescent="0.25">
      <c r="A287" s="34" t="s">
        <v>2604</v>
      </c>
      <c r="B287" s="34" t="s">
        <v>1477</v>
      </c>
      <c r="C287" s="34" t="s">
        <v>3862</v>
      </c>
      <c r="D287" s="34" t="s">
        <v>3860</v>
      </c>
      <c r="E287" s="34" t="s">
        <v>3863</v>
      </c>
      <c r="F287" s="3">
        <v>45903.083333333299</v>
      </c>
      <c r="G287" s="35">
        <f ca="1">YEAR(TODAY()) - YEAR(F287) - (IF(DATE(YEAR(TODAY()), MONTH(F287), DAY(F287)) &gt; TODAY(), 1, 0))</f>
        <v>0</v>
      </c>
      <c r="H287" cm="1">
        <f t="array" aca="1" ref="H287" ca="1">SUMPRODUCT((BRON!A287:A1482=Table1[[#This Row],[Personeelsnummer]])*(YEAR(BRON!T287:T1482)=YEAR(TODAY())))</f>
        <v>0</v>
      </c>
    </row>
    <row r="288" spans="1:8" x14ac:dyDescent="0.25">
      <c r="A288" s="34" t="s">
        <v>1550</v>
      </c>
      <c r="B288" s="34" t="s">
        <v>1549</v>
      </c>
      <c r="C288" s="34" t="s">
        <v>3902</v>
      </c>
      <c r="D288" s="34" t="s">
        <v>3857</v>
      </c>
      <c r="E288" s="34" t="s">
        <v>3874</v>
      </c>
      <c r="F288" s="3">
        <v>36654.083333333299</v>
      </c>
      <c r="G288" s="35">
        <f ca="1">YEAR(TODAY()) - YEAR(F288) - (IF(DATE(YEAR(TODAY()), MONTH(F288), DAY(F288)) &gt; TODAY(), 1, 0))</f>
        <v>25</v>
      </c>
      <c r="H288" cm="1">
        <f t="array" aca="1" ref="H288" ca="1">SUMPRODUCT((BRON!A288:A1483=Table1[[#This Row],[Personeelsnummer]])*(YEAR(BRON!T288:T1483)=YEAR(TODAY())))</f>
        <v>0</v>
      </c>
    </row>
    <row r="289" spans="1:8" x14ac:dyDescent="0.25">
      <c r="A289" s="34" t="s">
        <v>2257</v>
      </c>
      <c r="B289" s="34" t="s">
        <v>2261</v>
      </c>
      <c r="C289" s="34" t="s">
        <v>3905</v>
      </c>
      <c r="D289" s="34" t="s">
        <v>3860</v>
      </c>
      <c r="E289" s="34" t="s">
        <v>3870</v>
      </c>
      <c r="F289" s="3">
        <v>36815.083333333299</v>
      </c>
      <c r="G289" s="35">
        <f ca="1">YEAR(TODAY()) - YEAR(F289) - (IF(DATE(YEAR(TODAY()), MONTH(F289), DAY(F289)) &gt; TODAY(), 1, 0))</f>
        <v>25</v>
      </c>
      <c r="H289" cm="1">
        <f t="array" aca="1" ref="H289" ca="1">SUMPRODUCT((BRON!A289:A1484=Table1[[#This Row],[Personeelsnummer]])*(YEAR(BRON!T289:T1484)=YEAR(TODAY())))</f>
        <v>0</v>
      </c>
    </row>
    <row r="290" spans="1:8" x14ac:dyDescent="0.25">
      <c r="A290" s="34" t="s">
        <v>1326</v>
      </c>
      <c r="B290" s="34" t="s">
        <v>2998</v>
      </c>
      <c r="C290" s="34" t="s">
        <v>3921</v>
      </c>
      <c r="D290" s="34" t="s">
        <v>3853</v>
      </c>
      <c r="E290" s="34" t="s">
        <v>3854</v>
      </c>
      <c r="F290" s="3">
        <v>37718.083333333299</v>
      </c>
      <c r="G290" s="35">
        <f ca="1">YEAR(TODAY()) - YEAR(F290) - (IF(DATE(YEAR(TODAY()), MONTH(F290), DAY(F290)) &gt; TODAY(), 1, 0))</f>
        <v>22</v>
      </c>
      <c r="H290" cm="1">
        <f t="array" aca="1" ref="H290" ca="1">SUMPRODUCT((BRON!A290:A1485=Table1[[#This Row],[Personeelsnummer]])*(YEAR(BRON!T290:T1485)=YEAR(TODAY())))</f>
        <v>0</v>
      </c>
    </row>
    <row r="291" spans="1:8" x14ac:dyDescent="0.25">
      <c r="A291" s="34" t="s">
        <v>2879</v>
      </c>
      <c r="B291" s="34" t="s">
        <v>2882</v>
      </c>
      <c r="C291" s="34" t="s">
        <v>3934</v>
      </c>
      <c r="D291" s="34" t="s">
        <v>3853</v>
      </c>
      <c r="E291" s="34" t="s">
        <v>3863</v>
      </c>
      <c r="F291" s="3">
        <v>38446.083333333299</v>
      </c>
      <c r="G291" s="35">
        <f ca="1">YEAR(TODAY()) - YEAR(F291) - (IF(DATE(YEAR(TODAY()), MONTH(F291), DAY(F291)) &gt; TODAY(), 1, 0))</f>
        <v>20</v>
      </c>
      <c r="H291" cm="1">
        <f t="array" aca="1" ref="H291" ca="1">SUMPRODUCT((BRON!A291:A1486=Table1[[#This Row],[Personeelsnummer]])*(YEAR(BRON!T291:T1486)=YEAR(TODAY())))</f>
        <v>0</v>
      </c>
    </row>
    <row r="292" spans="1:8" x14ac:dyDescent="0.25">
      <c r="A292" s="34" t="s">
        <v>3936</v>
      </c>
      <c r="B292" s="34" t="s">
        <v>3009</v>
      </c>
      <c r="C292" s="34" t="s">
        <v>3937</v>
      </c>
      <c r="D292" s="34" t="s">
        <v>3853</v>
      </c>
      <c r="E292" s="34" t="s">
        <v>3874</v>
      </c>
      <c r="F292" s="3">
        <v>38754.041666666701</v>
      </c>
      <c r="G292" s="35">
        <f ca="1">YEAR(TODAY()) - YEAR(F292) - (IF(DATE(YEAR(TODAY()), MONTH(F292), DAY(F292)) &gt; TODAY(), 1, 0))</f>
        <v>19</v>
      </c>
      <c r="H292" cm="1">
        <f t="array" aca="1" ref="H292" ca="1">SUMPRODUCT((BRON!A292:A1487=Table1[[#This Row],[Personeelsnummer]])*(YEAR(BRON!T292:T1487)=YEAR(TODAY())))</f>
        <v>0</v>
      </c>
    </row>
    <row r="293" spans="1:8" x14ac:dyDescent="0.25">
      <c r="A293" s="34" t="s">
        <v>2273</v>
      </c>
      <c r="B293" s="34" t="s">
        <v>2272</v>
      </c>
      <c r="C293" s="34" t="s">
        <v>3950</v>
      </c>
      <c r="D293" s="34" t="s">
        <v>3894</v>
      </c>
      <c r="E293" s="34" t="s">
        <v>3864</v>
      </c>
      <c r="F293" s="3">
        <v>39204.083333333299</v>
      </c>
      <c r="G293" s="35">
        <f ca="1">YEAR(TODAY()) - YEAR(F293) - (IF(DATE(YEAR(TODAY()), MONTH(F293), DAY(F293)) &gt; TODAY(), 1, 0))</f>
        <v>18</v>
      </c>
      <c r="H293" cm="1">
        <f t="array" aca="1" ref="H293" ca="1">SUMPRODUCT((BRON!A293:A1488=Table1[[#This Row],[Personeelsnummer]])*(YEAR(BRON!T293:T1488)=YEAR(TODAY())))</f>
        <v>0</v>
      </c>
    </row>
    <row r="294" spans="1:8" x14ac:dyDescent="0.25">
      <c r="A294" s="34" t="s">
        <v>3241</v>
      </c>
      <c r="B294" s="34" t="s">
        <v>3244</v>
      </c>
      <c r="C294" s="34" t="s">
        <v>3973</v>
      </c>
      <c r="D294" s="34" t="s">
        <v>3860</v>
      </c>
      <c r="E294" s="34" t="s">
        <v>3870</v>
      </c>
      <c r="F294" s="3">
        <v>39972.083333333299</v>
      </c>
      <c r="G294" s="35">
        <f ca="1">YEAR(TODAY()) - YEAR(F294) - (IF(DATE(YEAR(TODAY()), MONTH(F294), DAY(F294)) &gt; TODAY(), 1, 0))</f>
        <v>16</v>
      </c>
      <c r="H294" cm="1">
        <f t="array" aca="1" ref="H294" ca="1">SUMPRODUCT((BRON!A294:A1489=Table1[[#This Row],[Personeelsnummer]])*(YEAR(BRON!T294:T1489)=YEAR(TODAY())))</f>
        <v>0</v>
      </c>
    </row>
    <row r="295" spans="1:8" x14ac:dyDescent="0.25">
      <c r="A295" s="34" t="s">
        <v>3378</v>
      </c>
      <c r="B295" s="34" t="s">
        <v>3384</v>
      </c>
      <c r="C295" s="34" t="s">
        <v>3975</v>
      </c>
      <c r="D295" s="34" t="s">
        <v>3867</v>
      </c>
      <c r="E295" s="34" t="s">
        <v>3864</v>
      </c>
      <c r="F295" s="3">
        <v>40035.083333333299</v>
      </c>
      <c r="G295" s="35">
        <f ca="1">YEAR(TODAY()) - YEAR(F295) - (IF(DATE(YEAR(TODAY()), MONTH(F295), DAY(F295)) &gt; TODAY(), 1, 0))</f>
        <v>16</v>
      </c>
      <c r="H295" cm="1">
        <f t="array" aca="1" ref="H295" ca="1">SUMPRODUCT((BRON!A295:A1490=Table1[[#This Row],[Personeelsnummer]])*(YEAR(BRON!T295:T1490)=YEAR(TODAY())))</f>
        <v>0</v>
      </c>
    </row>
    <row r="296" spans="1:8" x14ac:dyDescent="0.25">
      <c r="A296" s="34" t="s">
        <v>1328</v>
      </c>
      <c r="B296" s="34" t="s">
        <v>1643</v>
      </c>
      <c r="C296" s="34" t="s">
        <v>3987</v>
      </c>
      <c r="D296" s="34" t="s">
        <v>3853</v>
      </c>
      <c r="E296" s="34" t="s">
        <v>3854</v>
      </c>
      <c r="F296" s="3">
        <v>40637.083333333299</v>
      </c>
      <c r="G296" s="35">
        <f ca="1">YEAR(TODAY()) - YEAR(F296) - (IF(DATE(YEAR(TODAY()), MONTH(F296), DAY(F296)) &gt; TODAY(), 1, 0))</f>
        <v>14</v>
      </c>
      <c r="H296" cm="1">
        <f t="array" aca="1" ref="H296" ca="1">SUMPRODUCT((BRON!A296:A1491=Table1[[#This Row],[Personeelsnummer]])*(YEAR(BRON!T296:T1491)=YEAR(TODAY())))</f>
        <v>0</v>
      </c>
    </row>
    <row r="297" spans="1:8" x14ac:dyDescent="0.25">
      <c r="A297" s="34" t="s">
        <v>1991</v>
      </c>
      <c r="B297" s="34" t="s">
        <v>2000</v>
      </c>
      <c r="C297" s="34" t="s">
        <v>3990</v>
      </c>
      <c r="D297" s="34" t="s">
        <v>3860</v>
      </c>
      <c r="E297" s="34" t="s">
        <v>3864</v>
      </c>
      <c r="F297" s="3">
        <v>40679.083333333299</v>
      </c>
      <c r="G297" s="35">
        <f ca="1">YEAR(TODAY()) - YEAR(F297) - (IF(DATE(YEAR(TODAY()), MONTH(F297), DAY(F297)) &gt; TODAY(), 1, 0))</f>
        <v>14</v>
      </c>
      <c r="H297" cm="1">
        <f t="array" aca="1" ref="H297" ca="1">SUMPRODUCT((BRON!A297:A1492=Table1[[#This Row],[Personeelsnummer]])*(YEAR(BRON!T297:T1492)=YEAR(TODAY())))</f>
        <v>0</v>
      </c>
    </row>
    <row r="298" spans="1:8" x14ac:dyDescent="0.25">
      <c r="A298" s="34" t="s">
        <v>2148</v>
      </c>
      <c r="B298" s="34" t="s">
        <v>1393</v>
      </c>
      <c r="C298" s="34" t="s">
        <v>3996</v>
      </c>
      <c r="D298" s="34" t="s">
        <v>3860</v>
      </c>
      <c r="E298" s="34" t="s">
        <v>3870</v>
      </c>
      <c r="F298" s="3">
        <v>40861.041666666701</v>
      </c>
      <c r="G298" s="35">
        <f ca="1">YEAR(TODAY()) - YEAR(F298) - (IF(DATE(YEAR(TODAY()), MONTH(F298), DAY(F298)) &gt; TODAY(), 1, 0))</f>
        <v>14</v>
      </c>
      <c r="H298" cm="1">
        <f t="array" aca="1" ref="H298" ca="1">SUMPRODUCT((BRON!A298:A1493=Table1[[#This Row],[Personeelsnummer]])*(YEAR(BRON!T298:T1493)=YEAR(TODAY())))</f>
        <v>0</v>
      </c>
    </row>
    <row r="299" spans="1:8" x14ac:dyDescent="0.25">
      <c r="A299" s="34" t="s">
        <v>1601</v>
      </c>
      <c r="B299" s="34" t="s">
        <v>1600</v>
      </c>
      <c r="C299" s="34" t="s">
        <v>3997</v>
      </c>
      <c r="D299" s="34" t="s">
        <v>3867</v>
      </c>
      <c r="E299" s="34" t="s">
        <v>3863</v>
      </c>
      <c r="F299" s="3">
        <v>40952.041666666701</v>
      </c>
      <c r="G299" s="35">
        <f ca="1">YEAR(TODAY()) - YEAR(F299) - (IF(DATE(YEAR(TODAY()), MONTH(F299), DAY(F299)) &gt; TODAY(), 1, 0))</f>
        <v>13</v>
      </c>
      <c r="H299" cm="1">
        <f t="array" aca="1" ref="H299" ca="1">SUMPRODUCT((BRON!A299:A1494=Table1[[#This Row],[Personeelsnummer]])*(YEAR(BRON!T299:T1494)=YEAR(TODAY())))</f>
        <v>0</v>
      </c>
    </row>
    <row r="300" spans="1:8" x14ac:dyDescent="0.25">
      <c r="A300" s="34" t="s">
        <v>1328</v>
      </c>
      <c r="B300" s="34" t="s">
        <v>1637</v>
      </c>
      <c r="C300" s="34" t="s">
        <v>3999</v>
      </c>
      <c r="D300" s="34" t="s">
        <v>3853</v>
      </c>
      <c r="E300" s="34" t="s">
        <v>3871</v>
      </c>
      <c r="F300" s="3">
        <v>40973.041666666701</v>
      </c>
      <c r="G300" s="35">
        <f ca="1">YEAR(TODAY()) - YEAR(F300) - (IF(DATE(YEAR(TODAY()), MONTH(F300), DAY(F300)) &gt; TODAY(), 1, 0))</f>
        <v>13</v>
      </c>
      <c r="H300" cm="1">
        <f t="array" aca="1" ref="H300" ca="1">SUMPRODUCT((BRON!A300:A1495=Table1[[#This Row],[Personeelsnummer]])*(YEAR(BRON!T300:T1495)=YEAR(TODAY())))</f>
        <v>0</v>
      </c>
    </row>
    <row r="301" spans="1:8" x14ac:dyDescent="0.25">
      <c r="A301" s="34" t="s">
        <v>2159</v>
      </c>
      <c r="B301" s="34" t="s">
        <v>2158</v>
      </c>
      <c r="C301" s="34" t="s">
        <v>4006</v>
      </c>
      <c r="D301" s="34" t="s">
        <v>3853</v>
      </c>
      <c r="E301" s="34" t="s">
        <v>3866</v>
      </c>
      <c r="F301" s="3">
        <v>41680.041666666701</v>
      </c>
      <c r="G301" s="35">
        <f ca="1">YEAR(TODAY()) - YEAR(F301) - (IF(DATE(YEAR(TODAY()), MONTH(F301), DAY(F301)) &gt; TODAY(), 1, 0))</f>
        <v>11</v>
      </c>
      <c r="H301" cm="1">
        <f t="array" aca="1" ref="H301" ca="1">SUMPRODUCT((BRON!A301:A1496=Table1[[#This Row],[Personeelsnummer]])*(YEAR(BRON!T301:T1496)=YEAR(TODAY())))</f>
        <v>0</v>
      </c>
    </row>
    <row r="302" spans="1:8" x14ac:dyDescent="0.25">
      <c r="A302" s="34" t="s">
        <v>3339</v>
      </c>
      <c r="B302" s="34" t="s">
        <v>3338</v>
      </c>
      <c r="C302" s="34" t="s">
        <v>4017</v>
      </c>
      <c r="D302" s="34" t="s">
        <v>3867</v>
      </c>
      <c r="E302" s="34" t="s">
        <v>3864</v>
      </c>
      <c r="F302" s="3">
        <v>42093.083333333299</v>
      </c>
      <c r="G302" s="35">
        <f ca="1">YEAR(TODAY()) - YEAR(F302) - (IF(DATE(YEAR(TODAY()), MONTH(F302), DAY(F302)) &gt; TODAY(), 1, 0))</f>
        <v>10</v>
      </c>
      <c r="H302" cm="1">
        <f t="array" aca="1" ref="H302" ca="1">SUMPRODUCT((BRON!A302:A1497=Table1[[#This Row],[Personeelsnummer]])*(YEAR(BRON!T302:T1497)=YEAR(TODAY())))</f>
        <v>0</v>
      </c>
    </row>
    <row r="303" spans="1:8" x14ac:dyDescent="0.25">
      <c r="A303" s="34" t="s">
        <v>3358</v>
      </c>
      <c r="B303" s="34" t="s">
        <v>3357</v>
      </c>
      <c r="C303" s="34" t="s">
        <v>4020</v>
      </c>
      <c r="D303" s="34" t="s">
        <v>3860</v>
      </c>
      <c r="E303" s="34" t="s">
        <v>3863</v>
      </c>
      <c r="F303" s="3">
        <v>42198.083333333299</v>
      </c>
      <c r="G303" s="35">
        <f ca="1">YEAR(TODAY()) - YEAR(F303) - (IF(DATE(YEAR(TODAY()), MONTH(F303), DAY(F303)) &gt; TODAY(), 1, 0))</f>
        <v>10</v>
      </c>
      <c r="H303" cm="1">
        <f t="array" aca="1" ref="H303" ca="1">SUMPRODUCT((BRON!A303:A1498=Table1[[#This Row],[Personeelsnummer]])*(YEAR(BRON!T303:T1498)=YEAR(TODAY())))</f>
        <v>0</v>
      </c>
    </row>
    <row r="304" spans="1:8" x14ac:dyDescent="0.25">
      <c r="A304" s="34" t="s">
        <v>2890</v>
      </c>
      <c r="B304" s="34" t="s">
        <v>2893</v>
      </c>
      <c r="C304" s="34" t="s">
        <v>4023</v>
      </c>
      <c r="D304" s="34" t="s">
        <v>3853</v>
      </c>
      <c r="E304" s="34" t="s">
        <v>3881</v>
      </c>
      <c r="F304" s="3">
        <v>42548.083333333299</v>
      </c>
      <c r="G304" s="35">
        <f ca="1">YEAR(TODAY()) - YEAR(F304) - (IF(DATE(YEAR(TODAY()), MONTH(F304), DAY(F304)) &gt; TODAY(), 1, 0))</f>
        <v>9</v>
      </c>
      <c r="H304" cm="1">
        <f t="array" aca="1" ref="H304" ca="1">SUMPRODUCT((BRON!A304:A1499=Table1[[#This Row],[Personeelsnummer]])*(YEAR(BRON!T304:T1499)=YEAR(TODAY())))</f>
        <v>0</v>
      </c>
    </row>
    <row r="305" spans="1:8" x14ac:dyDescent="0.25">
      <c r="A305" s="34" t="s">
        <v>2972</v>
      </c>
      <c r="B305" s="34" t="s">
        <v>2978</v>
      </c>
      <c r="C305" s="34" t="s">
        <v>4029</v>
      </c>
      <c r="D305" s="34" t="s">
        <v>3853</v>
      </c>
      <c r="E305" s="34" t="s">
        <v>3870</v>
      </c>
      <c r="F305" s="3">
        <v>42674.041666666701</v>
      </c>
      <c r="G305" s="35">
        <f ca="1">YEAR(TODAY()) - YEAR(F305) - (IF(DATE(YEAR(TODAY()), MONTH(F305), DAY(F305)) &gt; TODAY(), 1, 0))</f>
        <v>9</v>
      </c>
      <c r="H305" cm="1">
        <f t="array" aca="1" ref="H305" ca="1">SUMPRODUCT((BRON!A305:A1500=Table1[[#This Row],[Personeelsnummer]])*(YEAR(BRON!T305:T1500)=YEAR(TODAY())))</f>
        <v>0</v>
      </c>
    </row>
    <row r="306" spans="1:8" x14ac:dyDescent="0.25">
      <c r="A306" s="34" t="s">
        <v>2890</v>
      </c>
      <c r="B306" s="34" t="s">
        <v>2666</v>
      </c>
      <c r="C306" s="34" t="s">
        <v>4030</v>
      </c>
      <c r="D306" s="34" t="s">
        <v>3853</v>
      </c>
      <c r="E306" s="34" t="s">
        <v>3881</v>
      </c>
      <c r="F306" s="3">
        <v>42744.041666666701</v>
      </c>
      <c r="G306" s="35">
        <f ca="1">YEAR(TODAY()) - YEAR(F306) - (IF(DATE(YEAR(TODAY()), MONTH(F306), DAY(F306)) &gt; TODAY(), 1, 0))</f>
        <v>8</v>
      </c>
      <c r="H306" cm="1">
        <f t="array" aca="1" ref="H306" ca="1">SUMPRODUCT((BRON!A306:A1501=Table1[[#This Row],[Personeelsnummer]])*(YEAR(BRON!T306:T1501)=YEAR(TODAY())))</f>
        <v>0</v>
      </c>
    </row>
    <row r="307" spans="1:8" x14ac:dyDescent="0.25">
      <c r="A307" s="34" t="s">
        <v>2964</v>
      </c>
      <c r="B307" s="34" t="s">
        <v>2963</v>
      </c>
      <c r="C307" s="34" t="s">
        <v>4048</v>
      </c>
      <c r="D307" s="34" t="s">
        <v>3853</v>
      </c>
      <c r="E307" s="34" t="s">
        <v>3870</v>
      </c>
      <c r="F307" s="3">
        <v>43193.083333333299</v>
      </c>
      <c r="G307" s="35">
        <f ca="1">YEAR(TODAY()) - YEAR(F307) - (IF(DATE(YEAR(TODAY()), MONTH(F307), DAY(F307)) &gt; TODAY(), 1, 0))</f>
        <v>7</v>
      </c>
      <c r="H307" cm="1">
        <f t="array" aca="1" ref="H307" ca="1">SUMPRODUCT((BRON!A307:A1502=Table1[[#This Row],[Personeelsnummer]])*(YEAR(BRON!T307:T1502)=YEAR(TODAY())))</f>
        <v>0</v>
      </c>
    </row>
    <row r="308" spans="1:8" x14ac:dyDescent="0.25">
      <c r="A308" s="34" t="s">
        <v>3116</v>
      </c>
      <c r="B308" s="34" t="s">
        <v>3115</v>
      </c>
      <c r="C308" s="34" t="s">
        <v>4051</v>
      </c>
      <c r="D308" s="34" t="s">
        <v>3853</v>
      </c>
      <c r="E308" s="34" t="s">
        <v>3863</v>
      </c>
      <c r="F308" s="3">
        <v>43444.041666666701</v>
      </c>
      <c r="G308" s="35">
        <f ca="1">YEAR(TODAY()) - YEAR(F308) - (IF(DATE(YEAR(TODAY()), MONTH(F308), DAY(F308)) &gt; TODAY(), 1, 0))</f>
        <v>6</v>
      </c>
      <c r="H308" cm="1">
        <f t="array" aca="1" ref="H308" ca="1">SUMPRODUCT((BRON!A308:A1503=Table1[[#This Row],[Personeelsnummer]])*(YEAR(BRON!T308:T1503)=YEAR(TODAY())))</f>
        <v>0</v>
      </c>
    </row>
    <row r="309" spans="1:8" x14ac:dyDescent="0.25">
      <c r="A309" s="34" t="s">
        <v>3038</v>
      </c>
      <c r="B309" s="34" t="s">
        <v>3037</v>
      </c>
      <c r="C309" s="34" t="s">
        <v>4063</v>
      </c>
      <c r="D309" s="34" t="s">
        <v>3853</v>
      </c>
      <c r="E309" s="34" t="s">
        <v>3870</v>
      </c>
      <c r="F309" s="3">
        <v>43710.083333333299</v>
      </c>
      <c r="G309" s="35">
        <f ca="1">YEAR(TODAY()) - YEAR(F309) - (IF(DATE(YEAR(TODAY()), MONTH(F309), DAY(F309)) &gt; TODAY(), 1, 0))</f>
        <v>6</v>
      </c>
      <c r="H309" cm="1">
        <f t="array" aca="1" ref="H309" ca="1">SUMPRODUCT((BRON!A309:A1504=Table1[[#This Row],[Personeelsnummer]])*(YEAR(BRON!T309:T1504)=YEAR(TODAY())))</f>
        <v>0</v>
      </c>
    </row>
    <row r="310" spans="1:8" x14ac:dyDescent="0.25">
      <c r="A310" s="34" t="s">
        <v>2792</v>
      </c>
      <c r="B310" s="34" t="s">
        <v>2068</v>
      </c>
      <c r="C310" s="34" t="s">
        <v>4084</v>
      </c>
      <c r="D310" s="34" t="s">
        <v>3853</v>
      </c>
      <c r="E310" s="34" t="s">
        <v>3866</v>
      </c>
      <c r="F310" s="3">
        <v>44039.083333333299</v>
      </c>
      <c r="G310" s="35">
        <f ca="1">YEAR(TODAY()) - YEAR(F310) - (IF(DATE(YEAR(TODAY()), MONTH(F310), DAY(F310)) &gt; TODAY(), 1, 0))</f>
        <v>5</v>
      </c>
      <c r="H310" cm="1">
        <f t="array" aca="1" ref="H310" ca="1">SUMPRODUCT((BRON!A310:A1505=Table1[[#This Row],[Personeelsnummer]])*(YEAR(BRON!T310:T1505)=YEAR(TODAY())))</f>
        <v>0</v>
      </c>
    </row>
    <row r="311" spans="1:8" x14ac:dyDescent="0.25">
      <c r="A311" s="34" t="s">
        <v>1647</v>
      </c>
      <c r="B311" s="34" t="s">
        <v>1646</v>
      </c>
      <c r="C311" s="34" t="s">
        <v>4093</v>
      </c>
      <c r="D311" s="34" t="s">
        <v>3853</v>
      </c>
      <c r="E311" s="34" t="s">
        <v>3870</v>
      </c>
      <c r="F311" s="3">
        <v>44284.083333333299</v>
      </c>
      <c r="G311" s="35">
        <f ca="1">YEAR(TODAY()) - YEAR(F311) - (IF(DATE(YEAR(TODAY()), MONTH(F311), DAY(F311)) &gt; TODAY(), 1, 0))</f>
        <v>4</v>
      </c>
      <c r="H311" cm="1">
        <f t="array" aca="1" ref="H311" ca="1">SUMPRODUCT((BRON!A311:A1506=Table1[[#This Row],[Personeelsnummer]])*(YEAR(BRON!T311:T1506)=YEAR(TODAY())))</f>
        <v>0</v>
      </c>
    </row>
    <row r="312" spans="1:8" x14ac:dyDescent="0.25">
      <c r="A312" s="34" t="s">
        <v>3446</v>
      </c>
      <c r="B312" s="34" t="s">
        <v>3445</v>
      </c>
      <c r="C312" s="34" t="s">
        <v>4096</v>
      </c>
      <c r="D312" s="34" t="s">
        <v>3853</v>
      </c>
      <c r="E312" s="34" t="s">
        <v>3864</v>
      </c>
      <c r="F312" s="3">
        <v>44305.083333333299</v>
      </c>
      <c r="G312" s="35">
        <f ca="1">YEAR(TODAY()) - YEAR(F312) - (IF(DATE(YEAR(TODAY()), MONTH(F312), DAY(F312)) &gt; TODAY(), 1, 0))</f>
        <v>4</v>
      </c>
      <c r="H312" cm="1">
        <f t="array" aca="1" ref="H312" ca="1">SUMPRODUCT((BRON!A312:A1507=Table1[[#This Row],[Personeelsnummer]])*(YEAR(BRON!T312:T1507)=YEAR(TODAY())))</f>
        <v>0</v>
      </c>
    </row>
    <row r="313" spans="1:8" x14ac:dyDescent="0.25">
      <c r="A313" s="34" t="s">
        <v>3220</v>
      </c>
      <c r="B313" s="34" t="s">
        <v>3219</v>
      </c>
      <c r="C313" s="34" t="s">
        <v>4099</v>
      </c>
      <c r="D313" s="34" t="s">
        <v>3853</v>
      </c>
      <c r="E313" s="34" t="s">
        <v>3864</v>
      </c>
      <c r="F313" s="3">
        <v>44298.083333333299</v>
      </c>
      <c r="G313" s="35">
        <f ca="1">YEAR(TODAY()) - YEAR(F313) - (IF(DATE(YEAR(TODAY()), MONTH(F313), DAY(F313)) &gt; TODAY(), 1, 0))</f>
        <v>4</v>
      </c>
      <c r="H313" cm="1">
        <f t="array" aca="1" ref="H313" ca="1">SUMPRODUCT((BRON!A313:A1508=Table1[[#This Row],[Personeelsnummer]])*(YEAR(BRON!T313:T1508)=YEAR(TODAY())))</f>
        <v>0</v>
      </c>
    </row>
    <row r="314" spans="1:8" x14ac:dyDescent="0.25">
      <c r="A314" s="34" t="s">
        <v>3195</v>
      </c>
      <c r="B314" s="34" t="s">
        <v>3194</v>
      </c>
      <c r="C314" s="34" t="s">
        <v>4102</v>
      </c>
      <c r="D314" s="34" t="s">
        <v>3853</v>
      </c>
      <c r="E314" s="34" t="s">
        <v>3874</v>
      </c>
      <c r="F314" s="3">
        <v>44333.083333333299</v>
      </c>
      <c r="G314" s="35">
        <f ca="1">YEAR(TODAY()) - YEAR(F314) - (IF(DATE(YEAR(TODAY()), MONTH(F314), DAY(F314)) &gt; TODAY(), 1, 0))</f>
        <v>4</v>
      </c>
      <c r="H314" cm="1">
        <f t="array" aca="1" ref="H314" ca="1">SUMPRODUCT((BRON!A314:A1509=Table1[[#This Row],[Personeelsnummer]])*(YEAR(BRON!T314:T1509)=YEAR(TODAY())))</f>
        <v>0</v>
      </c>
    </row>
    <row r="315" spans="1:8" x14ac:dyDescent="0.25">
      <c r="A315" s="34" t="s">
        <v>2394</v>
      </c>
      <c r="B315" s="34" t="s">
        <v>2397</v>
      </c>
      <c r="C315" s="34" t="s">
        <v>4108</v>
      </c>
      <c r="D315" s="34" t="s">
        <v>3860</v>
      </c>
      <c r="E315" s="34" t="s">
        <v>3881</v>
      </c>
      <c r="F315" s="3">
        <v>44375.083333333299</v>
      </c>
      <c r="G315" s="35">
        <f ca="1">YEAR(TODAY()) - YEAR(F315) - (IF(DATE(YEAR(TODAY()), MONTH(F315), DAY(F315)) &gt; TODAY(), 1, 0))</f>
        <v>4</v>
      </c>
      <c r="H315" cm="1">
        <f t="array" aca="1" ref="H315" ca="1">SUMPRODUCT((BRON!A315:A1510=Table1[[#This Row],[Personeelsnummer]])*(YEAR(BRON!T315:T1510)=YEAR(TODAY())))</f>
        <v>0</v>
      </c>
    </row>
    <row r="316" spans="1:8" x14ac:dyDescent="0.25">
      <c r="A316" s="34" t="s">
        <v>2702</v>
      </c>
      <c r="B316" s="34" t="s">
        <v>2701</v>
      </c>
      <c r="C316" s="34" t="s">
        <v>4111</v>
      </c>
      <c r="D316" s="34" t="s">
        <v>3853</v>
      </c>
      <c r="E316" s="34" t="s">
        <v>3854</v>
      </c>
      <c r="F316" s="3">
        <v>44417.083333333299</v>
      </c>
      <c r="G316" s="35">
        <f ca="1">YEAR(TODAY()) - YEAR(F316) - (IF(DATE(YEAR(TODAY()), MONTH(F316), DAY(F316)) &gt; TODAY(), 1, 0))</f>
        <v>4</v>
      </c>
      <c r="H316" cm="1">
        <f t="array" aca="1" ref="H316" ca="1">SUMPRODUCT((BRON!A316:A1511=Table1[[#This Row],[Personeelsnummer]])*(YEAR(BRON!T316:T1511)=YEAR(TODAY())))</f>
        <v>0</v>
      </c>
    </row>
    <row r="317" spans="1:8" x14ac:dyDescent="0.25">
      <c r="A317" s="34" t="s">
        <v>3435</v>
      </c>
      <c r="B317" s="34" t="s">
        <v>3434</v>
      </c>
      <c r="C317" s="34" t="s">
        <v>4112</v>
      </c>
      <c r="D317" s="34" t="s">
        <v>3853</v>
      </c>
      <c r="E317" s="34" t="s">
        <v>3881</v>
      </c>
      <c r="F317" s="3">
        <v>44431.083333333299</v>
      </c>
      <c r="G317" s="35">
        <f ca="1">YEAR(TODAY()) - YEAR(F317) - (IF(DATE(YEAR(TODAY()), MONTH(F317), DAY(F317)) &gt; TODAY(), 1, 0))</f>
        <v>4</v>
      </c>
      <c r="H317" cm="1">
        <f t="array" aca="1" ref="H317" ca="1">SUMPRODUCT((BRON!A317:A1512=Table1[[#This Row],[Personeelsnummer]])*(YEAR(BRON!T317:T1512)=YEAR(TODAY())))</f>
        <v>0</v>
      </c>
    </row>
    <row r="318" spans="1:8" x14ac:dyDescent="0.25">
      <c r="A318" s="34" t="s">
        <v>1869</v>
      </c>
      <c r="B318" s="34" t="s">
        <v>1868</v>
      </c>
      <c r="C318" s="34" t="s">
        <v>4123</v>
      </c>
      <c r="D318" s="34" t="s">
        <v>3853</v>
      </c>
      <c r="E318" s="34" t="s">
        <v>3866</v>
      </c>
      <c r="F318" s="3">
        <v>44655.083333333299</v>
      </c>
      <c r="G318" s="35">
        <f ca="1">YEAR(TODAY()) - YEAR(F318) - (IF(DATE(YEAR(TODAY()), MONTH(F318), DAY(F318)) &gt; TODAY(), 1, 0))</f>
        <v>3</v>
      </c>
      <c r="H318" cm="1">
        <f t="array" aca="1" ref="H318" ca="1">SUMPRODUCT((BRON!A318:A1513=Table1[[#This Row],[Personeelsnummer]])*(YEAR(BRON!T318:T1513)=YEAR(TODAY())))</f>
        <v>0</v>
      </c>
    </row>
    <row r="319" spans="1:8" x14ac:dyDescent="0.25">
      <c r="A319" s="34" t="s">
        <v>1797</v>
      </c>
      <c r="B319" s="34" t="s">
        <v>1796</v>
      </c>
      <c r="C319" s="34" t="s">
        <v>4126</v>
      </c>
      <c r="D319" s="34" t="s">
        <v>3853</v>
      </c>
      <c r="E319" s="34" t="s">
        <v>3864</v>
      </c>
      <c r="F319" s="3">
        <v>44670.083333333299</v>
      </c>
      <c r="G319" s="35">
        <f ca="1">YEAR(TODAY()) - YEAR(F319) - (IF(DATE(YEAR(TODAY()), MONTH(F319), DAY(F319)) &gt; TODAY(), 1, 0))</f>
        <v>3</v>
      </c>
      <c r="H319" cm="1">
        <f t="array" aca="1" ref="H319" ca="1">SUMPRODUCT((BRON!A319:A1514=Table1[[#This Row],[Personeelsnummer]])*(YEAR(BRON!T319:T1514)=YEAR(TODAY())))</f>
        <v>0</v>
      </c>
    </row>
    <row r="320" spans="1:8" x14ac:dyDescent="0.25">
      <c r="A320" s="34" t="s">
        <v>2462</v>
      </c>
      <c r="B320" s="34" t="s">
        <v>1557</v>
      </c>
      <c r="C320" s="34" t="s">
        <v>4136</v>
      </c>
      <c r="D320" s="34" t="s">
        <v>3860</v>
      </c>
      <c r="E320" s="34" t="s">
        <v>3874</v>
      </c>
      <c r="F320" s="3">
        <v>44809.083333333299</v>
      </c>
      <c r="G320" s="35">
        <f ca="1">YEAR(TODAY()) - YEAR(F320) - (IF(DATE(YEAR(TODAY()), MONTH(F320), DAY(F320)) &gt; TODAY(), 1, 0))</f>
        <v>3</v>
      </c>
      <c r="H320" cm="1">
        <f t="array" aca="1" ref="H320" ca="1">SUMPRODUCT((BRON!A320:A1515=Table1[[#This Row],[Personeelsnummer]])*(YEAR(BRON!T320:T1515)=YEAR(TODAY())))</f>
        <v>0</v>
      </c>
    </row>
    <row r="321" spans="1:8" x14ac:dyDescent="0.25">
      <c r="A321" s="34" t="s">
        <v>3181</v>
      </c>
      <c r="B321" s="34" t="s">
        <v>3184</v>
      </c>
      <c r="C321" s="34" t="s">
        <v>4139</v>
      </c>
      <c r="D321" s="34" t="s">
        <v>3860</v>
      </c>
      <c r="E321" s="34" t="s">
        <v>3881</v>
      </c>
      <c r="F321" s="3">
        <v>44809.083333333299</v>
      </c>
      <c r="G321" s="35">
        <f ca="1">YEAR(TODAY()) - YEAR(F321) - (IF(DATE(YEAR(TODAY()), MONTH(F321), DAY(F321)) &gt; TODAY(), 1, 0))</f>
        <v>3</v>
      </c>
      <c r="H321" cm="1">
        <f t="array" aca="1" ref="H321" ca="1">SUMPRODUCT((BRON!A321:A1516=Table1[[#This Row],[Personeelsnummer]])*(YEAR(BRON!T321:T1516)=YEAR(TODAY())))</f>
        <v>0</v>
      </c>
    </row>
    <row r="322" spans="1:8" x14ac:dyDescent="0.25">
      <c r="A322" s="34" t="s">
        <v>2245</v>
      </c>
      <c r="B322" s="34" t="s">
        <v>2244</v>
      </c>
      <c r="C322" s="34" t="s">
        <v>4149</v>
      </c>
      <c r="D322" s="34" t="s">
        <v>3860</v>
      </c>
      <c r="E322" s="34" t="s">
        <v>3871</v>
      </c>
      <c r="F322" s="3">
        <v>44970.041666666701</v>
      </c>
      <c r="G322" s="35">
        <f ca="1">YEAR(TODAY()) - YEAR(F322) - (IF(DATE(YEAR(TODAY()), MONTH(F322), DAY(F322)) &gt; TODAY(), 1, 0))</f>
        <v>2</v>
      </c>
      <c r="H322" cm="1">
        <f t="array" aca="1" ref="H322" ca="1">SUMPRODUCT((BRON!A322:A1517=Table1[[#This Row],[Personeelsnummer]])*(YEAR(BRON!T322:T1517)=YEAR(TODAY())))</f>
        <v>0</v>
      </c>
    </row>
    <row r="323" spans="1:8" x14ac:dyDescent="0.25">
      <c r="A323" s="34" t="s">
        <v>1384</v>
      </c>
      <c r="B323" s="34" t="s">
        <v>1383</v>
      </c>
      <c r="C323" s="34" t="s">
        <v>4150</v>
      </c>
      <c r="D323" s="34" t="s">
        <v>3853</v>
      </c>
      <c r="E323" s="34" t="s">
        <v>3864</v>
      </c>
      <c r="F323" s="3">
        <v>45012.083333333299</v>
      </c>
      <c r="G323" s="35">
        <f ca="1">YEAR(TODAY()) - YEAR(F323) - (IF(DATE(YEAR(TODAY()), MONTH(F323), DAY(F323)) &gt; TODAY(), 1, 0))</f>
        <v>2</v>
      </c>
      <c r="H323" cm="1">
        <f t="array" aca="1" ref="H323" ca="1">SUMPRODUCT((BRON!A323:A1518=Table1[[#This Row],[Personeelsnummer]])*(YEAR(BRON!T323:T1518)=YEAR(TODAY())))</f>
        <v>0</v>
      </c>
    </row>
    <row r="324" spans="1:8" x14ac:dyDescent="0.25">
      <c r="A324" s="34" t="s">
        <v>1706</v>
      </c>
      <c r="B324" s="34" t="s">
        <v>1705</v>
      </c>
      <c r="C324" s="34" t="s">
        <v>4152</v>
      </c>
      <c r="D324" s="34" t="s">
        <v>3860</v>
      </c>
      <c r="E324" s="34" t="s">
        <v>3871</v>
      </c>
      <c r="F324" s="3">
        <v>45027.083333333299</v>
      </c>
      <c r="G324" s="35">
        <f ca="1">YEAR(TODAY()) - YEAR(F324) - (IF(DATE(YEAR(TODAY()), MONTH(F324), DAY(F324)) &gt; TODAY(), 1, 0))</f>
        <v>2</v>
      </c>
      <c r="H324" cm="1">
        <f t="array" aca="1" ref="H324" ca="1">SUMPRODUCT((BRON!A324:A1519=Table1[[#This Row],[Personeelsnummer]])*(YEAR(BRON!T324:T1519)=YEAR(TODAY())))</f>
        <v>0</v>
      </c>
    </row>
    <row r="325" spans="1:8" x14ac:dyDescent="0.25">
      <c r="A325" s="34" t="s">
        <v>2770</v>
      </c>
      <c r="B325" s="34" t="s">
        <v>2769</v>
      </c>
      <c r="C325" s="34" t="s">
        <v>4159</v>
      </c>
      <c r="D325" s="34" t="s">
        <v>3860</v>
      </c>
      <c r="E325" s="34" t="s">
        <v>3871</v>
      </c>
      <c r="F325" s="3">
        <v>45076.083333333299</v>
      </c>
      <c r="G325" s="35">
        <f ca="1">YEAR(TODAY()) - YEAR(F325) - (IF(DATE(YEAR(TODAY()), MONTH(F325), DAY(F325)) &gt; TODAY(), 1, 0))</f>
        <v>2</v>
      </c>
      <c r="H325" cm="1">
        <f t="array" aca="1" ref="H325" ca="1">SUMPRODUCT((BRON!A325:A1520=Table1[[#This Row],[Personeelsnummer]])*(YEAR(BRON!T325:T1520)=YEAR(TODAY())))</f>
        <v>0</v>
      </c>
    </row>
    <row r="326" spans="1:8" x14ac:dyDescent="0.25">
      <c r="A326" s="34" t="s">
        <v>2390</v>
      </c>
      <c r="B326" s="34" t="s">
        <v>2389</v>
      </c>
      <c r="C326" s="34" t="s">
        <v>4160</v>
      </c>
      <c r="D326" s="34" t="s">
        <v>3860</v>
      </c>
      <c r="E326" s="34" t="s">
        <v>3864</v>
      </c>
      <c r="F326" s="3">
        <v>45076.083333333299</v>
      </c>
      <c r="G326" s="35">
        <f ca="1">YEAR(TODAY()) - YEAR(F326) - (IF(DATE(YEAR(TODAY()), MONTH(F326), DAY(F326)) &gt; TODAY(), 1, 0))</f>
        <v>2</v>
      </c>
      <c r="H326" cm="1">
        <f t="array" aca="1" ref="H326" ca="1">SUMPRODUCT((BRON!A326:A1521=Table1[[#This Row],[Personeelsnummer]])*(YEAR(BRON!T326:T1521)=YEAR(TODAY())))</f>
        <v>0</v>
      </c>
    </row>
    <row r="327" spans="1:8" x14ac:dyDescent="0.25">
      <c r="A327" s="34" t="s">
        <v>3395</v>
      </c>
      <c r="B327" s="34" t="s">
        <v>3394</v>
      </c>
      <c r="C327" s="34" t="s">
        <v>4163</v>
      </c>
      <c r="D327" s="34" t="s">
        <v>3860</v>
      </c>
      <c r="E327" s="34" t="s">
        <v>3871</v>
      </c>
      <c r="F327" s="3">
        <v>45090.083333333299</v>
      </c>
      <c r="G327" s="35">
        <f ca="1">YEAR(TODAY()) - YEAR(F327) - (IF(DATE(YEAR(TODAY()), MONTH(F327), DAY(F327)) &gt; TODAY(), 1, 0))</f>
        <v>2</v>
      </c>
      <c r="H327" cm="1">
        <f t="array" aca="1" ref="H327" ca="1">SUMPRODUCT((BRON!A327:A1522=Table1[[#This Row],[Personeelsnummer]])*(YEAR(BRON!T327:T1522)=YEAR(TODAY())))</f>
        <v>0</v>
      </c>
    </row>
    <row r="328" spans="1:8" x14ac:dyDescent="0.25">
      <c r="A328" s="34" t="s">
        <v>3177</v>
      </c>
      <c r="B328" s="34" t="s">
        <v>3176</v>
      </c>
      <c r="C328" s="34" t="s">
        <v>4201</v>
      </c>
      <c r="D328" s="34" t="s">
        <v>3860</v>
      </c>
      <c r="E328" s="34" t="s">
        <v>3863</v>
      </c>
      <c r="F328" s="3">
        <v>45321.041666666701</v>
      </c>
      <c r="G328" s="35">
        <f ca="1">YEAR(TODAY()) - YEAR(F328) - (IF(DATE(YEAR(TODAY()), MONTH(F328), DAY(F328)) &gt; TODAY(), 1, 0))</f>
        <v>1</v>
      </c>
      <c r="H328" cm="1">
        <f t="array" aca="1" ref="H328" ca="1">SUMPRODUCT((BRON!A328:A1523=Table1[[#This Row],[Personeelsnummer]])*(YEAR(BRON!T328:T1523)=YEAR(TODAY())))</f>
        <v>0</v>
      </c>
    </row>
    <row r="329" spans="1:8" x14ac:dyDescent="0.25">
      <c r="A329" s="34" t="s">
        <v>1422</v>
      </c>
      <c r="B329" s="34" t="s">
        <v>1421</v>
      </c>
      <c r="C329" s="34" t="s">
        <v>4207</v>
      </c>
      <c r="D329" s="34" t="s">
        <v>3860</v>
      </c>
      <c r="E329" s="34" t="s">
        <v>3863</v>
      </c>
      <c r="F329" s="3">
        <v>45394.083333333299</v>
      </c>
      <c r="G329" s="35">
        <f ca="1">YEAR(TODAY()) - YEAR(F329) - (IF(DATE(YEAR(TODAY()), MONTH(F329), DAY(F329)) &gt; TODAY(), 1, 0))</f>
        <v>1</v>
      </c>
      <c r="H329" cm="1">
        <f t="array" aca="1" ref="H329" ca="1">SUMPRODUCT((BRON!A329:A1524=Table1[[#This Row],[Personeelsnummer]])*(YEAR(BRON!T329:T1524)=YEAR(TODAY())))</f>
        <v>0</v>
      </c>
    </row>
    <row r="330" spans="1:8" x14ac:dyDescent="0.25">
      <c r="A330" s="34" t="s">
        <v>1701</v>
      </c>
      <c r="B330" s="34" t="s">
        <v>3163</v>
      </c>
      <c r="C330" s="34" t="s">
        <v>4210</v>
      </c>
      <c r="D330" s="34" t="s">
        <v>3860</v>
      </c>
      <c r="E330" s="34" t="s">
        <v>3854</v>
      </c>
      <c r="F330" s="3">
        <v>45394.083333333299</v>
      </c>
      <c r="G330" s="35">
        <f ca="1">YEAR(TODAY()) - YEAR(F330) - (IF(DATE(YEAR(TODAY()), MONTH(F330), DAY(F330)) &gt; TODAY(), 1, 0))</f>
        <v>1</v>
      </c>
      <c r="H330" cm="1">
        <f t="array" aca="1" ref="H330" ca="1">SUMPRODUCT((BRON!A330:A1525=Table1[[#This Row],[Personeelsnummer]])*(YEAR(BRON!T330:T1525)=YEAR(TODAY())))</f>
        <v>0</v>
      </c>
    </row>
    <row r="331" spans="1:8" x14ac:dyDescent="0.25">
      <c r="A331" s="34" t="s">
        <v>2199</v>
      </c>
      <c r="B331" s="34" t="s">
        <v>2198</v>
      </c>
      <c r="C331" s="34" t="s">
        <v>4212</v>
      </c>
      <c r="D331" s="34" t="s">
        <v>3860</v>
      </c>
      <c r="E331" s="34" t="s">
        <v>3881</v>
      </c>
      <c r="F331" s="3">
        <v>45481.083333333299</v>
      </c>
      <c r="G331" s="35">
        <f ca="1">YEAR(TODAY()) - YEAR(F331) - (IF(DATE(YEAR(TODAY()), MONTH(F331), DAY(F331)) &gt; TODAY(), 1, 0))</f>
        <v>1</v>
      </c>
      <c r="H331" cm="1">
        <f t="array" aca="1" ref="H331" ca="1">SUMPRODUCT((BRON!A331:A1526=Table1[[#This Row],[Personeelsnummer]])*(YEAR(BRON!T331:T1526)=YEAR(TODAY())))</f>
        <v>0</v>
      </c>
    </row>
    <row r="332" spans="1:8" x14ac:dyDescent="0.25">
      <c r="A332" s="34" t="s">
        <v>1722</v>
      </c>
      <c r="B332" s="34" t="s">
        <v>1721</v>
      </c>
      <c r="C332" s="34" t="s">
        <v>4229</v>
      </c>
      <c r="D332" s="34" t="s">
        <v>3860</v>
      </c>
      <c r="E332" s="34" t="s">
        <v>3854</v>
      </c>
      <c r="F332" s="3">
        <v>45530.083333333299</v>
      </c>
      <c r="G332" s="35">
        <f ca="1">YEAR(TODAY()) - YEAR(F332) - (IF(DATE(YEAR(TODAY()), MONTH(F332), DAY(F332)) &gt; TODAY(), 1, 0))</f>
        <v>1</v>
      </c>
      <c r="H332" cm="1">
        <f t="array" aca="1" ref="H332" ca="1">SUMPRODUCT((BRON!A332:A1527=Table1[[#This Row],[Personeelsnummer]])*(YEAR(BRON!T332:T1527)=YEAR(TODAY())))</f>
        <v>0</v>
      </c>
    </row>
    <row r="333" spans="1:8" x14ac:dyDescent="0.25">
      <c r="A333" s="34" t="s">
        <v>1444</v>
      </c>
      <c r="B333" s="34" t="s">
        <v>1443</v>
      </c>
      <c r="C333" s="34" t="s">
        <v>4240</v>
      </c>
      <c r="D333" s="34" t="s">
        <v>3860</v>
      </c>
      <c r="E333" s="34" t="s">
        <v>3881</v>
      </c>
      <c r="F333" s="3">
        <v>45663.041666666701</v>
      </c>
      <c r="G333" s="35">
        <f ca="1">YEAR(TODAY()) - YEAR(F333) - (IF(DATE(YEAR(TODAY()), MONTH(F333), DAY(F333)) &gt; TODAY(), 1, 0))</f>
        <v>0</v>
      </c>
      <c r="H333" cm="1">
        <f t="array" aca="1" ref="H333" ca="1">SUMPRODUCT((BRON!A333:A1528=Table1[[#This Row],[Personeelsnummer]])*(YEAR(BRON!T333:T1528)=YEAR(TODAY())))</f>
        <v>0</v>
      </c>
    </row>
    <row r="334" spans="1:8" x14ac:dyDescent="0.25">
      <c r="A334" s="34" t="s">
        <v>2023</v>
      </c>
      <c r="B334" s="34" t="s">
        <v>2022</v>
      </c>
      <c r="C334" s="34" t="s">
        <v>4245</v>
      </c>
      <c r="D334" s="34" t="s">
        <v>3860</v>
      </c>
      <c r="E334" s="34" t="s">
        <v>3864</v>
      </c>
      <c r="F334" s="3">
        <v>45735.041666666701</v>
      </c>
      <c r="G334" s="35">
        <f ca="1">YEAR(TODAY()) - YEAR(F334) - (IF(DATE(YEAR(TODAY()), MONTH(F334), DAY(F334)) &gt; TODAY(), 1, 0))</f>
        <v>0</v>
      </c>
      <c r="H334" cm="1">
        <f t="array" aca="1" ref="H334" ca="1">SUMPRODUCT((BRON!A334:A1529=Table1[[#This Row],[Personeelsnummer]])*(YEAR(BRON!T334:T1529)=YEAR(TODAY())))</f>
        <v>0</v>
      </c>
    </row>
    <row r="335" spans="1:8" x14ac:dyDescent="0.25">
      <c r="A335" s="34" t="s">
        <v>3306</v>
      </c>
      <c r="B335" s="34" t="s">
        <v>3305</v>
      </c>
      <c r="C335" s="34" t="s">
        <v>4246</v>
      </c>
      <c r="D335" s="34" t="s">
        <v>3860</v>
      </c>
      <c r="E335" s="34" t="s">
        <v>3863</v>
      </c>
      <c r="F335" s="3">
        <v>45720.041666666701</v>
      </c>
      <c r="G335" s="35">
        <f ca="1">YEAR(TODAY()) - YEAR(F335) - (IF(DATE(YEAR(TODAY()), MONTH(F335), DAY(F335)) &gt; TODAY(), 1, 0))</f>
        <v>0</v>
      </c>
      <c r="H335" cm="1">
        <f t="array" aca="1" ref="H335" ca="1">SUMPRODUCT((BRON!A335:A1530=Table1[[#This Row],[Personeelsnummer]])*(YEAR(BRON!T335:T1530)=YEAR(TODAY())))</f>
        <v>0</v>
      </c>
    </row>
    <row r="336" spans="1:8" x14ac:dyDescent="0.25">
      <c r="A336" s="34" t="s">
        <v>2011</v>
      </c>
      <c r="B336" s="34" t="s">
        <v>2010</v>
      </c>
      <c r="C336" s="34" t="s">
        <v>4248</v>
      </c>
      <c r="D336" s="34" t="s">
        <v>3860</v>
      </c>
      <c r="E336" s="34" t="s">
        <v>3864</v>
      </c>
      <c r="F336" s="3">
        <v>45770.083333333299</v>
      </c>
      <c r="G336" s="35">
        <f ca="1">YEAR(TODAY()) - YEAR(F336) - (IF(DATE(YEAR(TODAY()), MONTH(F336), DAY(F336)) &gt; TODAY(), 1, 0))</f>
        <v>0</v>
      </c>
      <c r="H336" cm="1">
        <f t="array" aca="1" ref="H336" ca="1">SUMPRODUCT((BRON!A336:A1531=Table1[[#This Row],[Personeelsnummer]])*(YEAR(BRON!T336:T1531)=YEAR(TODAY())))</f>
        <v>0</v>
      </c>
    </row>
    <row r="337" spans="1:8" x14ac:dyDescent="0.25">
      <c r="A337" s="34" t="s">
        <v>3181</v>
      </c>
      <c r="B337" s="34" t="s">
        <v>3180</v>
      </c>
      <c r="C337" s="34" t="s">
        <v>4257</v>
      </c>
      <c r="D337" s="34" t="s">
        <v>3860</v>
      </c>
      <c r="E337" s="34" t="s">
        <v>3881</v>
      </c>
      <c r="F337" s="3">
        <v>45814.083333333299</v>
      </c>
      <c r="G337" s="35">
        <f ca="1">YEAR(TODAY()) - YEAR(F337) - (IF(DATE(YEAR(TODAY()), MONTH(F337), DAY(F337)) &gt; TODAY(), 1, 0))</f>
        <v>0</v>
      </c>
      <c r="H337" cm="1">
        <f t="array" aca="1" ref="H337" ca="1">SUMPRODUCT((BRON!A337:A1532=Table1[[#This Row],[Personeelsnummer]])*(YEAR(BRON!T337:T1532)=YEAR(TODAY())))</f>
        <v>0</v>
      </c>
    </row>
    <row r="338" spans="1:8" x14ac:dyDescent="0.25">
      <c r="A338" s="34" t="s">
        <v>2520</v>
      </c>
      <c r="B338" s="34" t="s">
        <v>2519</v>
      </c>
      <c r="C338" s="34" t="s">
        <v>4268</v>
      </c>
      <c r="D338" s="34" t="s">
        <v>3860</v>
      </c>
      <c r="E338" s="34" t="s">
        <v>3874</v>
      </c>
      <c r="F338" s="3">
        <v>45874.083333333299</v>
      </c>
      <c r="G338" s="35">
        <f ca="1">YEAR(TODAY()) - YEAR(F338) - (IF(DATE(YEAR(TODAY()), MONTH(F338), DAY(F338)) &gt; TODAY(), 1, 0))</f>
        <v>0</v>
      </c>
      <c r="H338" cm="1">
        <f t="array" aca="1" ref="H338" ca="1">SUMPRODUCT((BRON!A338:A1533=Table1[[#This Row],[Personeelsnummer]])*(YEAR(BRON!T338:T1533)=YEAR(TODAY())))</f>
        <v>0</v>
      </c>
    </row>
    <row r="339" spans="1:8" x14ac:dyDescent="0.25">
      <c r="A339" s="34" t="s">
        <v>2968</v>
      </c>
      <c r="B339" s="34" t="s">
        <v>2967</v>
      </c>
      <c r="C339" s="34" t="s">
        <v>3865</v>
      </c>
      <c r="D339" s="34" t="s">
        <v>3860</v>
      </c>
      <c r="E339" s="34" t="s">
        <v>3866</v>
      </c>
      <c r="F339" s="3">
        <v>32223.041666666701</v>
      </c>
      <c r="G339" s="35">
        <f ca="1">YEAR(TODAY()) - YEAR(F339) - (IF(DATE(YEAR(TODAY()), MONTH(F339), DAY(F339)) &gt; TODAY(), 1, 0))</f>
        <v>37</v>
      </c>
      <c r="H339" cm="1">
        <f t="array" aca="1" ref="H339" ca="1">SUMPRODUCT((BRON!A339:A1534=Table1[[#This Row],[Personeelsnummer]])*(YEAR(BRON!T339:T1534)=YEAR(TODAY())))</f>
        <v>0</v>
      </c>
    </row>
    <row r="340" spans="1:8" x14ac:dyDescent="0.25">
      <c r="A340" s="34" t="s">
        <v>3329</v>
      </c>
      <c r="B340" s="34" t="s">
        <v>3328</v>
      </c>
      <c r="C340" s="34" t="s">
        <v>3883</v>
      </c>
      <c r="D340" s="34" t="s">
        <v>3867</v>
      </c>
      <c r="E340" s="34" t="s">
        <v>3866</v>
      </c>
      <c r="F340" s="3">
        <v>35219.083333333299</v>
      </c>
      <c r="G340" s="35">
        <f ca="1">YEAR(TODAY()) - YEAR(F340) - (IF(DATE(YEAR(TODAY()), MONTH(F340), DAY(F340)) &gt; TODAY(), 1, 0))</f>
        <v>29</v>
      </c>
      <c r="H340" cm="1">
        <f t="array" aca="1" ref="H340" ca="1">SUMPRODUCT((BRON!A340:A1535=Table1[[#This Row],[Personeelsnummer]])*(YEAR(BRON!T340:T1535)=YEAR(TODAY())))</f>
        <v>0</v>
      </c>
    </row>
    <row r="341" spans="1:8" x14ac:dyDescent="0.25">
      <c r="A341" s="34" t="s">
        <v>2850</v>
      </c>
      <c r="B341" s="34" t="s">
        <v>1816</v>
      </c>
      <c r="C341" s="34" t="s">
        <v>3898</v>
      </c>
      <c r="D341" s="34" t="s">
        <v>3867</v>
      </c>
      <c r="E341" s="34" t="s">
        <v>3864</v>
      </c>
      <c r="F341" s="3">
        <v>36332.083333333299</v>
      </c>
      <c r="G341" s="35">
        <f ca="1">YEAR(TODAY()) - YEAR(F341) - (IF(DATE(YEAR(TODAY()), MONTH(F341), DAY(F341)) &gt; TODAY(), 1, 0))</f>
        <v>26</v>
      </c>
      <c r="H341" cm="1">
        <f t="array" aca="1" ref="H341" ca="1">SUMPRODUCT((BRON!A341:A1536=Table1[[#This Row],[Personeelsnummer]])*(YEAR(BRON!T341:T1536)=YEAR(TODAY())))</f>
        <v>0</v>
      </c>
    </row>
    <row r="342" spans="1:8" x14ac:dyDescent="0.25">
      <c r="A342" s="34" t="s">
        <v>2524</v>
      </c>
      <c r="B342" s="34" t="s">
        <v>2527</v>
      </c>
      <c r="C342" s="34" t="s">
        <v>3941</v>
      </c>
      <c r="D342" s="34" t="s">
        <v>3853</v>
      </c>
      <c r="E342" s="34" t="s">
        <v>3866</v>
      </c>
      <c r="F342" s="3">
        <v>38852.083333333299</v>
      </c>
      <c r="G342" s="35">
        <f ca="1">YEAR(TODAY()) - YEAR(F342) - (IF(DATE(YEAR(TODAY()), MONTH(F342), DAY(F342)) &gt; TODAY(), 1, 0))</f>
        <v>19</v>
      </c>
      <c r="H342" cm="1">
        <f t="array" aca="1" ref="H342" ca="1">SUMPRODUCT((BRON!A342:A1537=Table1[[#This Row],[Personeelsnummer]])*(YEAR(BRON!T342:T1537)=YEAR(TODAY())))</f>
        <v>0</v>
      </c>
    </row>
    <row r="343" spans="1:8" x14ac:dyDescent="0.25">
      <c r="A343" s="34" t="s">
        <v>1666</v>
      </c>
      <c r="B343" s="34" t="s">
        <v>1665</v>
      </c>
      <c r="C343" s="34" t="s">
        <v>3978</v>
      </c>
      <c r="D343" s="34" t="s">
        <v>3857</v>
      </c>
      <c r="E343" s="34" t="s">
        <v>3874</v>
      </c>
      <c r="F343" s="3">
        <v>40385.083333333299</v>
      </c>
      <c r="G343" s="35">
        <f ca="1">YEAR(TODAY()) - YEAR(F343) - (IF(DATE(YEAR(TODAY()), MONTH(F343), DAY(F343)) &gt; TODAY(), 1, 0))</f>
        <v>15</v>
      </c>
      <c r="H343" cm="1">
        <f t="array" aca="1" ref="H343" ca="1">SUMPRODUCT((BRON!A343:A1538=Table1[[#This Row],[Personeelsnummer]])*(YEAR(BRON!T343:T1538)=YEAR(TODAY())))</f>
        <v>0</v>
      </c>
    </row>
    <row r="344" spans="1:8" x14ac:dyDescent="0.25">
      <c r="A344" s="34" t="s">
        <v>1842</v>
      </c>
      <c r="B344" s="34" t="s">
        <v>1845</v>
      </c>
      <c r="C344" s="34" t="s">
        <v>3986</v>
      </c>
      <c r="D344" s="34" t="s">
        <v>3857</v>
      </c>
      <c r="E344" s="34" t="s">
        <v>3874</v>
      </c>
      <c r="F344" s="3">
        <v>40623.041666666701</v>
      </c>
      <c r="G344" s="35">
        <f ca="1">YEAR(TODAY()) - YEAR(F344) - (IF(DATE(YEAR(TODAY()), MONTH(F344), DAY(F344)) &gt; TODAY(), 1, 0))</f>
        <v>14</v>
      </c>
      <c r="H344" cm="1">
        <f t="array" aca="1" ref="H344" ca="1">SUMPRODUCT((BRON!A344:A1539=Table1[[#This Row],[Personeelsnummer]])*(YEAR(BRON!T344:T1539)=YEAR(TODAY())))</f>
        <v>0</v>
      </c>
    </row>
    <row r="345" spans="1:8" x14ac:dyDescent="0.25">
      <c r="A345" s="34" t="s">
        <v>2725</v>
      </c>
      <c r="B345" s="34" t="s">
        <v>2724</v>
      </c>
      <c r="C345" s="34" t="s">
        <v>4044</v>
      </c>
      <c r="D345" s="34" t="s">
        <v>3853</v>
      </c>
      <c r="E345" s="34" t="s">
        <v>3874</v>
      </c>
      <c r="F345" s="3">
        <v>43108.041666666701</v>
      </c>
      <c r="G345" s="35">
        <f ca="1">YEAR(TODAY()) - YEAR(F345) - (IF(DATE(YEAR(TODAY()), MONTH(F345), DAY(F345)) &gt; TODAY(), 1, 0))</f>
        <v>7</v>
      </c>
      <c r="H345" cm="1">
        <f t="array" aca="1" ref="H345" ca="1">SUMPRODUCT((BRON!A345:A1540=Table1[[#This Row],[Personeelsnummer]])*(YEAR(BRON!T345:T1540)=YEAR(TODAY())))</f>
        <v>0</v>
      </c>
    </row>
    <row r="346" spans="1:8" x14ac:dyDescent="0.25">
      <c r="A346" s="34" t="s">
        <v>2125</v>
      </c>
      <c r="B346" s="34" t="s">
        <v>2124</v>
      </c>
      <c r="C346" s="34" t="s">
        <v>4056</v>
      </c>
      <c r="D346" s="34" t="s">
        <v>3853</v>
      </c>
      <c r="E346" s="34" t="s">
        <v>3854</v>
      </c>
      <c r="F346" s="3">
        <v>43605.083333333299</v>
      </c>
      <c r="G346" s="35">
        <f ca="1">YEAR(TODAY()) - YEAR(F346) - (IF(DATE(YEAR(TODAY()), MONTH(F346), DAY(F346)) &gt; TODAY(), 1, 0))</f>
        <v>6</v>
      </c>
      <c r="H346" cm="1">
        <f t="array" aca="1" ref="H346" ca="1">SUMPRODUCT((BRON!A346:A1541=Table1[[#This Row],[Personeelsnummer]])*(YEAR(BRON!T346:T1541)=YEAR(TODAY())))</f>
        <v>0</v>
      </c>
    </row>
    <row r="347" spans="1:8" x14ac:dyDescent="0.25">
      <c r="A347" s="34" t="s">
        <v>2531</v>
      </c>
      <c r="B347" s="34" t="s">
        <v>2530</v>
      </c>
      <c r="C347" s="34" t="s">
        <v>4062</v>
      </c>
      <c r="D347" s="34" t="s">
        <v>3857</v>
      </c>
      <c r="E347" s="34" t="s">
        <v>3854</v>
      </c>
      <c r="F347" s="3">
        <v>43710.083333333299</v>
      </c>
      <c r="G347" s="35">
        <f ca="1">YEAR(TODAY()) - YEAR(F347) - (IF(DATE(YEAR(TODAY()), MONTH(F347), DAY(F347)) &gt; TODAY(), 1, 0))</f>
        <v>6</v>
      </c>
      <c r="H347" cm="1">
        <f t="array" aca="1" ref="H347" ca="1">SUMPRODUCT((BRON!A347:A1542=Table1[[#This Row],[Personeelsnummer]])*(YEAR(BRON!T347:T1542)=YEAR(TODAY())))</f>
        <v>0</v>
      </c>
    </row>
    <row r="348" spans="1:8" x14ac:dyDescent="0.25">
      <c r="A348" s="34" t="s">
        <v>2706</v>
      </c>
      <c r="B348" s="34" t="s">
        <v>2705</v>
      </c>
      <c r="C348" s="34" t="s">
        <v>4078</v>
      </c>
      <c r="D348" s="34" t="s">
        <v>3860</v>
      </c>
      <c r="E348" s="34" t="s">
        <v>3871</v>
      </c>
      <c r="F348" s="3">
        <v>43997.083333333299</v>
      </c>
      <c r="G348" s="35">
        <f ca="1">YEAR(TODAY()) - YEAR(F348) - (IF(DATE(YEAR(TODAY()), MONTH(F348), DAY(F348)) &gt; TODAY(), 1, 0))</f>
        <v>5</v>
      </c>
      <c r="H348" cm="1">
        <f t="array" aca="1" ref="H348" ca="1">SUMPRODUCT((BRON!A348:A1543=Table1[[#This Row],[Personeelsnummer]])*(YEAR(BRON!T348:T1543)=YEAR(TODAY())))</f>
        <v>0</v>
      </c>
    </row>
    <row r="349" spans="1:8" x14ac:dyDescent="0.25">
      <c r="A349" s="34" t="s">
        <v>1550</v>
      </c>
      <c r="B349" s="34" t="s">
        <v>1554</v>
      </c>
      <c r="C349" s="34" t="s">
        <v>4079</v>
      </c>
      <c r="D349" s="34" t="s">
        <v>3853</v>
      </c>
      <c r="E349" s="34" t="s">
        <v>3881</v>
      </c>
      <c r="F349" s="3">
        <v>44025.083333333299</v>
      </c>
      <c r="G349" s="35">
        <f ca="1">YEAR(TODAY()) - YEAR(F349) - (IF(DATE(YEAR(TODAY()), MONTH(F349), DAY(F349)) &gt; TODAY(), 1, 0))</f>
        <v>5</v>
      </c>
      <c r="H349" cm="1">
        <f t="array" aca="1" ref="H349" ca="1">SUMPRODUCT((BRON!A349:A1544=Table1[[#This Row],[Personeelsnummer]])*(YEAR(BRON!T349:T1544)=YEAR(TODAY())))</f>
        <v>0</v>
      </c>
    </row>
    <row r="350" spans="1:8" x14ac:dyDescent="0.25">
      <c r="A350" s="34" t="s">
        <v>1435</v>
      </c>
      <c r="B350" s="34" t="s">
        <v>1434</v>
      </c>
      <c r="C350" s="34" t="s">
        <v>4087</v>
      </c>
      <c r="D350" s="34" t="s">
        <v>3860</v>
      </c>
      <c r="E350" s="34" t="s">
        <v>3874</v>
      </c>
      <c r="F350" s="3">
        <v>44070.083333333299</v>
      </c>
      <c r="G350" s="35">
        <f ca="1">YEAR(TODAY()) - YEAR(F350) - (IF(DATE(YEAR(TODAY()), MONTH(F350), DAY(F350)) &gt; TODAY(), 1, 0))</f>
        <v>5</v>
      </c>
      <c r="H350" cm="1">
        <f t="array" aca="1" ref="H350" ca="1">SUMPRODUCT((BRON!A350:A1545=Table1[[#This Row],[Personeelsnummer]])*(YEAR(BRON!T350:T1545)=YEAR(TODAY())))</f>
        <v>0</v>
      </c>
    </row>
    <row r="351" spans="1:8" x14ac:dyDescent="0.25">
      <c r="A351" s="34" t="s">
        <v>2405</v>
      </c>
      <c r="B351" s="34" t="s">
        <v>3070</v>
      </c>
      <c r="C351" s="34" t="s">
        <v>4110</v>
      </c>
      <c r="D351" s="34" t="s">
        <v>3853</v>
      </c>
      <c r="E351" s="34" t="s">
        <v>3871</v>
      </c>
      <c r="F351" s="3">
        <v>44384.083333333299</v>
      </c>
      <c r="G351" s="35">
        <f ca="1">YEAR(TODAY()) - YEAR(F351) - (IF(DATE(YEAR(TODAY()), MONTH(F351), DAY(F351)) &gt; TODAY(), 1, 0))</f>
        <v>4</v>
      </c>
      <c r="H351" cm="1">
        <f t="array" aca="1" ref="H351" ca="1">SUMPRODUCT((BRON!A351:A1546=Table1[[#This Row],[Personeelsnummer]])*(YEAR(BRON!T351:T1546)=YEAR(TODAY())))</f>
        <v>0</v>
      </c>
    </row>
    <row r="352" spans="1:8" x14ac:dyDescent="0.25">
      <c r="A352" s="34" t="s">
        <v>1417</v>
      </c>
      <c r="B352" s="34" t="s">
        <v>1416</v>
      </c>
      <c r="C352" s="34" t="s">
        <v>4121</v>
      </c>
      <c r="D352" s="34" t="s">
        <v>3853</v>
      </c>
      <c r="E352" s="34" t="s">
        <v>3881</v>
      </c>
      <c r="F352" s="3">
        <v>44599.041666666701</v>
      </c>
      <c r="G352" s="35">
        <f ca="1">YEAR(TODAY()) - YEAR(F352) - (IF(DATE(YEAR(TODAY()), MONTH(F352), DAY(F352)) &gt; TODAY(), 1, 0))</f>
        <v>3</v>
      </c>
      <c r="H352" cm="1">
        <f t="array" aca="1" ref="H352" ca="1">SUMPRODUCT((BRON!A352:A1547=Table1[[#This Row],[Personeelsnummer]])*(YEAR(BRON!T352:T1547)=YEAR(TODAY())))</f>
        <v>0</v>
      </c>
    </row>
    <row r="353" spans="1:8" x14ac:dyDescent="0.25">
      <c r="A353" s="34" t="s">
        <v>2093</v>
      </c>
      <c r="B353" s="34" t="s">
        <v>2099</v>
      </c>
      <c r="C353" s="34" t="s">
        <v>4124</v>
      </c>
      <c r="D353" s="34" t="s">
        <v>3853</v>
      </c>
      <c r="E353" s="34" t="s">
        <v>3854</v>
      </c>
      <c r="F353" s="3">
        <v>44655.083333333299</v>
      </c>
      <c r="G353" s="35">
        <f ca="1">YEAR(TODAY()) - YEAR(F353) - (IF(DATE(YEAR(TODAY()), MONTH(F353), DAY(F353)) &gt; TODAY(), 1, 0))</f>
        <v>3</v>
      </c>
      <c r="H353" cm="1">
        <f t="array" aca="1" ref="H353" ca="1">SUMPRODUCT((BRON!A353:A1548=Table1[[#This Row],[Personeelsnummer]])*(YEAR(BRON!T353:T1548)=YEAR(TODAY())))</f>
        <v>0</v>
      </c>
    </row>
    <row r="354" spans="1:8" x14ac:dyDescent="0.25">
      <c r="A354" s="34" t="s">
        <v>1474</v>
      </c>
      <c r="B354" s="34" t="s">
        <v>1473</v>
      </c>
      <c r="C354" s="34" t="s">
        <v>4125</v>
      </c>
      <c r="D354" s="34" t="s">
        <v>3853</v>
      </c>
      <c r="E354" s="34" t="s">
        <v>3881</v>
      </c>
      <c r="F354" s="3">
        <v>44700.083333333299</v>
      </c>
      <c r="G354" s="35">
        <f ca="1">YEAR(TODAY()) - YEAR(F354) - (IF(DATE(YEAR(TODAY()), MONTH(F354), DAY(F354)) &gt; TODAY(), 1, 0))</f>
        <v>3</v>
      </c>
      <c r="H354" cm="1">
        <f t="array" aca="1" ref="H354" ca="1">SUMPRODUCT((BRON!A354:A1549=Table1[[#This Row],[Personeelsnummer]])*(YEAR(BRON!T354:T1549)=YEAR(TODAY())))</f>
        <v>0</v>
      </c>
    </row>
    <row r="355" spans="1:8" x14ac:dyDescent="0.25">
      <c r="A355" s="34" t="s">
        <v>2495</v>
      </c>
      <c r="B355" s="34" t="s">
        <v>1964</v>
      </c>
      <c r="C355" s="34" t="s">
        <v>4143</v>
      </c>
      <c r="D355" s="34" t="s">
        <v>3860</v>
      </c>
      <c r="E355" s="34" t="s">
        <v>3871</v>
      </c>
      <c r="F355" s="3">
        <v>44942.041666666701</v>
      </c>
      <c r="G355" s="35">
        <f ca="1">YEAR(TODAY()) - YEAR(F355) - (IF(DATE(YEAR(TODAY()), MONTH(F355), DAY(F355)) &gt; TODAY(), 1, 0))</f>
        <v>2</v>
      </c>
      <c r="H355" cm="1">
        <f t="array" aca="1" ref="H355" ca="1">SUMPRODUCT((BRON!A355:A1550=Table1[[#This Row],[Personeelsnummer]])*(YEAR(BRON!T355:T1550)=YEAR(TODAY())))</f>
        <v>0</v>
      </c>
    </row>
    <row r="356" spans="1:8" x14ac:dyDescent="0.25">
      <c r="A356" s="34" t="s">
        <v>2129</v>
      </c>
      <c r="B356" s="34" t="s">
        <v>2128</v>
      </c>
      <c r="C356" s="34" t="s">
        <v>4151</v>
      </c>
      <c r="D356" s="34" t="s">
        <v>3853</v>
      </c>
      <c r="E356" s="34" t="s">
        <v>3866</v>
      </c>
      <c r="F356" s="3">
        <v>45027.083333333299</v>
      </c>
      <c r="G356" s="35">
        <f ca="1">YEAR(TODAY()) - YEAR(F356) - (IF(DATE(YEAR(TODAY()), MONTH(F356), DAY(F356)) &gt; TODAY(), 1, 0))</f>
        <v>2</v>
      </c>
      <c r="H356" cm="1">
        <f t="array" aca="1" ref="H356" ca="1">SUMPRODUCT((BRON!A356:A1551=Table1[[#This Row],[Personeelsnummer]])*(YEAR(BRON!T356:T1551)=YEAR(TODAY())))</f>
        <v>0</v>
      </c>
    </row>
    <row r="357" spans="1:8" x14ac:dyDescent="0.25">
      <c r="A357" s="34" t="s">
        <v>3173</v>
      </c>
      <c r="B357" s="34" t="s">
        <v>3172</v>
      </c>
      <c r="C357" s="34" t="s">
        <v>4155</v>
      </c>
      <c r="D357" s="34" t="s">
        <v>3860</v>
      </c>
      <c r="E357" s="34" t="s">
        <v>3863</v>
      </c>
      <c r="F357" s="3">
        <v>45027.083333333299</v>
      </c>
      <c r="G357" s="35">
        <f ca="1">YEAR(TODAY()) - YEAR(F357) - (IF(DATE(YEAR(TODAY()), MONTH(F357), DAY(F357)) &gt; TODAY(), 1, 0))</f>
        <v>2</v>
      </c>
      <c r="H357" cm="1">
        <f t="array" aca="1" ref="H357" ca="1">SUMPRODUCT((BRON!A357:A1552=Table1[[#This Row],[Personeelsnummer]])*(YEAR(BRON!T357:T1552)=YEAR(TODAY())))</f>
        <v>0</v>
      </c>
    </row>
    <row r="358" spans="1:8" x14ac:dyDescent="0.25">
      <c r="A358" s="34" t="s">
        <v>2909</v>
      </c>
      <c r="B358" s="34" t="s">
        <v>2908</v>
      </c>
      <c r="C358" s="34" t="s">
        <v>4157</v>
      </c>
      <c r="D358" s="34" t="s">
        <v>3860</v>
      </c>
      <c r="E358" s="34" t="s">
        <v>3864</v>
      </c>
      <c r="F358" s="3">
        <v>45040.083333333299</v>
      </c>
      <c r="G358" s="35">
        <f ca="1">YEAR(TODAY()) - YEAR(F358) - (IF(DATE(YEAR(TODAY()), MONTH(F358), DAY(F358)) &gt; TODAY(), 1, 0))</f>
        <v>2</v>
      </c>
      <c r="H358" cm="1">
        <f t="array" aca="1" ref="H358" ca="1">SUMPRODUCT((BRON!A358:A1553=Table1[[#This Row],[Personeelsnummer]])*(YEAR(BRON!T358:T1553)=YEAR(TODAY())))</f>
        <v>0</v>
      </c>
    </row>
    <row r="359" spans="1:8" x14ac:dyDescent="0.25">
      <c r="A359" s="34" t="s">
        <v>3362</v>
      </c>
      <c r="B359" s="34" t="s">
        <v>3361</v>
      </c>
      <c r="C359" s="34" t="s">
        <v>4164</v>
      </c>
      <c r="D359" s="34" t="s">
        <v>3860</v>
      </c>
      <c r="E359" s="34" t="s">
        <v>3863</v>
      </c>
      <c r="F359" s="3">
        <v>45103.083333333299</v>
      </c>
      <c r="G359" s="35">
        <f ca="1">YEAR(TODAY()) - YEAR(F359) - (IF(DATE(YEAR(TODAY()), MONTH(F359), DAY(F359)) &gt; TODAY(), 1, 0))</f>
        <v>2</v>
      </c>
      <c r="H359" cm="1">
        <f t="array" aca="1" ref="H359" ca="1">SUMPRODUCT((BRON!A359:A1554=Table1[[#This Row],[Personeelsnummer]])*(YEAR(BRON!T359:T1554)=YEAR(TODAY())))</f>
        <v>0</v>
      </c>
    </row>
    <row r="360" spans="1:8" x14ac:dyDescent="0.25">
      <c r="A360" s="34" t="s">
        <v>1903</v>
      </c>
      <c r="B360" s="34" t="s">
        <v>1902</v>
      </c>
      <c r="C360" s="34" t="s">
        <v>4169</v>
      </c>
      <c r="D360" s="34" t="s">
        <v>3860</v>
      </c>
      <c r="E360" s="34" t="s">
        <v>3863</v>
      </c>
      <c r="F360" s="3">
        <v>45236.041666666701</v>
      </c>
      <c r="G360" s="35">
        <f ca="1">YEAR(TODAY()) - YEAR(F360) - (IF(DATE(YEAR(TODAY()), MONTH(F360), DAY(F360)) &gt; TODAY(), 1, 0))</f>
        <v>2</v>
      </c>
      <c r="H360" cm="1">
        <f t="array" aca="1" ref="H360" ca="1">SUMPRODUCT((BRON!A360:A1555=Table1[[#This Row],[Personeelsnummer]])*(YEAR(BRON!T360:T1555)=YEAR(TODAY())))</f>
        <v>0</v>
      </c>
    </row>
    <row r="361" spans="1:8" x14ac:dyDescent="0.25">
      <c r="A361" s="34" t="s">
        <v>1983</v>
      </c>
      <c r="B361" s="34" t="s">
        <v>1982</v>
      </c>
      <c r="C361" s="34" t="s">
        <v>4170</v>
      </c>
      <c r="D361" s="34" t="s">
        <v>3857</v>
      </c>
      <c r="E361" s="34" t="s">
        <v>3863</v>
      </c>
      <c r="F361" s="3">
        <v>45286.041666666701</v>
      </c>
      <c r="G361" s="35">
        <f ca="1">YEAR(TODAY()) - YEAR(F361) - (IF(DATE(YEAR(TODAY()), MONTH(F361), DAY(F361)) &gt; TODAY(), 1, 0))</f>
        <v>1</v>
      </c>
      <c r="H361" cm="1">
        <f t="array" aca="1" ref="H361" ca="1">SUMPRODUCT((BRON!A361:A1556=Table1[[#This Row],[Personeelsnummer]])*(YEAR(BRON!T361:T1556)=YEAR(TODAY())))</f>
        <v>0</v>
      </c>
    </row>
    <row r="362" spans="1:8" x14ac:dyDescent="0.25">
      <c r="A362" s="34" t="s">
        <v>1622</v>
      </c>
      <c r="B362" s="34" t="s">
        <v>1621</v>
      </c>
      <c r="C362" s="34" t="s">
        <v>4175</v>
      </c>
      <c r="D362" s="34" t="s">
        <v>3860</v>
      </c>
      <c r="E362" s="34" t="s">
        <v>3854</v>
      </c>
      <c r="F362" s="3">
        <v>45208.083333333299</v>
      </c>
      <c r="G362" s="35">
        <f ca="1">YEAR(TODAY()) - YEAR(F362) - (IF(DATE(YEAR(TODAY()), MONTH(F362), DAY(F362)) &gt; TODAY(), 1, 0))</f>
        <v>2</v>
      </c>
      <c r="H362" cm="1">
        <f t="array" aca="1" ref="H362" ca="1">SUMPRODUCT((BRON!A362:A1557=Table1[[#This Row],[Personeelsnummer]])*(YEAR(BRON!T362:T1557)=YEAR(TODAY())))</f>
        <v>0</v>
      </c>
    </row>
    <row r="363" spans="1:8" x14ac:dyDescent="0.25">
      <c r="A363" s="34" t="s">
        <v>1210</v>
      </c>
      <c r="B363" s="34" t="s">
        <v>1048</v>
      </c>
      <c r="C363" s="34" t="s">
        <v>4180</v>
      </c>
      <c r="D363" s="34" t="s">
        <v>3860</v>
      </c>
      <c r="E363" s="34" t="s">
        <v>3864</v>
      </c>
      <c r="F363" s="3">
        <v>45236.041666666701</v>
      </c>
      <c r="G363" s="35">
        <f ca="1">YEAR(TODAY()) - YEAR(F363) - (IF(DATE(YEAR(TODAY()), MONTH(F363), DAY(F363)) &gt; TODAY(), 1, 0))</f>
        <v>2</v>
      </c>
      <c r="H363" cm="1">
        <f t="array" aca="1" ref="H363" ca="1">SUMPRODUCT((BRON!A363:A1558=Table1[[#This Row],[Personeelsnummer]])*(YEAR(BRON!T363:T1558)=YEAR(TODAY())))</f>
        <v>0</v>
      </c>
    </row>
    <row r="364" spans="1:8" x14ac:dyDescent="0.25">
      <c r="A364" s="34" t="s">
        <v>2483</v>
      </c>
      <c r="B364" s="34" t="s">
        <v>2486</v>
      </c>
      <c r="C364" s="34" t="s">
        <v>4188</v>
      </c>
      <c r="D364" s="34" t="s">
        <v>3860</v>
      </c>
      <c r="E364" s="34" t="s">
        <v>3864</v>
      </c>
      <c r="F364" s="3">
        <v>45264.041666666701</v>
      </c>
      <c r="G364" s="35">
        <f ca="1">YEAR(TODAY()) - YEAR(F364) - (IF(DATE(YEAR(TODAY()), MONTH(F364), DAY(F364)) &gt; TODAY(), 1, 0))</f>
        <v>1</v>
      </c>
      <c r="H364" cm="1">
        <f t="array" aca="1" ref="H364" ca="1">SUMPRODUCT((BRON!A364:A1559=Table1[[#This Row],[Personeelsnummer]])*(YEAR(BRON!T364:T1559)=YEAR(TODAY())))</f>
        <v>0</v>
      </c>
    </row>
    <row r="365" spans="1:8" x14ac:dyDescent="0.25">
      <c r="A365" s="34" t="s">
        <v>1686</v>
      </c>
      <c r="B365" s="34" t="s">
        <v>1689</v>
      </c>
      <c r="C365" s="34" t="s">
        <v>4203</v>
      </c>
      <c r="D365" s="34" t="s">
        <v>3860</v>
      </c>
      <c r="E365" s="34" t="s">
        <v>3881</v>
      </c>
      <c r="F365" s="3">
        <v>45364.041666666701</v>
      </c>
      <c r="G365" s="35">
        <f ca="1">YEAR(TODAY()) - YEAR(F365) - (IF(DATE(YEAR(TODAY()), MONTH(F365), DAY(F365)) &gt; TODAY(), 1, 0))</f>
        <v>1</v>
      </c>
      <c r="H365" cm="1">
        <f t="array" aca="1" ref="H365" ca="1">SUMPRODUCT((BRON!A365:A1560=Table1[[#This Row],[Personeelsnummer]])*(YEAR(BRON!T365:T1560)=YEAR(TODAY())))</f>
        <v>0</v>
      </c>
    </row>
    <row r="366" spans="1:8" x14ac:dyDescent="0.25">
      <c r="A366" s="34" t="s">
        <v>2876</v>
      </c>
      <c r="B366" s="34" t="s">
        <v>2875</v>
      </c>
      <c r="C366" s="34" t="s">
        <v>4208</v>
      </c>
      <c r="D366" s="34" t="s">
        <v>3860</v>
      </c>
      <c r="E366" s="34" t="s">
        <v>3863</v>
      </c>
      <c r="F366" s="3">
        <v>45378.041666666701</v>
      </c>
      <c r="G366" s="35">
        <f ca="1">YEAR(TODAY()) - YEAR(F366) - (IF(DATE(YEAR(TODAY()), MONTH(F366), DAY(F366)) &gt; TODAY(), 1, 0))</f>
        <v>1</v>
      </c>
      <c r="H366" cm="1">
        <f t="array" aca="1" ref="H366" ca="1">SUMPRODUCT((BRON!A366:A1561=Table1[[#This Row],[Personeelsnummer]])*(YEAR(BRON!T366:T1561)=YEAR(TODAY())))</f>
        <v>0</v>
      </c>
    </row>
    <row r="367" spans="1:8" x14ac:dyDescent="0.25">
      <c r="A367" s="34" t="s">
        <v>3374</v>
      </c>
      <c r="B367" s="34" t="s">
        <v>3373</v>
      </c>
      <c r="C367" s="34" t="s">
        <v>4216</v>
      </c>
      <c r="D367" s="34" t="s">
        <v>3860</v>
      </c>
      <c r="E367" s="34" t="s">
        <v>3864</v>
      </c>
      <c r="F367" s="3">
        <v>45442.083333333299</v>
      </c>
      <c r="G367" s="35">
        <f ca="1">YEAR(TODAY()) - YEAR(F367) - (IF(DATE(YEAR(TODAY()), MONTH(F367), DAY(F367)) &gt; TODAY(), 1, 0))</f>
        <v>1</v>
      </c>
      <c r="H367" cm="1">
        <f t="array" aca="1" ref="H367" ca="1">SUMPRODUCT((BRON!A367:A1562=Table1[[#This Row],[Personeelsnummer]])*(YEAR(BRON!T367:T1562)=YEAR(TODAY())))</f>
        <v>0</v>
      </c>
    </row>
    <row r="368" spans="1:8" x14ac:dyDescent="0.25">
      <c r="A368" s="34" t="s">
        <v>3469</v>
      </c>
      <c r="B368" s="34" t="s">
        <v>3468</v>
      </c>
      <c r="C368" s="34" t="s">
        <v>4227</v>
      </c>
      <c r="D368" s="34" t="s">
        <v>3860</v>
      </c>
      <c r="E368" s="34" t="s">
        <v>3870</v>
      </c>
      <c r="F368" s="3">
        <v>45544.083333333299</v>
      </c>
      <c r="G368" s="35">
        <f ca="1">YEAR(TODAY()) - YEAR(F368) - (IF(DATE(YEAR(TODAY()), MONTH(F368), DAY(F368)) &gt; TODAY(), 1, 0))</f>
        <v>1</v>
      </c>
      <c r="H368" cm="1">
        <f t="array" aca="1" ref="H368" ca="1">SUMPRODUCT((BRON!A368:A1563=Table1[[#This Row],[Personeelsnummer]])*(YEAR(BRON!T368:T1563)=YEAR(TODAY())))</f>
        <v>0</v>
      </c>
    </row>
    <row r="369" spans="1:8" x14ac:dyDescent="0.25">
      <c r="A369" s="34" t="s">
        <v>2081</v>
      </c>
      <c r="B369" s="34" t="s">
        <v>2080</v>
      </c>
      <c r="C369" s="34" t="s">
        <v>4228</v>
      </c>
      <c r="D369" s="34" t="s">
        <v>3853</v>
      </c>
      <c r="E369" s="34" t="s">
        <v>3881</v>
      </c>
      <c r="F369" s="3">
        <v>45530.083333333299</v>
      </c>
      <c r="G369" s="35">
        <f ca="1">YEAR(TODAY()) - YEAR(F369) - (IF(DATE(YEAR(TODAY()), MONTH(F369), DAY(F369)) &gt; TODAY(), 1, 0))</f>
        <v>1</v>
      </c>
      <c r="H369" cm="1">
        <f t="array" aca="1" ref="H369" ca="1">SUMPRODUCT((BRON!A369:A1564=Table1[[#This Row],[Personeelsnummer]])*(YEAR(BRON!T369:T1564)=YEAR(TODAY())))</f>
        <v>0</v>
      </c>
    </row>
    <row r="370" spans="1:8" x14ac:dyDescent="0.25">
      <c r="A370" s="34" t="s">
        <v>2343</v>
      </c>
      <c r="B370" s="34" t="s">
        <v>2342</v>
      </c>
      <c r="C370" s="34" t="s">
        <v>4232</v>
      </c>
      <c r="D370" s="34" t="s">
        <v>3860</v>
      </c>
      <c r="E370" s="34" t="s">
        <v>3870</v>
      </c>
      <c r="F370" s="3">
        <v>45559.083333333299</v>
      </c>
      <c r="G370" s="35">
        <f ca="1">YEAR(TODAY()) - YEAR(F370) - (IF(DATE(YEAR(TODAY()), MONTH(F370), DAY(F370)) &gt; TODAY(), 1, 0))</f>
        <v>1</v>
      </c>
      <c r="H370" cm="1">
        <f t="array" aca="1" ref="H370" ca="1">SUMPRODUCT((BRON!A370:A1565=Table1[[#This Row],[Personeelsnummer]])*(YEAR(BRON!T370:T1565)=YEAR(TODAY())))</f>
        <v>0</v>
      </c>
    </row>
    <row r="371" spans="1:8" x14ac:dyDescent="0.25">
      <c r="A371" s="34" t="s">
        <v>1590</v>
      </c>
      <c r="B371" s="34" t="s">
        <v>1589</v>
      </c>
      <c r="C371" s="34" t="s">
        <v>4244</v>
      </c>
      <c r="D371" s="34" t="s">
        <v>3860</v>
      </c>
      <c r="E371" s="34" t="s">
        <v>3863</v>
      </c>
      <c r="F371" s="3">
        <v>45677.041666666701</v>
      </c>
      <c r="G371" s="35">
        <f ca="1">YEAR(TODAY()) - YEAR(F371) - (IF(DATE(YEAR(TODAY()), MONTH(F371), DAY(F371)) &gt; TODAY(), 1, 0))</f>
        <v>0</v>
      </c>
      <c r="H371" cm="1">
        <f t="array" aca="1" ref="H371" ca="1">SUMPRODUCT((BRON!A371:A1566=Table1[[#This Row],[Personeelsnummer]])*(YEAR(BRON!T371:T1566)=YEAR(TODAY())))</f>
        <v>0</v>
      </c>
    </row>
    <row r="372" spans="1:8" x14ac:dyDescent="0.25">
      <c r="A372" s="34" t="s">
        <v>2232</v>
      </c>
      <c r="B372" s="34" t="s">
        <v>2231</v>
      </c>
      <c r="C372" s="34" t="s">
        <v>4034</v>
      </c>
      <c r="D372" s="34" t="s">
        <v>3860</v>
      </c>
      <c r="E372" s="34" t="s">
        <v>3881</v>
      </c>
      <c r="F372" s="3">
        <v>42877.083333333299</v>
      </c>
      <c r="G372" s="35">
        <f ca="1">YEAR(TODAY()) - YEAR(F372) - (IF(DATE(YEAR(TODAY()), MONTH(F372), DAY(F372)) &gt; TODAY(), 1, 0))</f>
        <v>8</v>
      </c>
      <c r="H372" cm="1">
        <f t="array" aca="1" ref="H372" ca="1">SUMPRODUCT((BRON!A372:A1567=Table1[[#This Row],[Personeelsnummer]])*(YEAR(BRON!T372:T1567)=YEAR(TODAY())))</f>
        <v>0</v>
      </c>
    </row>
    <row r="373" spans="1:8" x14ac:dyDescent="0.25">
      <c r="A373" s="34" t="s">
        <v>2249</v>
      </c>
      <c r="B373" s="34" t="s">
        <v>2248</v>
      </c>
      <c r="C373" s="34" t="s">
        <v>4061</v>
      </c>
      <c r="D373" s="34" t="s">
        <v>3853</v>
      </c>
      <c r="E373" s="34" t="s">
        <v>3874</v>
      </c>
      <c r="F373" s="3">
        <v>44971.041666666701</v>
      </c>
      <c r="G373" s="35">
        <f ca="1">YEAR(TODAY()) - YEAR(F373) - (IF(DATE(YEAR(TODAY()), MONTH(F373), DAY(F373)) &gt; TODAY(), 1, 0))</f>
        <v>2</v>
      </c>
      <c r="H373" cm="1">
        <f t="array" aca="1" ref="H373" ca="1">SUMPRODUCT((BRON!A373:A1568=Table1[[#This Row],[Personeelsnummer]])*(YEAR(BRON!T373:T1568)=YEAR(TODAY())))</f>
        <v>0</v>
      </c>
    </row>
    <row r="374" spans="1:8" x14ac:dyDescent="0.25">
      <c r="A374" s="34" t="s">
        <v>2683</v>
      </c>
      <c r="B374" s="34" t="s">
        <v>2682</v>
      </c>
      <c r="C374" s="34" t="s">
        <v>4065</v>
      </c>
      <c r="D374" s="34" t="s">
        <v>3853</v>
      </c>
      <c r="E374" s="34" t="s">
        <v>3881</v>
      </c>
      <c r="F374" s="3">
        <v>43752.083333333299</v>
      </c>
      <c r="G374" s="35">
        <f ca="1">YEAR(TODAY()) - YEAR(F374) - (IF(DATE(YEAR(TODAY()), MONTH(F374), DAY(F374)) &gt; TODAY(), 1, 0))</f>
        <v>6</v>
      </c>
      <c r="H374" cm="1">
        <f t="array" aca="1" ref="H374" ca="1">SUMPRODUCT((BRON!A374:A1569=Table1[[#This Row],[Personeelsnummer]])*(YEAR(BRON!T374:T1569)=YEAR(TODAY())))</f>
        <v>0</v>
      </c>
    </row>
    <row r="375" spans="1:8" x14ac:dyDescent="0.25">
      <c r="A375" s="34" t="s">
        <v>1884</v>
      </c>
      <c r="B375" s="34" t="s">
        <v>1883</v>
      </c>
      <c r="C375" s="34" t="s">
        <v>4097</v>
      </c>
      <c r="D375" s="34" t="s">
        <v>3853</v>
      </c>
      <c r="E375" s="34" t="s">
        <v>3866</v>
      </c>
      <c r="F375" s="3">
        <v>44312.083333333299</v>
      </c>
      <c r="G375" s="35">
        <f ca="1">YEAR(TODAY()) - YEAR(F375) - (IF(DATE(YEAR(TODAY()), MONTH(F375), DAY(F375)) &gt; TODAY(), 1, 0))</f>
        <v>4</v>
      </c>
      <c r="H375" cm="1">
        <f t="array" aca="1" ref="H375" ca="1">SUMPRODUCT((BRON!A375:A1570=Table1[[#This Row],[Personeelsnummer]])*(YEAR(BRON!T375:T1570)=YEAR(TODAY())))</f>
        <v>0</v>
      </c>
    </row>
    <row r="376" spans="1:8" x14ac:dyDescent="0.25">
      <c r="A376" s="34" t="s">
        <v>2754</v>
      </c>
      <c r="B376" s="34" t="s">
        <v>2753</v>
      </c>
      <c r="C376" s="34" t="s">
        <v>4127</v>
      </c>
      <c r="D376" s="34" t="s">
        <v>3853</v>
      </c>
      <c r="E376" s="34" t="s">
        <v>3864</v>
      </c>
      <c r="F376" s="3">
        <v>44683.083333333299</v>
      </c>
      <c r="G376" s="35">
        <f ca="1">YEAR(TODAY()) - YEAR(F376) - (IF(DATE(YEAR(TODAY()), MONTH(F376), DAY(F376)) &gt; TODAY(), 1, 0))</f>
        <v>3</v>
      </c>
      <c r="H376" cm="1">
        <f t="array" aca="1" ref="H376" ca="1">SUMPRODUCT((BRON!A376:A1571=Table1[[#This Row],[Personeelsnummer]])*(YEAR(BRON!T376:T1571)=YEAR(TODAY())))</f>
        <v>0</v>
      </c>
    </row>
    <row r="377" spans="1:8" x14ac:dyDescent="0.25">
      <c r="A377" s="34" t="s">
        <v>2631</v>
      </c>
      <c r="B377" s="34" t="s">
        <v>2630</v>
      </c>
      <c r="C377" s="34" t="s">
        <v>4144</v>
      </c>
      <c r="D377" s="34" t="s">
        <v>3853</v>
      </c>
      <c r="E377" s="34" t="s">
        <v>3871</v>
      </c>
      <c r="F377" s="3">
        <v>44956.041666666701</v>
      </c>
      <c r="G377" s="35">
        <f ca="1">YEAR(TODAY()) - YEAR(F377) - (IF(DATE(YEAR(TODAY()), MONTH(F377), DAY(F377)) &gt; TODAY(), 1, 0))</f>
        <v>2</v>
      </c>
      <c r="H377" cm="1">
        <f t="array" aca="1" ref="H377" ca="1">SUMPRODUCT((BRON!A377:A1572=Table1[[#This Row],[Personeelsnummer]])*(YEAR(BRON!T377:T1572)=YEAR(TODAY())))</f>
        <v>0</v>
      </c>
    </row>
    <row r="378" spans="1:8" x14ac:dyDescent="0.25">
      <c r="A378" s="34" t="s">
        <v>2604</v>
      </c>
      <c r="B378" s="34" t="s">
        <v>2607</v>
      </c>
      <c r="C378" s="34" t="s">
        <v>4156</v>
      </c>
      <c r="D378" s="34" t="s">
        <v>3860</v>
      </c>
      <c r="E378" s="34" t="s">
        <v>3871</v>
      </c>
      <c r="F378" s="3">
        <v>45090.083333333299</v>
      </c>
      <c r="G378" s="35">
        <f ca="1">YEAR(TODAY()) - YEAR(F378) - (IF(DATE(YEAR(TODAY()), MONTH(F378), DAY(F378)) &gt; TODAY(), 1, 0))</f>
        <v>2</v>
      </c>
      <c r="H378" cm="1">
        <f t="array" aca="1" ref="H378" ca="1">SUMPRODUCT((BRON!A378:A1573=Table1[[#This Row],[Personeelsnummer]])*(YEAR(BRON!T378:T1573)=YEAR(TODAY())))</f>
        <v>0</v>
      </c>
    </row>
    <row r="379" spans="1:8" x14ac:dyDescent="0.25">
      <c r="A379" s="34" t="s">
        <v>2584</v>
      </c>
      <c r="B379" s="34" t="s">
        <v>2583</v>
      </c>
      <c r="C379" s="34" t="s">
        <v>4167</v>
      </c>
      <c r="D379" s="34" t="s">
        <v>3860</v>
      </c>
      <c r="E379" s="34" t="s">
        <v>3863</v>
      </c>
      <c r="F379" s="3">
        <v>45124.083333333299</v>
      </c>
      <c r="G379" s="35">
        <f ca="1">YEAR(TODAY()) - YEAR(F379) - (IF(DATE(YEAR(TODAY()), MONTH(F379), DAY(F379)) &gt; TODAY(), 1, 0))</f>
        <v>2</v>
      </c>
      <c r="H379" cm="1">
        <f t="array" aca="1" ref="H379" ca="1">SUMPRODUCT((BRON!A379:A1574=Table1[[#This Row],[Personeelsnummer]])*(YEAR(BRON!T379:T1574)=YEAR(TODAY())))</f>
        <v>0</v>
      </c>
    </row>
    <row r="380" spans="1:8" x14ac:dyDescent="0.25">
      <c r="A380" s="34" t="s">
        <v>2370</v>
      </c>
      <c r="B380" s="34" t="s">
        <v>2369</v>
      </c>
      <c r="C380" s="34" t="s">
        <v>4173</v>
      </c>
      <c r="D380" s="34" t="s">
        <v>3860</v>
      </c>
      <c r="E380" s="34" t="s">
        <v>3871</v>
      </c>
      <c r="F380" s="3">
        <v>45194.083333333299</v>
      </c>
      <c r="G380" s="35">
        <f ca="1">YEAR(TODAY()) - YEAR(F380) - (IF(DATE(YEAR(TODAY()), MONTH(F380), DAY(F380)) &gt; TODAY(), 1, 0))</f>
        <v>2</v>
      </c>
      <c r="H380" cm="1">
        <f t="array" aca="1" ref="H380" ca="1">SUMPRODUCT((BRON!A380:A1575=Table1[[#This Row],[Personeelsnummer]])*(YEAR(BRON!T380:T1575)=YEAR(TODAY())))</f>
        <v>0</v>
      </c>
    </row>
    <row r="381" spans="1:8" x14ac:dyDescent="0.25">
      <c r="A381" s="34" t="s">
        <v>2733</v>
      </c>
      <c r="B381" s="34" t="s">
        <v>2732</v>
      </c>
      <c r="C381" s="34" t="s">
        <v>4178</v>
      </c>
      <c r="D381" s="34" t="s">
        <v>3860</v>
      </c>
      <c r="E381" s="34" t="s">
        <v>3870</v>
      </c>
      <c r="F381" s="3">
        <v>45236.041666666701</v>
      </c>
      <c r="G381" s="35">
        <f ca="1">YEAR(TODAY()) - YEAR(F381) - (IF(DATE(YEAR(TODAY()), MONTH(F381), DAY(F381)) &gt; TODAY(), 1, 0))</f>
        <v>2</v>
      </c>
      <c r="H381" cm="1">
        <f t="array" aca="1" ref="H381" ca="1">SUMPRODUCT((BRON!A381:A1576=Table1[[#This Row],[Personeelsnummer]])*(YEAR(BRON!T381:T1576)=YEAR(TODAY())))</f>
        <v>0</v>
      </c>
    </row>
    <row r="382" spans="1:8" x14ac:dyDescent="0.25">
      <c r="A382" s="34" t="s">
        <v>1778</v>
      </c>
      <c r="B382" s="34" t="s">
        <v>1777</v>
      </c>
      <c r="C382" s="34" t="s">
        <v>4226</v>
      </c>
      <c r="D382" s="34" t="s">
        <v>3860</v>
      </c>
      <c r="E382" s="34" t="s">
        <v>3854</v>
      </c>
      <c r="F382" s="3">
        <v>45538.083333333299</v>
      </c>
      <c r="G382" s="35">
        <f ca="1">YEAR(TODAY()) - YEAR(F382) - (IF(DATE(YEAR(TODAY()), MONTH(F382), DAY(F382)) &gt; TODAY(), 1, 0))</f>
        <v>1</v>
      </c>
      <c r="H382" cm="1">
        <f t="array" aca="1" ref="H382" ca="1">SUMPRODUCT((BRON!A382:A1577=Table1[[#This Row],[Personeelsnummer]])*(YEAR(BRON!T382:T1577)=YEAR(TODAY())))</f>
        <v>0</v>
      </c>
    </row>
    <row r="383" spans="1:8" x14ac:dyDescent="0.25">
      <c r="A383" s="34" t="s">
        <v>2596</v>
      </c>
      <c r="B383" s="34" t="s">
        <v>2595</v>
      </c>
      <c r="C383" s="34" t="s">
        <v>4238</v>
      </c>
      <c r="D383" s="34" t="s">
        <v>3860</v>
      </c>
      <c r="E383" s="34" t="s">
        <v>3881</v>
      </c>
      <c r="F383" s="3">
        <v>45603.041666666701</v>
      </c>
      <c r="G383" s="35">
        <f ca="1">YEAR(TODAY()) - YEAR(F383) - (IF(DATE(YEAR(TODAY()), MONTH(F383), DAY(F383)) &gt; TODAY(), 1, 0))</f>
        <v>1</v>
      </c>
      <c r="H383" cm="1">
        <f t="array" aca="1" ref="H383" ca="1">SUMPRODUCT((BRON!A383:A1578=Table1[[#This Row],[Personeelsnummer]])*(YEAR(BRON!T383:T1578)=YEAR(TODAY())))</f>
        <v>0</v>
      </c>
    </row>
    <row r="384" spans="1:8" x14ac:dyDescent="0.25">
      <c r="A384" s="34" t="s">
        <v>3438</v>
      </c>
      <c r="B384" s="34" t="s">
        <v>3558</v>
      </c>
      <c r="C384" s="34" t="s">
        <v>4271</v>
      </c>
      <c r="D384" s="34" t="s">
        <v>3860</v>
      </c>
      <c r="E384" s="34" t="s">
        <v>3863</v>
      </c>
      <c r="F384" s="3">
        <v>45903.083333333299</v>
      </c>
      <c r="G384" s="35">
        <f ca="1">YEAR(TODAY()) - YEAR(F384) - (IF(DATE(YEAR(TODAY()), MONTH(F384), DAY(F384)) &gt; TODAY(), 1, 0))</f>
        <v>0</v>
      </c>
      <c r="H384" cm="1">
        <f t="array" aca="1" ref="H384" ca="1">SUMPRODUCT((BRON!A384:A1579=Table1[[#This Row],[Personeelsnummer]])*(YEAR(BRON!T384:T1579)=YEAR(TODAY())))</f>
        <v>0</v>
      </c>
    </row>
    <row r="385" spans="1:8" x14ac:dyDescent="0.25">
      <c r="A385" s="34" t="s">
        <v>2850</v>
      </c>
      <c r="B385" s="34" t="s">
        <v>2854</v>
      </c>
      <c r="C385" s="34" t="s">
        <v>3928</v>
      </c>
      <c r="D385" s="34" t="s">
        <v>3857</v>
      </c>
      <c r="E385" s="34" t="s">
        <v>3864</v>
      </c>
      <c r="F385" s="3">
        <v>38103.083333333299</v>
      </c>
      <c r="G385" s="35">
        <f ca="1">YEAR(TODAY()) - YEAR(F385) - (IF(DATE(YEAR(TODAY()), MONTH(F385), DAY(F385)) &gt; TODAY(), 1, 0))</f>
        <v>21</v>
      </c>
      <c r="H385" cm="1">
        <f t="array" aca="1" ref="H385" ca="1">SUMPRODUCT((BRON!A385:A1580=Table1[[#This Row],[Personeelsnummer]])*(YEAR(BRON!T385:T1580)=YEAR(TODAY())))</f>
        <v>0</v>
      </c>
    </row>
    <row r="386" spans="1:8" x14ac:dyDescent="0.25">
      <c r="A386" s="34" t="s">
        <v>2420</v>
      </c>
      <c r="B386" s="34" t="s">
        <v>2419</v>
      </c>
      <c r="C386" s="34" t="s">
        <v>3956</v>
      </c>
      <c r="D386" s="34" t="s">
        <v>3857</v>
      </c>
      <c r="E386" s="34" t="s">
        <v>3881</v>
      </c>
      <c r="F386" s="3">
        <v>39405.041666666701</v>
      </c>
      <c r="G386" s="35">
        <f ca="1">YEAR(TODAY()) - YEAR(F386) - (IF(DATE(YEAR(TODAY()), MONTH(F386), DAY(F386)) &gt; TODAY(), 1, 0))</f>
        <v>18</v>
      </c>
      <c r="H386" cm="1">
        <f t="array" aca="1" ref="H386" ca="1">SUMPRODUCT((BRON!A386:A1581=Table1[[#This Row],[Personeelsnummer]])*(YEAR(BRON!T386:T1581)=YEAR(TODAY())))</f>
        <v>0</v>
      </c>
    </row>
    <row r="387" spans="1:8" x14ac:dyDescent="0.25">
      <c r="A387" s="34" t="s">
        <v>2982</v>
      </c>
      <c r="B387" s="34" t="s">
        <v>2981</v>
      </c>
      <c r="C387" s="34" t="s">
        <v>4010</v>
      </c>
      <c r="D387" s="34" t="s">
        <v>3853</v>
      </c>
      <c r="E387" s="34" t="s">
        <v>3871</v>
      </c>
      <c r="F387" s="3">
        <v>41827.083333333299</v>
      </c>
      <c r="G387" s="35">
        <f ca="1">YEAR(TODAY()) - YEAR(F387) - (IF(DATE(YEAR(TODAY()), MONTH(F387), DAY(F387)) &gt; TODAY(), 1, 0))</f>
        <v>11</v>
      </c>
      <c r="H387" cm="1">
        <f t="array" aca="1" ref="H387" ca="1">SUMPRODUCT((BRON!A387:A1582=Table1[[#This Row],[Personeelsnummer]])*(YEAR(BRON!T387:T1582)=YEAR(TODAY())))</f>
        <v>0</v>
      </c>
    </row>
    <row r="388" spans="1:8" x14ac:dyDescent="0.25">
      <c r="A388" s="34" t="s">
        <v>1674</v>
      </c>
      <c r="B388" s="34" t="s">
        <v>1673</v>
      </c>
      <c r="C388" s="34" t="s">
        <v>4049</v>
      </c>
      <c r="D388" s="34" t="s">
        <v>3860</v>
      </c>
      <c r="E388" s="34" t="s">
        <v>3866</v>
      </c>
      <c r="F388" s="3">
        <v>43304.083333333299</v>
      </c>
      <c r="G388" s="35">
        <f ca="1">YEAR(TODAY()) - YEAR(F388) - (IF(DATE(YEAR(TODAY()), MONTH(F388), DAY(F388)) &gt; TODAY(), 1, 0))</f>
        <v>7</v>
      </c>
      <c r="H388" cm="1">
        <f t="array" aca="1" ref="H388" ca="1">SUMPRODUCT((BRON!A388:A1583=Table1[[#This Row],[Personeelsnummer]])*(YEAR(BRON!T388:T1583)=YEAR(TODAY())))</f>
        <v>0</v>
      </c>
    </row>
    <row r="389" spans="1:8" x14ac:dyDescent="0.25">
      <c r="A389" s="34" t="s">
        <v>3601</v>
      </c>
      <c r="B389" s="34" t="s">
        <v>4105</v>
      </c>
      <c r="C389" s="34" t="s">
        <v>4106</v>
      </c>
      <c r="D389" s="34" t="s">
        <v>3853</v>
      </c>
      <c r="E389" s="34" t="s">
        <v>3870</v>
      </c>
      <c r="F389" s="3">
        <v>44347.083333333299</v>
      </c>
      <c r="G389" s="35">
        <f ca="1">YEAR(TODAY()) - YEAR(F389) - (IF(DATE(YEAR(TODAY()), MONTH(F389), DAY(F389)) &gt; TODAY(), 1, 0))</f>
        <v>4</v>
      </c>
      <c r="H389" cm="1">
        <f t="array" aca="1" ref="H389" ca="1">SUMPRODUCT((BRON!A389:A1584=Table1[[#This Row],[Personeelsnummer]])*(YEAR(BRON!T389:T1584)=YEAR(TODAY())))</f>
        <v>0</v>
      </c>
    </row>
    <row r="390" spans="1:8" x14ac:dyDescent="0.25">
      <c r="A390" s="34" t="s">
        <v>3228</v>
      </c>
      <c r="B390" s="34" t="s">
        <v>3227</v>
      </c>
      <c r="C390" s="34" t="s">
        <v>4128</v>
      </c>
      <c r="D390" s="34" t="s">
        <v>3860</v>
      </c>
      <c r="E390" s="34" t="s">
        <v>3854</v>
      </c>
      <c r="F390" s="3">
        <v>44683.083333333299</v>
      </c>
      <c r="G390" s="35">
        <f ca="1">YEAR(TODAY()) - YEAR(F390) - (IF(DATE(YEAR(TODAY()), MONTH(F390), DAY(F390)) &gt; TODAY(), 1, 0))</f>
        <v>3</v>
      </c>
      <c r="H390" cm="1">
        <f t="array" aca="1" ref="H390" ca="1">SUMPRODUCT((BRON!A390:A1585=Table1[[#This Row],[Personeelsnummer]])*(YEAR(BRON!T390:T1585)=YEAR(TODAY())))</f>
        <v>0</v>
      </c>
    </row>
    <row r="391" spans="1:8" x14ac:dyDescent="0.25">
      <c r="A391" s="34" t="s">
        <v>2030</v>
      </c>
      <c r="B391" s="34" t="s">
        <v>2029</v>
      </c>
      <c r="C391" s="34" t="s">
        <v>4171</v>
      </c>
      <c r="D391" s="34" t="s">
        <v>3853</v>
      </c>
      <c r="E391" s="34" t="s">
        <v>3863</v>
      </c>
      <c r="F391" s="3">
        <v>45208.083333333299</v>
      </c>
      <c r="G391" s="35">
        <f ca="1">YEAR(TODAY()) - YEAR(F391) - (IF(DATE(YEAR(TODAY()), MONTH(F391), DAY(F391)) &gt; TODAY(), 1, 0))</f>
        <v>2</v>
      </c>
      <c r="H391" cm="1">
        <f t="array" aca="1" ref="H391" ca="1">SUMPRODUCT((BRON!A391:A1586=Table1[[#This Row],[Personeelsnummer]])*(YEAR(BRON!T391:T1586)=YEAR(TODAY())))</f>
        <v>0</v>
      </c>
    </row>
    <row r="392" spans="1:8" x14ac:dyDescent="0.25">
      <c r="A392" s="34" t="s">
        <v>2792</v>
      </c>
      <c r="B392" s="34" t="s">
        <v>2795</v>
      </c>
      <c r="C392" s="34" t="s">
        <v>4177</v>
      </c>
      <c r="D392" s="34" t="s">
        <v>3860</v>
      </c>
      <c r="E392" s="34" t="s">
        <v>3864</v>
      </c>
      <c r="F392" s="3">
        <v>45222.083333333299</v>
      </c>
      <c r="G392" s="35">
        <f ca="1">YEAR(TODAY()) - YEAR(F392) - (IF(DATE(YEAR(TODAY()), MONTH(F392), DAY(F392)) &gt; TODAY(), 1, 0))</f>
        <v>2</v>
      </c>
      <c r="H392" cm="1">
        <f t="array" aca="1" ref="H392" ca="1">SUMPRODUCT((BRON!A392:A1587=Table1[[#This Row],[Personeelsnummer]])*(YEAR(BRON!T392:T1587)=YEAR(TODAY())))</f>
        <v>0</v>
      </c>
    </row>
    <row r="393" spans="1:8" x14ac:dyDescent="0.25">
      <c r="A393" s="34" t="s">
        <v>1532</v>
      </c>
      <c r="B393" s="34" t="s">
        <v>1531</v>
      </c>
      <c r="C393" s="34" t="s">
        <v>4223</v>
      </c>
      <c r="D393" s="34" t="s">
        <v>3860</v>
      </c>
      <c r="E393" s="34" t="s">
        <v>3864</v>
      </c>
      <c r="F393" s="3">
        <v>45484.083333333299</v>
      </c>
      <c r="G393" s="35">
        <f ca="1">YEAR(TODAY()) - YEAR(F393) - (IF(DATE(YEAR(TODAY()), MONTH(F393), DAY(F393)) &gt; TODAY(), 1, 0))</f>
        <v>1</v>
      </c>
      <c r="H393" cm="1">
        <f t="array" aca="1" ref="H393" ca="1">SUMPRODUCT((BRON!A393:A1588=Table1[[#This Row],[Personeelsnummer]])*(YEAR(BRON!T393:T1588)=YEAR(TODAY())))</f>
        <v>0</v>
      </c>
    </row>
    <row r="394" spans="1:8" x14ac:dyDescent="0.25">
      <c r="A394" s="34" t="s">
        <v>2762</v>
      </c>
      <c r="B394" s="34" t="s">
        <v>2761</v>
      </c>
      <c r="C394" s="34" t="s">
        <v>4158</v>
      </c>
      <c r="D394" s="34" t="s">
        <v>3853</v>
      </c>
      <c r="E394" s="34" t="s">
        <v>3866</v>
      </c>
      <c r="F394" s="3">
        <v>45061.083333333299</v>
      </c>
      <c r="G394" s="35">
        <f ca="1">YEAR(TODAY()) - YEAR(F394) - (IF(DATE(YEAR(TODAY()), MONTH(F394), DAY(F394)) &gt; TODAY(), 1, 0))</f>
        <v>2</v>
      </c>
      <c r="H394" cm="1">
        <f t="array" aca="1" ref="H394" ca="1">SUMPRODUCT((BRON!A394:A1589=Table1[[#This Row],[Personeelsnummer]])*(YEAR(BRON!T394:T1589)=YEAR(TODAY())))</f>
        <v>0</v>
      </c>
    </row>
    <row r="395" spans="1:8" x14ac:dyDescent="0.25">
      <c r="A395" s="34" t="s">
        <v>2133</v>
      </c>
      <c r="B395" s="34" t="s">
        <v>2132</v>
      </c>
      <c r="C395" s="34" t="s">
        <v>4182</v>
      </c>
      <c r="D395" s="34" t="s">
        <v>3860</v>
      </c>
      <c r="E395" s="34" t="s">
        <v>3864</v>
      </c>
      <c r="F395" s="3">
        <v>45250.041666666701</v>
      </c>
      <c r="G395" s="35">
        <f ca="1">YEAR(TODAY()) - YEAR(F395) - (IF(DATE(YEAR(TODAY()), MONTH(F395), DAY(F395)) &gt; TODAY(), 1, 0))</f>
        <v>2</v>
      </c>
      <c r="H395" cm="1">
        <f t="array" aca="1" ref="H395" ca="1">SUMPRODUCT((BRON!A395:A1590=Table1[[#This Row],[Personeelsnummer]])*(YEAR(BRON!T395:T1590)=YEAR(TODAY())))</f>
        <v>0</v>
      </c>
    </row>
    <row r="396" spans="1:8" x14ac:dyDescent="0.25">
      <c r="A396" s="34" t="s">
        <v>1733</v>
      </c>
      <c r="B396" s="34" t="s">
        <v>1738</v>
      </c>
      <c r="C396" s="34" t="s">
        <v>4202</v>
      </c>
      <c r="D396" s="34" t="s">
        <v>3860</v>
      </c>
      <c r="E396" s="34" t="s">
        <v>3863</v>
      </c>
      <c r="F396" s="3">
        <v>45335.041666666701</v>
      </c>
      <c r="G396" s="35">
        <f ca="1">YEAR(TODAY()) - YEAR(F396) - (IF(DATE(YEAR(TODAY()), MONTH(F396), DAY(F396)) &gt; TODAY(), 1, 0))</f>
        <v>1</v>
      </c>
      <c r="H396" cm="1">
        <f t="array" aca="1" ref="H396" ca="1">SUMPRODUCT((BRON!A396:A1591=Table1[[#This Row],[Personeelsnummer]])*(YEAR(BRON!T396:T1591)=YEAR(TODAY())))</f>
        <v>0</v>
      </c>
    </row>
    <row r="397" spans="1:8" x14ac:dyDescent="0.25">
      <c r="A397" s="34" t="s">
        <v>2800</v>
      </c>
      <c r="B397" s="34" t="s">
        <v>1959</v>
      </c>
      <c r="C397" s="34" t="s">
        <v>4222</v>
      </c>
      <c r="D397" s="34" t="s">
        <v>3860</v>
      </c>
      <c r="E397" s="34" t="s">
        <v>3870</v>
      </c>
      <c r="F397" s="3">
        <v>45470.083333333299</v>
      </c>
      <c r="G397" s="35">
        <f ca="1">YEAR(TODAY()) - YEAR(F397) - (IF(DATE(YEAR(TODAY()), MONTH(F397), DAY(F397)) &gt; TODAY(), 1, 0))</f>
        <v>1</v>
      </c>
      <c r="H397" cm="1">
        <f t="array" aca="1" ref="H397" ca="1">SUMPRODUCT((BRON!A397:A1592=Table1[[#This Row],[Personeelsnummer]])*(YEAR(BRON!T397:T1592)=YEAR(TODAY())))</f>
        <v>0</v>
      </c>
    </row>
    <row r="398" spans="1:8" x14ac:dyDescent="0.25">
      <c r="A398" s="34" t="s">
        <v>1328</v>
      </c>
      <c r="B398" s="34" t="s">
        <v>1629</v>
      </c>
      <c r="C398" s="34" t="s">
        <v>4131</v>
      </c>
      <c r="D398" s="34" t="s">
        <v>3860</v>
      </c>
      <c r="E398" s="34" t="s">
        <v>3864</v>
      </c>
      <c r="F398" s="3">
        <v>44719.083333333299</v>
      </c>
      <c r="G398" s="35">
        <f ca="1">YEAR(TODAY()) - YEAR(F398) - (IF(DATE(YEAR(TODAY()), MONTH(F398), DAY(F398)) &gt; TODAY(), 1, 0))</f>
        <v>3</v>
      </c>
      <c r="H398" cm="1">
        <f t="array" aca="1" ref="H398" ca="1">SUMPRODUCT((BRON!A398:A1593=Table1[[#This Row],[Personeelsnummer]])*(YEAR(BRON!T398:T1593)=YEAR(TODAY())))</f>
        <v>0</v>
      </c>
    </row>
    <row r="399" spans="1:8" x14ac:dyDescent="0.25">
      <c r="A399" s="34" t="s">
        <v>2987</v>
      </c>
      <c r="B399" s="34" t="s">
        <v>2986</v>
      </c>
      <c r="C399" s="34" t="s">
        <v>4235</v>
      </c>
      <c r="D399" s="34" t="s">
        <v>3860</v>
      </c>
      <c r="E399" s="34" t="s">
        <v>3881</v>
      </c>
      <c r="F399" s="3">
        <v>45574.083333333299</v>
      </c>
      <c r="G399" s="35">
        <f ca="1">YEAR(TODAY()) - YEAR(F399) - (IF(DATE(YEAR(TODAY()), MONTH(F399), DAY(F399)) &gt; TODAY(), 1, 0))</f>
        <v>1</v>
      </c>
      <c r="H399" cm="1">
        <f t="array" aca="1" ref="H399" ca="1">SUMPRODUCT((BRON!A399:A1594=Table1[[#This Row],[Personeelsnummer]])*(YEAR(BRON!T399:T1594)=YEAR(TODAY())))</f>
        <v>0</v>
      </c>
    </row>
    <row r="400" spans="1:8" x14ac:dyDescent="0.25">
      <c r="A400" s="34" t="s">
        <v>2269</v>
      </c>
      <c r="B400" s="34" t="s">
        <v>2268</v>
      </c>
      <c r="C400" s="34" t="s">
        <v>4195</v>
      </c>
      <c r="D400" s="34" t="s">
        <v>3860</v>
      </c>
      <c r="E400" s="34" t="s">
        <v>3863</v>
      </c>
      <c r="F400" s="3">
        <v>45299.041666666701</v>
      </c>
      <c r="G400" s="35">
        <f ca="1">YEAR(TODAY()) - YEAR(F400) - (IF(DATE(YEAR(TODAY()), MONTH(F400), DAY(F400)) &gt; TODAY(), 1, 0))</f>
        <v>1</v>
      </c>
      <c r="H400" cm="1">
        <f t="array" aca="1" ref="H400" ca="1">SUMPRODUCT((BRON!A400:A1595=Table1[[#This Row],[Personeelsnummer]])*(YEAR(BRON!T400:T1595)=YEAR(TODAY())))</f>
        <v>0</v>
      </c>
    </row>
    <row r="401" spans="1:8" x14ac:dyDescent="0.25">
      <c r="A401" s="34" t="s">
        <v>2866</v>
      </c>
      <c r="B401" s="34" t="s">
        <v>2869</v>
      </c>
      <c r="C401" s="34" t="s">
        <v>3944</v>
      </c>
      <c r="D401" s="34" t="s">
        <v>3860</v>
      </c>
      <c r="E401" s="34" t="s">
        <v>3864</v>
      </c>
      <c r="F401" s="3">
        <v>39006.083333333299</v>
      </c>
      <c r="G401" s="35">
        <f ca="1">YEAR(TODAY()) - YEAR(F401) - (IF(DATE(YEAR(TODAY()), MONTH(F401), DAY(F401)) &gt; TODAY(), 1, 0))</f>
        <v>19</v>
      </c>
      <c r="H401" cm="1">
        <f t="array" aca="1" ref="H401" ca="1">SUMPRODUCT((BRON!A401:A1596=Table1[[#This Row],[Personeelsnummer]])*(YEAR(BRON!T401:T1596)=YEAR(TODAY())))</f>
        <v>0</v>
      </c>
    </row>
    <row r="402" spans="1:8" x14ac:dyDescent="0.25">
      <c r="A402" s="34" t="s">
        <v>2524</v>
      </c>
      <c r="B402" s="34" t="s">
        <v>2523</v>
      </c>
      <c r="C402" s="34" t="s">
        <v>4109</v>
      </c>
      <c r="D402" s="34" t="s">
        <v>3853</v>
      </c>
      <c r="E402" s="34" t="s">
        <v>3871</v>
      </c>
      <c r="F402" s="3">
        <v>44389.083333333299</v>
      </c>
      <c r="G402" s="35">
        <f ca="1">YEAR(TODAY()) - YEAR(F402) - (IF(DATE(YEAR(TODAY()), MONTH(F402), DAY(F402)) &gt; TODAY(), 1, 0))</f>
        <v>4</v>
      </c>
      <c r="H402" cm="1">
        <f t="array" aca="1" ref="H402" ca="1">SUMPRODUCT((BRON!A402:A1597=Table1[[#This Row],[Personeelsnummer]])*(YEAR(BRON!T402:T1597)=YEAR(TODAY())))</f>
        <v>0</v>
      </c>
    </row>
    <row r="403" spans="1:8" x14ac:dyDescent="0.25">
      <c r="A403" s="34" t="s">
        <v>1579</v>
      </c>
      <c r="B403" s="34" t="s">
        <v>1578</v>
      </c>
      <c r="C403" s="34" t="s">
        <v>4204</v>
      </c>
      <c r="D403" s="34" t="s">
        <v>3860</v>
      </c>
      <c r="E403" s="34" t="s">
        <v>3863</v>
      </c>
      <c r="F403" s="3">
        <v>45335.041666666701</v>
      </c>
      <c r="G403" s="35">
        <f ca="1">YEAR(TODAY()) - YEAR(F403) - (IF(DATE(YEAR(TODAY()), MONTH(F403), DAY(F403)) &gt; TODAY(), 1, 0))</f>
        <v>1</v>
      </c>
      <c r="H403" cm="1">
        <f t="array" aca="1" ref="H403" ca="1">SUMPRODUCT((BRON!A403:A1598=Table1[[#This Row],[Personeelsnummer]])*(YEAR(BRON!T403:T1598)=YEAR(TODAY())))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2025-12-01T09:09:02Z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