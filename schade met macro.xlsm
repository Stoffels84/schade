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00" documentId="13_ncr:1_{BC833B0D-2F54-40DF-A6AF-902741D0EBA0}" xr6:coauthVersionLast="47" xr6:coauthVersionMax="47" xr10:uidLastSave="{6FE94250-8CAE-4301-8D9F-D120F3497881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B860" i="1" s="1"/>
  <c r="D860" i="1"/>
  <c r="E860" i="1"/>
  <c r="S860" i="1"/>
  <c r="C859" i="1" l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<sst xmlns="http://schemas.openxmlformats.org/spreadsheetml/2006/main" count="7773" uniqueCount="3596">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</sst>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/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tabSelected="1" zoomScale="85" zoomScaleNormal="85" workbookViewId="0">
      <pane ySplit="1" topLeftCell="A825" activePane="bottomLeft" state="frozen"/>
      <selection activeCell="F1" sqref="F1"/>
      <selection pane="bottomLeft" activeCell="U859" sqref="U859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V859" s="24"/>
      <c r="W859" s="24"/>
      <c r="AA859" s="39" t="s">
        <v>3592</v>
      </c>
    </row>
    <row r="860" spans="1:27" x14ac:dyDescent="0.25">
      <c r="B860" t="e">
        <f>_xlfn.CONCAT(bron[[#This Row],[personeelsnr]]," ",bron[[#This Row],[achternaam]]," ",bron[[#This Row],[voornaam]])</f>
        <v>#N/A</v>
      </c>
      <c r="C860" t="e">
        <f>VLOOKUP(bron[[#This Row],[personeelsnr]],'data hastus'!$A:$C,2,0)</f>
        <v>#N/A</v>
      </c>
      <c r="D860" t="e">
        <f>VLOOKUP(bron[[#This Row],[personeelsnr]],'data hastus'!$A:$C,3,0)</f>
        <v>#N/A</v>
      </c>
      <c r="E860" t="e">
        <f>VLOOKUP(bron[[#This Row],[personeelsnr]],'data hastus'!A:K,11,FALSE)</f>
        <v>#N/A</v>
      </c>
      <c r="F860" s="10"/>
      <c r="G860" s="7"/>
      <c r="H860" s="7"/>
      <c r="I860" s="7"/>
      <c r="S860" s="40">
        <f>SUM(bron[[#This Row],[Januari]:[December]])</f>
        <v>0</v>
      </c>
      <c r="V860" s="24"/>
      <c r="W860" s="24"/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2025-09-17T11:52:23Z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