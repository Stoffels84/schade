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75" documentId="13_ncr:1_{10FCACA5-8197-478D-90D3-5F83063FB753}" xr6:coauthVersionLast="47" xr6:coauthVersionMax="47" xr10:uidLastSave="{031CD565-B437-487E-9F16-3B1831EEDBBF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28" i="1" l="1"/>
  <c r="B929" i="1"/>
  <c r="B930" i="1"/>
  <c r="B931" i="1"/>
  <c r="B932" i="1"/>
  <c r="C933" i="1"/>
  <c r="D933" i="1"/>
  <c r="E933" i="1"/>
  <c r="S933" i="1"/>
  <c r="C932" i="1"/>
  <c r="D932" i="1"/>
  <c r="E932" i="1"/>
  <c r="S932" i="1"/>
  <c r="C931" i="1"/>
  <c r="D931" i="1"/>
  <c r="E931" i="1"/>
  <c r="S931" i="1"/>
  <c r="C930" i="1"/>
  <c r="D930" i="1"/>
  <c r="E930" i="1"/>
  <c r="S930" i="1"/>
  <c r="C929" i="1"/>
  <c r="D929" i="1"/>
  <c r="E929" i="1"/>
  <c r="S929" i="1"/>
  <c r="C928" i="1"/>
  <c r="D928" i="1"/>
  <c r="E928" i="1"/>
  <c r="S928" i="1"/>
  <c r="C927" i="1"/>
  <c r="D927" i="1"/>
  <c r="E927" i="1"/>
  <c r="S927" i="1"/>
  <c r="C926" i="1"/>
  <c r="D926" i="1"/>
  <c r="E926" i="1"/>
  <c r="S926" i="1"/>
  <c r="C925" i="1"/>
  <c r="D925" i="1"/>
  <c r="E925" i="1"/>
  <c r="S925" i="1"/>
  <c r="C924" i="1"/>
  <c r="D924" i="1"/>
  <c r="E924" i="1"/>
  <c r="S924" i="1"/>
  <c r="C923" i="1"/>
  <c r="D923" i="1"/>
  <c r="E923" i="1"/>
  <c r="S923" i="1"/>
  <c r="C922" i="1"/>
  <c r="D922" i="1"/>
  <c r="E922" i="1"/>
  <c r="S922" i="1"/>
  <c r="C921" i="1"/>
  <c r="D921" i="1"/>
  <c r="E921" i="1"/>
  <c r="S921" i="1"/>
  <c r="C920" i="1"/>
  <c r="D920" i="1"/>
  <c r="E920" i="1"/>
  <c r="S920" i="1"/>
  <c r="C919" i="1"/>
  <c r="D919" i="1"/>
  <c r="E919" i="1"/>
  <c r="S919" i="1"/>
  <c r="C918" i="1"/>
  <c r="D918" i="1"/>
  <c r="E918" i="1"/>
  <c r="S918" i="1"/>
  <c r="C917" i="1"/>
  <c r="D917" i="1"/>
  <c r="E917" i="1"/>
  <c r="S917" i="1"/>
  <c r="C908" i="1"/>
  <c r="D908" i="1"/>
  <c r="E908" i="1"/>
  <c r="S908" i="1"/>
  <c r="C916" i="1"/>
  <c r="D916" i="1"/>
  <c r="E916" i="1"/>
  <c r="S916" i="1"/>
  <c r="C915" i="1"/>
  <c r="D915" i="1"/>
  <c r="E915" i="1"/>
  <c r="S915" i="1"/>
  <c r="C912" i="1"/>
  <c r="D912" i="1"/>
  <c r="E912" i="1"/>
  <c r="S912" i="1"/>
  <c r="C913" i="1"/>
  <c r="D913" i="1"/>
  <c r="E913" i="1"/>
  <c r="S913" i="1"/>
  <c r="C902" i="1"/>
  <c r="D902" i="1"/>
  <c r="E902" i="1"/>
  <c r="S902" i="1"/>
  <c r="C914" i="1"/>
  <c r="D914" i="1"/>
  <c r="E914" i="1"/>
  <c r="S914" i="1"/>
  <c r="C905" i="1"/>
  <c r="D905" i="1"/>
  <c r="E905" i="1"/>
  <c r="S905" i="1"/>
  <c r="C910" i="1"/>
  <c r="D910" i="1"/>
  <c r="E910" i="1"/>
  <c r="S910" i="1"/>
  <c r="C909" i="1"/>
  <c r="D909" i="1"/>
  <c r="E909" i="1"/>
  <c r="S909" i="1"/>
  <c r="C903" i="1"/>
  <c r="D903" i="1"/>
  <c r="E903" i="1"/>
  <c r="S903" i="1"/>
  <c r="C911" i="1"/>
  <c r="D911" i="1"/>
  <c r="E911" i="1"/>
  <c r="S911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14" i="1" l="1"/>
  <c r="B902" i="1"/>
  <c r="B912" i="1"/>
  <c r="B908" i="1"/>
  <c r="B917" i="1"/>
  <c r="B918" i="1"/>
  <c r="B919" i="1"/>
  <c r="B927" i="1"/>
  <c r="B926" i="1"/>
  <c r="B925" i="1"/>
  <c r="B924" i="1"/>
  <c r="B923" i="1"/>
  <c r="B922" i="1"/>
  <c r="B921" i="1"/>
  <c r="B920" i="1"/>
  <c r="B913" i="1"/>
  <c r="B916" i="1"/>
  <c r="B915" i="1"/>
  <c r="B911" i="1"/>
  <c r="B909" i="1"/>
  <c r="B905" i="1"/>
  <c r="B907" i="1"/>
  <c r="B910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7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E5" i="12" l="1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<sst xmlns="http://schemas.openxmlformats.org/spreadsheetml/2006/main" count="8726" uniqueCount="3745">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</sst>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  <xf numFmtId="0" fontId="0" fillId="0" borderId="0" xfId="0" applyNumberFormat="1"/>
    <xf numFmtId="0" fontId="0" fillId="8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80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29</v>
          </cell>
        </row>
        <row r="3">
          <cell r="A3">
            <v>14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10</v>
          </cell>
          <cell r="B5" t="str">
            <v>Els Vanhoe</v>
          </cell>
          <cell r="D5">
            <v>27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11</v>
          </cell>
          <cell r="B8" t="str">
            <v>Lucie Vande Velde</v>
          </cell>
          <cell r="D8">
            <v>25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79">
      <pivotArea dataOnly="0" labelOnly="1" fieldPosition="0">
        <references count="1">
          <reference field="1" count="1">
            <x v="511"/>
          </reference>
        </references>
      </pivotArea>
    </format>
    <format dxfId="78">
      <pivotArea dataOnly="0" labelOnly="1" fieldPosition="0">
        <references count="1">
          <reference field="1" count="1">
            <x v="473"/>
          </reference>
        </references>
      </pivotArea>
    </format>
    <format dxfId="77">
      <pivotArea dataOnly="0" labelOnly="1" fieldPosition="0">
        <references count="1">
          <reference field="1" count="1">
            <x v="497"/>
          </reference>
        </references>
      </pivotArea>
    </format>
    <format dxfId="76">
      <pivotArea dataOnly="0" labelOnly="1" fieldPosition="0">
        <references count="1">
          <reference field="1" count="1">
            <x v="512"/>
          </reference>
        </references>
      </pivotArea>
    </format>
    <format dxfId="75">
      <pivotArea dataOnly="0" labelOnly="1" fieldPosition="0">
        <references count="1">
          <reference field="1" count="1">
            <x v="504"/>
          </reference>
        </references>
      </pivotArea>
    </format>
    <format dxfId="74">
      <pivotArea dataOnly="0" labelOnly="1" fieldPosition="0">
        <references count="1">
          <reference field="1" count="1">
            <x v="90"/>
          </reference>
        </references>
      </pivotArea>
    </format>
    <format dxfId="73">
      <pivotArea dataOnly="0" labelOnly="1" fieldPosition="0">
        <references count="1">
          <reference field="1" count="1">
            <x v="280"/>
          </reference>
        </references>
      </pivotArea>
    </format>
    <format dxfId="72">
      <pivotArea dataOnly="0" labelOnly="1" fieldPosition="0">
        <references count="1">
          <reference field="1" count="1">
            <x v="514"/>
          </reference>
        </references>
      </pivotArea>
    </format>
    <format dxfId="71">
      <pivotArea dataOnly="0" labelOnly="1" fieldPosition="0">
        <references count="1">
          <reference field="1" count="1">
            <x v="478"/>
          </reference>
        </references>
      </pivotArea>
    </format>
    <format dxfId="70">
      <pivotArea dataOnly="0" labelOnly="1" fieldPosition="0">
        <references count="1">
          <reference field="1" count="1">
            <x v="510"/>
          </reference>
        </references>
      </pivotArea>
    </format>
    <format dxfId="69">
      <pivotArea dataOnly="0" labelOnly="1" fieldPosition="0">
        <references count="1">
          <reference field="1" count="1">
            <x v="481"/>
          </reference>
        </references>
      </pivotArea>
    </format>
    <format dxfId="68">
      <pivotArea dataOnly="0" labelOnly="1" fieldPosition="0">
        <references count="1">
          <reference field="1" count="1">
            <x v="435"/>
          </reference>
        </references>
      </pivotArea>
    </format>
    <format dxfId="67">
      <pivotArea dataOnly="0" labelOnly="1" fieldPosition="0">
        <references count="1">
          <reference field="1" count="1">
            <x v="112"/>
          </reference>
        </references>
      </pivotArea>
    </format>
    <format dxfId="66">
      <pivotArea dataOnly="0" labelOnly="1" fieldPosition="0">
        <references count="1">
          <reference field="1" count="1">
            <x v="157"/>
          </reference>
        </references>
      </pivotArea>
    </format>
    <format dxfId="65">
      <pivotArea dataOnly="0" labelOnly="1" fieldPosition="0">
        <references count="1">
          <reference field="1" count="1">
            <x v="490"/>
          </reference>
        </references>
      </pivotArea>
    </format>
    <format dxfId="64">
      <pivotArea dataOnly="0" labelOnly="1" fieldPosition="0">
        <references count="1">
          <reference field="1" count="1">
            <x v="506"/>
          </reference>
        </references>
      </pivotArea>
    </format>
    <format dxfId="63">
      <pivotArea dataOnly="0" labelOnly="1" fieldPosition="0">
        <references count="1">
          <reference field="1" count="1">
            <x v="520"/>
          </reference>
        </references>
      </pivotArea>
    </format>
    <format dxfId="62">
      <pivotArea dataOnly="0" labelOnly="1" fieldPosition="0">
        <references count="1">
          <reference field="1" count="1">
            <x v="250"/>
          </reference>
        </references>
      </pivotArea>
    </format>
    <format dxfId="61">
      <pivotArea dataOnly="0" labelOnly="1" fieldPosition="0">
        <references count="1">
          <reference field="1" count="1">
            <x v="432"/>
          </reference>
        </references>
      </pivotArea>
    </format>
    <format dxfId="60">
      <pivotArea dataOnly="0" labelOnly="1" fieldPosition="0">
        <references count="1">
          <reference field="1" count="1">
            <x v="440"/>
          </reference>
        </references>
      </pivotArea>
    </format>
    <format dxfId="59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58">
      <pivotArea dataOnly="0" labelOnly="1" fieldPosition="0">
        <references count="1">
          <reference field="1" count="1">
            <x v="348"/>
          </reference>
        </references>
      </pivotArea>
    </format>
    <format dxfId="57">
      <pivotArea dataOnly="0" labelOnly="1" fieldPosition="0">
        <references count="1">
          <reference field="1" count="1">
            <x v="355"/>
          </reference>
        </references>
      </pivotArea>
    </format>
    <format dxfId="56">
      <pivotArea dataOnly="0" labelOnly="1" fieldPosition="0">
        <references count="1">
          <reference field="1" count="1">
            <x v="498"/>
          </reference>
        </references>
      </pivotArea>
    </format>
    <format dxfId="55">
      <pivotArea dataOnly="0" labelOnly="1" fieldPosition="0">
        <references count="1">
          <reference field="1" count="1">
            <x v="508"/>
          </reference>
        </references>
      </pivotArea>
    </format>
    <format dxfId="54">
      <pivotArea dataOnly="0" labelOnly="1" fieldPosition="0">
        <references count="1">
          <reference field="1" count="1">
            <x v="397"/>
          </reference>
        </references>
      </pivotArea>
    </format>
    <format dxfId="53">
      <pivotArea dataOnly="0" labelOnly="1" fieldPosition="0">
        <references count="1">
          <reference field="1" count="1">
            <x v="513"/>
          </reference>
        </references>
      </pivotArea>
    </format>
    <format dxfId="52">
      <pivotArea dataOnly="0" labelOnly="1" fieldPosition="0">
        <references count="1">
          <reference field="1" count="1">
            <x v="412"/>
          </reference>
        </references>
      </pivotArea>
    </format>
    <format dxfId="51">
      <pivotArea dataOnly="0" labelOnly="1" fieldPosition="0">
        <references count="1">
          <reference field="1" count="1">
            <x v="507"/>
          </reference>
        </references>
      </pivotArea>
    </format>
    <format dxfId="50">
      <pivotArea dataOnly="0" labelOnly="1" fieldPosition="0">
        <references count="1">
          <reference field="1" count="1">
            <x v="507"/>
          </reference>
        </references>
      </pivotArea>
    </format>
    <format dxfId="49">
      <pivotArea dataOnly="0" labelOnly="1" fieldPosition="0">
        <references count="1">
          <reference field="1" count="1">
            <x v="342"/>
          </reference>
        </references>
      </pivotArea>
    </format>
    <format dxfId="48">
      <pivotArea dataOnly="0" labelOnly="1" fieldPosition="0">
        <references count="1">
          <reference field="1" count="1">
            <x v="501"/>
          </reference>
        </references>
      </pivotArea>
    </format>
    <format dxfId="47">
      <pivotArea dataOnly="0" labelOnly="1" fieldPosition="0">
        <references count="1">
          <reference field="1" count="1">
            <x v="351"/>
          </reference>
        </references>
      </pivotArea>
    </format>
    <format dxfId="46">
      <pivotArea dataOnly="0" labelOnly="1" fieldPosition="0">
        <references count="1">
          <reference field="1" count="1">
            <x v="156"/>
          </reference>
        </references>
      </pivotArea>
    </format>
    <format dxfId="45">
      <pivotArea dataOnly="0" labelOnly="1" fieldPosition="0">
        <references count="1">
          <reference field="1" count="1">
            <x v="358"/>
          </reference>
        </references>
      </pivotArea>
    </format>
    <format dxfId="44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43">
      <pivotArea dataOnly="0" labelOnly="1" fieldPosition="0">
        <references count="1">
          <reference field="1" count="1">
            <x v="438"/>
          </reference>
        </references>
      </pivotArea>
    </format>
    <format dxfId="42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41">
      <pivotArea dataOnly="0" labelOnly="1" fieldPosition="0">
        <references count="1">
          <reference field="1" count="1">
            <x v="309"/>
          </reference>
        </references>
      </pivotArea>
    </format>
    <format dxfId="40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39">
      <pivotArea dataOnly="0" labelOnly="1" fieldPosition="0">
        <references count="1">
          <reference field="1" count="1">
            <x v="374"/>
          </reference>
        </references>
      </pivotArea>
    </format>
    <format dxfId="38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37">
      <pivotArea dataOnly="0" labelOnly="1" fieldPosition="0">
        <references count="1">
          <reference field="1" count="1">
            <x v="407"/>
          </reference>
        </references>
      </pivotArea>
    </format>
    <format dxfId="36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4"/>
    <tableColumn id="5" xr3:uid="{DF37AD45-FC5C-478A-989D-9143E744CEEA}" name="voornaam" dataDxfId="33">
      <calculatedColumnFormula>VLOOKUP(Tabel2[[#This Row],[nr]],'data hastus'!A:C,3,FALSE)</calculatedColumnFormula>
    </tableColumn>
    <tableColumn id="6" xr3:uid="{4098FAFB-9B09-4A81-8B22-18CC90B5F979}" name="achternaam" dataDxfId="32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33" totalsRowShown="0" headerRowDxfId="28">
  <autoFilter ref="A1:AA933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18">
    <sortCondition ref="T1:T918"/>
  </sortState>
  <tableColumns count="27">
    <tableColumn id="1" xr3:uid="{A89FCEBD-EFF0-43A5-BEAC-9201FF09453E}" name="personeelsnr"/>
    <tableColumn id="23" xr3:uid="{3989647C-F1EB-4322-A586-1EC53B4E823E}" name="volledige naam" dataDxfId="27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6"/>
    <tableColumn id="11" xr3:uid="{97ECF1D5-48DC-4487-B3C2-17232CC8E19E}" name="Januari" dataDxfId="25"/>
    <tableColumn id="12" xr3:uid="{7B2FF520-A575-45C0-BB5A-19B87DDB4EA0}" name="Februari" dataDxfId="24"/>
    <tableColumn id="13" xr3:uid="{4E6C30D1-FB72-4AB2-900F-14A3D53F34DE}" name="Maart" dataDxfId="23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2">
      <calculatedColumnFormula>SUM(bron[[#This Row],[Januari]:[December]])</calculatedColumnFormula>
    </tableColumn>
    <tableColumn id="10" xr3:uid="{8D9646BD-38B6-4F4D-9859-B3933369346B}" name="Datum" dataDxfId="21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33203125" style="27" bestFit="1" customWidth="1"/>
    <col min="10" max="10" width="16.33203125" style="27" bestFit="1" customWidth="1"/>
    <col min="11" max="12" width="9.88671875" style="27" bestFit="1" customWidth="1"/>
    <col min="13" max="13" width="7.5546875" style="27" bestFit="1" customWidth="1"/>
    <col min="14" max="14" width="6.88671875" style="27" bestFit="1" customWidth="1"/>
    <col min="15" max="15" width="2.33203125" style="27" bestFit="1" customWidth="1"/>
    <col min="16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3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3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3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3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3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3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3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3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3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3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3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3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3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3">
      <c r="C26" s="34" t="s">
        <v>42</v>
      </c>
      <c r="D26">
        <v>3</v>
      </c>
      <c r="F26" s="2" t="s">
        <v>100</v>
      </c>
      <c r="G26">
        <v>6</v>
      </c>
    </row>
    <row r="27" spans="2:15" x14ac:dyDescent="0.3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3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3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3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3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3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3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3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3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3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3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3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3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3">
      <c r="C40" s="34" t="s">
        <v>105</v>
      </c>
      <c r="D40">
        <v>2</v>
      </c>
      <c r="F40" s="2" t="s">
        <v>84</v>
      </c>
      <c r="G40">
        <v>3</v>
      </c>
    </row>
    <row r="41" spans="3:15" x14ac:dyDescent="0.3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3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29</v>
      </c>
      <c r="N42" s="13" t="str">
        <f>'[1]Ingeplande per TC'!$B$2</f>
        <v>Christoff Rotty</v>
      </c>
      <c r="O42" s="13"/>
    </row>
    <row r="43" spans="3:15" x14ac:dyDescent="0.3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3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 x14ac:dyDescent="0.3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10</v>
      </c>
      <c r="J45" s="13" t="str">
        <f>'[1]Ingeplande per TC'!$B$5</f>
        <v>Els Vanhoe</v>
      </c>
      <c r="K45" s="13"/>
      <c r="L45" s="25"/>
      <c r="M45" s="13">
        <f>'[1]Ingeplande per TC'!$D$5</f>
        <v>27</v>
      </c>
      <c r="N45" s="13" t="str">
        <f>'[1]Ingeplande per TC'!$B$5</f>
        <v>Els Vanhoe</v>
      </c>
      <c r="O45" s="13"/>
    </row>
    <row r="46" spans="3:15" x14ac:dyDescent="0.3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3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 x14ac:dyDescent="0.3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25</v>
      </c>
      <c r="N48" s="13" t="str">
        <f>'[1]Ingeplande per TC'!$B$8</f>
        <v>Lucie Vande Velde</v>
      </c>
      <c r="O48" s="13"/>
    </row>
    <row r="49" spans="3:15" x14ac:dyDescent="0.3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3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79</v>
      </c>
      <c r="J50" s="14" t="s">
        <v>109</v>
      </c>
      <c r="K50" s="14"/>
      <c r="L50" s="25"/>
      <c r="M50" s="14">
        <f>SUM(M42:M49)</f>
        <v>207</v>
      </c>
      <c r="N50" s="14" t="s">
        <v>109</v>
      </c>
      <c r="O50" s="14"/>
    </row>
    <row r="51" spans="3:15" x14ac:dyDescent="0.3">
      <c r="C51" s="2" t="s">
        <v>311</v>
      </c>
      <c r="D51">
        <v>2</v>
      </c>
      <c r="F51" s="2" t="s">
        <v>3502</v>
      </c>
      <c r="G51">
        <v>2</v>
      </c>
    </row>
    <row r="52" spans="3:15" x14ac:dyDescent="0.3">
      <c r="C52" s="31" t="s">
        <v>65</v>
      </c>
      <c r="D52">
        <v>2</v>
      </c>
      <c r="F52" s="2" t="s">
        <v>111</v>
      </c>
      <c r="G52">
        <v>2</v>
      </c>
    </row>
    <row r="53" spans="3:15" x14ac:dyDescent="0.3">
      <c r="C53" s="2" t="s">
        <v>188</v>
      </c>
      <c r="D53">
        <v>2</v>
      </c>
      <c r="F53" s="2" t="s">
        <v>104</v>
      </c>
      <c r="G53">
        <v>2</v>
      </c>
    </row>
    <row r="54" spans="3:15" x14ac:dyDescent="0.3">
      <c r="C54" s="34" t="s">
        <v>138</v>
      </c>
      <c r="D54">
        <v>2</v>
      </c>
      <c r="F54" s="2" t="s">
        <v>226</v>
      </c>
      <c r="G54">
        <v>2</v>
      </c>
    </row>
    <row r="55" spans="3:15" x14ac:dyDescent="0.3">
      <c r="C55" s="31" t="s">
        <v>124</v>
      </c>
      <c r="D55">
        <v>2</v>
      </c>
      <c r="F55" s="2" t="s">
        <v>102</v>
      </c>
      <c r="G55">
        <v>2</v>
      </c>
    </row>
    <row r="56" spans="3:15" x14ac:dyDescent="0.3">
      <c r="C56" s="2" t="s">
        <v>316</v>
      </c>
      <c r="D56">
        <v>2</v>
      </c>
      <c r="F56" s="2" t="s">
        <v>115</v>
      </c>
      <c r="G56">
        <v>2</v>
      </c>
    </row>
    <row r="57" spans="3:15" x14ac:dyDescent="0.3">
      <c r="C57" s="31" t="s">
        <v>128</v>
      </c>
      <c r="D57">
        <v>2</v>
      </c>
      <c r="F57" s="2" t="s">
        <v>127</v>
      </c>
      <c r="G57">
        <v>2</v>
      </c>
    </row>
    <row r="58" spans="3:15" x14ac:dyDescent="0.3">
      <c r="C58" s="34" t="s">
        <v>53</v>
      </c>
      <c r="D58">
        <v>2</v>
      </c>
      <c r="F58" s="2" t="s">
        <v>135</v>
      </c>
      <c r="G58">
        <v>2</v>
      </c>
    </row>
    <row r="59" spans="3:15" x14ac:dyDescent="0.3">
      <c r="C59" s="34" t="s">
        <v>132</v>
      </c>
      <c r="D59">
        <v>2</v>
      </c>
      <c r="F59" s="2" t="s">
        <v>117</v>
      </c>
      <c r="G59">
        <v>2</v>
      </c>
    </row>
    <row r="60" spans="3:15" x14ac:dyDescent="0.3">
      <c r="C60" s="31" t="s">
        <v>122</v>
      </c>
      <c r="D60">
        <v>2</v>
      </c>
      <c r="F60" s="2" t="s">
        <v>92</v>
      </c>
      <c r="G60">
        <v>2</v>
      </c>
    </row>
    <row r="61" spans="3:15" x14ac:dyDescent="0.3">
      <c r="C61" s="2" t="s">
        <v>307</v>
      </c>
      <c r="D61">
        <v>2</v>
      </c>
      <c r="F61" s="2" t="s">
        <v>125</v>
      </c>
      <c r="G61">
        <v>2</v>
      </c>
    </row>
    <row r="62" spans="3:15" x14ac:dyDescent="0.3">
      <c r="C62" s="34" t="s">
        <v>126</v>
      </c>
      <c r="D62">
        <v>2</v>
      </c>
      <c r="F62" s="2" t="s">
        <v>94</v>
      </c>
      <c r="G62">
        <v>2</v>
      </c>
    </row>
    <row r="63" spans="3:15" x14ac:dyDescent="0.3">
      <c r="C63" s="2" t="s">
        <v>192</v>
      </c>
      <c r="D63">
        <v>2</v>
      </c>
      <c r="F63" s="2" t="s">
        <v>88</v>
      </c>
      <c r="G63">
        <v>2</v>
      </c>
    </row>
    <row r="64" spans="3:15" x14ac:dyDescent="0.3">
      <c r="C64" s="2" t="s">
        <v>348</v>
      </c>
      <c r="D64">
        <v>2</v>
      </c>
      <c r="F64" s="2" t="s">
        <v>218</v>
      </c>
      <c r="G64">
        <v>2</v>
      </c>
    </row>
    <row r="65" spans="3:7" x14ac:dyDescent="0.3">
      <c r="C65" s="31" t="s">
        <v>80</v>
      </c>
      <c r="D65">
        <v>2</v>
      </c>
      <c r="F65" s="2" t="s">
        <v>1323</v>
      </c>
      <c r="G65">
        <v>2</v>
      </c>
    </row>
    <row r="66" spans="3:7" x14ac:dyDescent="0.3">
      <c r="C66" s="31" t="s">
        <v>130</v>
      </c>
      <c r="D66">
        <v>2</v>
      </c>
      <c r="F66" s="2" t="s">
        <v>98</v>
      </c>
      <c r="G66">
        <v>2</v>
      </c>
    </row>
    <row r="67" spans="3:7" x14ac:dyDescent="0.3">
      <c r="C67" s="33" t="s">
        <v>62</v>
      </c>
      <c r="D67">
        <v>2</v>
      </c>
      <c r="F67" s="2" t="s">
        <v>578</v>
      </c>
      <c r="G67">
        <v>2</v>
      </c>
    </row>
    <row r="68" spans="3:7" x14ac:dyDescent="0.3">
      <c r="C68" s="34" t="s">
        <v>71</v>
      </c>
      <c r="D68">
        <v>2</v>
      </c>
      <c r="F68" s="2" t="s">
        <v>234</v>
      </c>
      <c r="G68">
        <v>2</v>
      </c>
    </row>
    <row r="69" spans="3:7" x14ac:dyDescent="0.3">
      <c r="C69" s="2" t="s">
        <v>235</v>
      </c>
      <c r="D69">
        <v>2</v>
      </c>
      <c r="F69" s="2" t="s">
        <v>666</v>
      </c>
      <c r="G69">
        <v>2</v>
      </c>
    </row>
    <row r="70" spans="3:7" x14ac:dyDescent="0.3">
      <c r="C70" s="34" t="s">
        <v>134</v>
      </c>
      <c r="D70">
        <v>2</v>
      </c>
      <c r="F70" s="2" t="s">
        <v>86</v>
      </c>
      <c r="G70">
        <v>2</v>
      </c>
    </row>
    <row r="71" spans="3:7" x14ac:dyDescent="0.3">
      <c r="C71" s="31" t="s">
        <v>85</v>
      </c>
      <c r="D71">
        <v>2</v>
      </c>
      <c r="F71" s="2" t="s">
        <v>96</v>
      </c>
      <c r="G71">
        <v>2</v>
      </c>
    </row>
    <row r="72" spans="3:7" x14ac:dyDescent="0.3">
      <c r="C72" s="2" t="s">
        <v>3659</v>
      </c>
      <c r="D72">
        <v>2</v>
      </c>
      <c r="F72" s="2" t="s">
        <v>242</v>
      </c>
      <c r="G72">
        <v>2</v>
      </c>
    </row>
    <row r="73" spans="3:7" x14ac:dyDescent="0.3">
      <c r="C73" s="34" t="s">
        <v>120</v>
      </c>
      <c r="D73">
        <v>2</v>
      </c>
      <c r="F73" s="2" t="s">
        <v>3550</v>
      </c>
      <c r="G73">
        <v>2</v>
      </c>
    </row>
    <row r="74" spans="3:7" x14ac:dyDescent="0.3">
      <c r="C74" s="31" t="s">
        <v>136</v>
      </c>
      <c r="D74">
        <v>2</v>
      </c>
      <c r="F74" s="2" t="s">
        <v>129</v>
      </c>
      <c r="G74">
        <v>2</v>
      </c>
    </row>
    <row r="75" spans="3:7" x14ac:dyDescent="0.3">
      <c r="C75" s="2" t="s">
        <v>247</v>
      </c>
      <c r="D75">
        <v>2</v>
      </c>
      <c r="F75" s="2" t="s">
        <v>123</v>
      </c>
      <c r="G75">
        <v>2</v>
      </c>
    </row>
    <row r="76" spans="3:7" x14ac:dyDescent="0.3">
      <c r="C76" s="31" t="s">
        <v>56</v>
      </c>
      <c r="D76">
        <v>2</v>
      </c>
      <c r="F76" s="2" t="s">
        <v>189</v>
      </c>
      <c r="G76">
        <v>1</v>
      </c>
    </row>
    <row r="77" spans="3:7" x14ac:dyDescent="0.3">
      <c r="C77" s="31" t="s">
        <v>93</v>
      </c>
      <c r="D77">
        <v>2</v>
      </c>
      <c r="F77" s="2" t="s">
        <v>1338</v>
      </c>
      <c r="G77">
        <v>1</v>
      </c>
    </row>
    <row r="78" spans="3:7" x14ac:dyDescent="0.3">
      <c r="C78" s="34" t="s">
        <v>99</v>
      </c>
      <c r="D78">
        <v>2</v>
      </c>
      <c r="F78" s="2" t="s">
        <v>149</v>
      </c>
      <c r="G78">
        <v>1</v>
      </c>
    </row>
    <row r="79" spans="3:7" x14ac:dyDescent="0.3">
      <c r="C79" s="31" t="s">
        <v>91</v>
      </c>
      <c r="D79">
        <v>2</v>
      </c>
      <c r="F79" s="2" t="s">
        <v>159</v>
      </c>
      <c r="G79">
        <v>1</v>
      </c>
    </row>
    <row r="80" spans="3:7" x14ac:dyDescent="0.3">
      <c r="C80" s="2" t="s">
        <v>59</v>
      </c>
      <c r="D80">
        <v>2</v>
      </c>
      <c r="F80" s="2" t="s">
        <v>212</v>
      </c>
      <c r="G80">
        <v>1</v>
      </c>
    </row>
    <row r="81" spans="3:7" x14ac:dyDescent="0.3">
      <c r="C81" s="2" t="s">
        <v>170</v>
      </c>
      <c r="D81">
        <v>2</v>
      </c>
      <c r="F81" s="2" t="s">
        <v>487</v>
      </c>
      <c r="G81">
        <v>1</v>
      </c>
    </row>
    <row r="82" spans="3:7" x14ac:dyDescent="0.3">
      <c r="C82" s="31" t="s">
        <v>77</v>
      </c>
      <c r="D82">
        <v>2</v>
      </c>
      <c r="F82" s="2" t="s">
        <v>259</v>
      </c>
      <c r="G82">
        <v>1</v>
      </c>
    </row>
    <row r="83" spans="3:7" x14ac:dyDescent="0.3">
      <c r="C83" s="2" t="s">
        <v>314</v>
      </c>
      <c r="D83">
        <v>2</v>
      </c>
      <c r="F83" s="2" t="s">
        <v>163</v>
      </c>
      <c r="G83">
        <v>1</v>
      </c>
    </row>
    <row r="84" spans="3:7" x14ac:dyDescent="0.3">
      <c r="C84" s="2" t="s">
        <v>144</v>
      </c>
      <c r="D84">
        <v>2</v>
      </c>
      <c r="F84" s="2" t="s">
        <v>1321</v>
      </c>
      <c r="G84">
        <v>1</v>
      </c>
    </row>
    <row r="85" spans="3:7" x14ac:dyDescent="0.3">
      <c r="C85" s="31" t="s">
        <v>68</v>
      </c>
      <c r="D85">
        <v>2</v>
      </c>
      <c r="F85" s="2" t="s">
        <v>1318</v>
      </c>
      <c r="G85">
        <v>1</v>
      </c>
    </row>
    <row r="86" spans="3:7" x14ac:dyDescent="0.3">
      <c r="C86" s="2" t="s">
        <v>215</v>
      </c>
      <c r="D86">
        <v>2</v>
      </c>
      <c r="F86" s="2" t="s">
        <v>155</v>
      </c>
      <c r="G86">
        <v>1</v>
      </c>
    </row>
    <row r="87" spans="3:7" x14ac:dyDescent="0.3">
      <c r="C87" s="2" t="s">
        <v>3660</v>
      </c>
      <c r="D87">
        <v>2</v>
      </c>
      <c r="F87" s="2" t="s">
        <v>167</v>
      </c>
      <c r="G87">
        <v>1</v>
      </c>
    </row>
    <row r="88" spans="3:7" x14ac:dyDescent="0.3">
      <c r="C88" s="2" t="s">
        <v>305</v>
      </c>
      <c r="D88">
        <v>2</v>
      </c>
      <c r="F88" s="2" t="s">
        <v>397</v>
      </c>
      <c r="G88">
        <v>1</v>
      </c>
    </row>
    <row r="89" spans="3:7" x14ac:dyDescent="0.3">
      <c r="C89" s="2" t="s">
        <v>223</v>
      </c>
      <c r="D89">
        <v>2</v>
      </c>
      <c r="F89" s="2" t="s">
        <v>171</v>
      </c>
      <c r="G89">
        <v>1</v>
      </c>
    </row>
    <row r="90" spans="3:7" x14ac:dyDescent="0.3">
      <c r="C90" s="2" t="s">
        <v>204</v>
      </c>
      <c r="D90">
        <v>2</v>
      </c>
      <c r="F90" s="2" t="s">
        <v>251</v>
      </c>
      <c r="G90">
        <v>1</v>
      </c>
    </row>
    <row r="91" spans="3:7" x14ac:dyDescent="0.3">
      <c r="C91" s="2" t="s">
        <v>355</v>
      </c>
      <c r="D91">
        <v>2</v>
      </c>
      <c r="F91" s="2" t="s">
        <v>175</v>
      </c>
      <c r="G91">
        <v>1</v>
      </c>
    </row>
    <row r="92" spans="3:7" x14ac:dyDescent="0.3">
      <c r="C92" s="2" t="s">
        <v>335</v>
      </c>
      <c r="D92">
        <v>1</v>
      </c>
      <c r="F92" s="2" t="s">
        <v>250</v>
      </c>
      <c r="G92">
        <v>1</v>
      </c>
    </row>
    <row r="93" spans="3:7" x14ac:dyDescent="0.3">
      <c r="C93" s="2" t="s">
        <v>3661</v>
      </c>
      <c r="D93">
        <v>1</v>
      </c>
      <c r="F93" s="2" t="s">
        <v>179</v>
      </c>
      <c r="G93">
        <v>1</v>
      </c>
    </row>
    <row r="94" spans="3:7" x14ac:dyDescent="0.3">
      <c r="C94" s="2" t="s">
        <v>172</v>
      </c>
      <c r="D94">
        <v>1</v>
      </c>
      <c r="F94" s="2" t="s">
        <v>283</v>
      </c>
      <c r="G94">
        <v>1</v>
      </c>
    </row>
    <row r="95" spans="3:7" x14ac:dyDescent="0.3">
      <c r="C95" s="2" t="s">
        <v>174</v>
      </c>
      <c r="D95">
        <v>1</v>
      </c>
      <c r="F95" s="2" t="s">
        <v>183</v>
      </c>
      <c r="G95">
        <v>1</v>
      </c>
    </row>
    <row r="96" spans="3:7" x14ac:dyDescent="0.3">
      <c r="C96" s="2" t="s">
        <v>148</v>
      </c>
      <c r="D96">
        <v>1</v>
      </c>
      <c r="F96" s="2" t="s">
        <v>291</v>
      </c>
      <c r="G96">
        <v>1</v>
      </c>
    </row>
    <row r="97" spans="3:7" x14ac:dyDescent="0.3">
      <c r="C97" s="2" t="s">
        <v>256</v>
      </c>
      <c r="D97">
        <v>1</v>
      </c>
      <c r="F97" s="2" t="s">
        <v>737</v>
      </c>
      <c r="G97">
        <v>1</v>
      </c>
    </row>
    <row r="98" spans="3:7" x14ac:dyDescent="0.3">
      <c r="C98" s="2" t="s">
        <v>296</v>
      </c>
      <c r="D98">
        <v>1</v>
      </c>
      <c r="F98" s="2" t="s">
        <v>147</v>
      </c>
      <c r="G98">
        <v>1</v>
      </c>
    </row>
    <row r="99" spans="3:7" x14ac:dyDescent="0.3">
      <c r="C99" s="2" t="s">
        <v>182</v>
      </c>
      <c r="D99">
        <v>1</v>
      </c>
      <c r="F99" s="2" t="s">
        <v>857</v>
      </c>
      <c r="G99">
        <v>1</v>
      </c>
    </row>
    <row r="100" spans="3:7" x14ac:dyDescent="0.3">
      <c r="C100" s="2" t="s">
        <v>3662</v>
      </c>
      <c r="D100">
        <v>1</v>
      </c>
      <c r="F100" s="2" t="s">
        <v>255</v>
      </c>
      <c r="G100">
        <v>1</v>
      </c>
    </row>
    <row r="101" spans="3:7" x14ac:dyDescent="0.3">
      <c r="C101" s="2" t="s">
        <v>186</v>
      </c>
      <c r="D101">
        <v>1</v>
      </c>
      <c r="F101" s="2" t="s">
        <v>191</v>
      </c>
      <c r="G101">
        <v>1</v>
      </c>
    </row>
    <row r="102" spans="3:7" x14ac:dyDescent="0.3">
      <c r="C102" s="2" t="s">
        <v>325</v>
      </c>
      <c r="D102">
        <v>1</v>
      </c>
      <c r="F102" s="2" t="s">
        <v>211</v>
      </c>
      <c r="G102">
        <v>1</v>
      </c>
    </row>
    <row r="103" spans="3:7" x14ac:dyDescent="0.3">
      <c r="C103" s="2" t="s">
        <v>190</v>
      </c>
      <c r="D103">
        <v>1</v>
      </c>
      <c r="F103" s="2" t="s">
        <v>1330</v>
      </c>
      <c r="G103">
        <v>1</v>
      </c>
    </row>
    <row r="104" spans="3:7" x14ac:dyDescent="0.3">
      <c r="C104" s="2" t="s">
        <v>333</v>
      </c>
      <c r="D104">
        <v>1</v>
      </c>
      <c r="F104" s="2" t="s">
        <v>145</v>
      </c>
      <c r="G104">
        <v>1</v>
      </c>
    </row>
    <row r="105" spans="3:7" x14ac:dyDescent="0.3">
      <c r="C105" s="2" t="s">
        <v>194</v>
      </c>
      <c r="D105">
        <v>1</v>
      </c>
      <c r="F105" s="2" t="s">
        <v>269</v>
      </c>
      <c r="G105">
        <v>1</v>
      </c>
    </row>
    <row r="106" spans="3:7" x14ac:dyDescent="0.3">
      <c r="C106" s="2" t="s">
        <v>343</v>
      </c>
      <c r="D106">
        <v>1</v>
      </c>
      <c r="F106" s="2" t="s">
        <v>279</v>
      </c>
      <c r="G106">
        <v>1</v>
      </c>
    </row>
    <row r="107" spans="3:7" x14ac:dyDescent="0.3">
      <c r="C107" s="2" t="s">
        <v>198</v>
      </c>
      <c r="D107">
        <v>1</v>
      </c>
      <c r="F107" s="2" t="s">
        <v>299</v>
      </c>
      <c r="G107">
        <v>1</v>
      </c>
    </row>
    <row r="108" spans="3:7" x14ac:dyDescent="0.3">
      <c r="C108" s="2" t="s">
        <v>306</v>
      </c>
      <c r="D108">
        <v>1</v>
      </c>
      <c r="F108" s="2" t="s">
        <v>238</v>
      </c>
      <c r="G108">
        <v>1</v>
      </c>
    </row>
    <row r="109" spans="3:7" x14ac:dyDescent="0.3">
      <c r="C109" s="2" t="s">
        <v>202</v>
      </c>
      <c r="D109">
        <v>1</v>
      </c>
      <c r="F109" s="2" t="s">
        <v>205</v>
      </c>
      <c r="G109">
        <v>1</v>
      </c>
    </row>
    <row r="110" spans="3:7" x14ac:dyDescent="0.3">
      <c r="C110" s="2" t="s">
        <v>290</v>
      </c>
      <c r="D110">
        <v>1</v>
      </c>
      <c r="F110" s="2" t="s">
        <v>960</v>
      </c>
      <c r="G110">
        <v>1</v>
      </c>
    </row>
    <row r="111" spans="3:7" x14ac:dyDescent="0.3">
      <c r="C111" s="2" t="s">
        <v>3663</v>
      </c>
      <c r="D111">
        <v>1</v>
      </c>
      <c r="F111" s="2" t="s">
        <v>207</v>
      </c>
      <c r="G111">
        <v>1</v>
      </c>
    </row>
    <row r="112" spans="3:7" x14ac:dyDescent="0.3">
      <c r="C112" s="2" t="s">
        <v>301</v>
      </c>
      <c r="D112">
        <v>1</v>
      </c>
      <c r="F112" s="2" t="s">
        <v>201</v>
      </c>
      <c r="G112">
        <v>1</v>
      </c>
    </row>
    <row r="113" spans="3:7" x14ac:dyDescent="0.3">
      <c r="C113" s="2" t="s">
        <v>206</v>
      </c>
      <c r="D113">
        <v>1</v>
      </c>
      <c r="F113" s="2" t="s">
        <v>1332</v>
      </c>
      <c r="G113">
        <v>1</v>
      </c>
    </row>
    <row r="114" spans="3:7" x14ac:dyDescent="0.3">
      <c r="C114" s="2" t="s">
        <v>309</v>
      </c>
      <c r="D114">
        <v>1</v>
      </c>
      <c r="F114" s="2" t="s">
        <v>517</v>
      </c>
      <c r="G114">
        <v>1</v>
      </c>
    </row>
    <row r="115" spans="3:7" x14ac:dyDescent="0.3">
      <c r="C115" s="2" t="s">
        <v>210</v>
      </c>
      <c r="D115">
        <v>1</v>
      </c>
      <c r="F115" s="2" t="s">
        <v>214</v>
      </c>
      <c r="G115">
        <v>1</v>
      </c>
    </row>
    <row r="116" spans="3:7" x14ac:dyDescent="0.3">
      <c r="C116" s="2" t="s">
        <v>315</v>
      </c>
      <c r="D116">
        <v>1</v>
      </c>
      <c r="F116" s="2" t="s">
        <v>169</v>
      </c>
      <c r="G116">
        <v>1</v>
      </c>
    </row>
    <row r="117" spans="3:7" x14ac:dyDescent="0.3">
      <c r="C117" s="2" t="s">
        <v>213</v>
      </c>
      <c r="D117">
        <v>1</v>
      </c>
      <c r="F117" s="2" t="s">
        <v>257</v>
      </c>
      <c r="G117">
        <v>1</v>
      </c>
    </row>
    <row r="118" spans="3:7" x14ac:dyDescent="0.3">
      <c r="C118" s="2" t="s">
        <v>327</v>
      </c>
      <c r="D118">
        <v>1</v>
      </c>
      <c r="F118" s="2" t="s">
        <v>287</v>
      </c>
      <c r="G118">
        <v>1</v>
      </c>
    </row>
    <row r="119" spans="3:7" x14ac:dyDescent="0.3">
      <c r="C119" s="2" t="s">
        <v>217</v>
      </c>
      <c r="D119">
        <v>1</v>
      </c>
      <c r="F119" s="2" t="s">
        <v>253</v>
      </c>
      <c r="G119">
        <v>1</v>
      </c>
    </row>
    <row r="120" spans="3:7" x14ac:dyDescent="0.3">
      <c r="C120" s="2" t="s">
        <v>341</v>
      </c>
      <c r="D120">
        <v>1</v>
      </c>
      <c r="F120" s="2" t="s">
        <v>199</v>
      </c>
      <c r="G120">
        <v>1</v>
      </c>
    </row>
    <row r="121" spans="3:7" x14ac:dyDescent="0.3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3">
      <c r="C122" s="2" t="s">
        <v>154</v>
      </c>
      <c r="D122">
        <v>1</v>
      </c>
      <c r="F122" s="2" t="s">
        <v>3497</v>
      </c>
      <c r="G122">
        <v>1</v>
      </c>
    </row>
    <row r="123" spans="3:7" x14ac:dyDescent="0.3">
      <c r="C123" s="2" t="s">
        <v>225</v>
      </c>
      <c r="D123">
        <v>1</v>
      </c>
      <c r="F123" s="2" t="s">
        <v>297</v>
      </c>
      <c r="G123">
        <v>1</v>
      </c>
    </row>
    <row r="124" spans="3:7" x14ac:dyDescent="0.3">
      <c r="C124" s="2" t="s">
        <v>162</v>
      </c>
      <c r="D124">
        <v>1</v>
      </c>
      <c r="F124" s="2" t="s">
        <v>3508</v>
      </c>
      <c r="G124">
        <v>1</v>
      </c>
    </row>
    <row r="125" spans="3:7" x14ac:dyDescent="0.3">
      <c r="C125" s="2" t="s">
        <v>3665</v>
      </c>
      <c r="D125">
        <v>1</v>
      </c>
      <c r="F125" s="2" t="s">
        <v>293</v>
      </c>
      <c r="G125">
        <v>1</v>
      </c>
    </row>
    <row r="126" spans="3:7" x14ac:dyDescent="0.3">
      <c r="C126" s="2" t="s">
        <v>302</v>
      </c>
      <c r="D126">
        <v>1</v>
      </c>
      <c r="F126" s="2" t="s">
        <v>248</v>
      </c>
      <c r="G126">
        <v>1</v>
      </c>
    </row>
    <row r="127" spans="3:7" x14ac:dyDescent="0.3">
      <c r="C127" s="2" t="s">
        <v>3666</v>
      </c>
      <c r="D127">
        <v>1</v>
      </c>
      <c r="F127" s="2" t="s">
        <v>139</v>
      </c>
      <c r="G127">
        <v>1</v>
      </c>
    </row>
    <row r="128" spans="3:7" x14ac:dyDescent="0.3">
      <c r="C128" s="2" t="s">
        <v>360</v>
      </c>
      <c r="D128">
        <v>1</v>
      </c>
      <c r="F128" s="2" t="s">
        <v>558</v>
      </c>
      <c r="G128">
        <v>1</v>
      </c>
    </row>
    <row r="129" spans="3:7" x14ac:dyDescent="0.3">
      <c r="C129" s="2" t="s">
        <v>3667</v>
      </c>
      <c r="D129">
        <v>1</v>
      </c>
      <c r="F129" s="2" t="s">
        <v>228</v>
      </c>
      <c r="G129">
        <v>1</v>
      </c>
    </row>
    <row r="130" spans="3:7" x14ac:dyDescent="0.3">
      <c r="C130" s="2" t="s">
        <v>278</v>
      </c>
      <c r="D130">
        <v>1</v>
      </c>
      <c r="F130" s="2" t="s">
        <v>165</v>
      </c>
      <c r="G130">
        <v>1</v>
      </c>
    </row>
    <row r="131" spans="3:7" x14ac:dyDescent="0.3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3">
      <c r="C132" s="2" t="s">
        <v>208</v>
      </c>
      <c r="D132">
        <v>1</v>
      </c>
      <c r="F132" s="2" t="s">
        <v>181</v>
      </c>
      <c r="G132">
        <v>1</v>
      </c>
    </row>
    <row r="133" spans="3:7" x14ac:dyDescent="0.3">
      <c r="C133" s="2" t="s">
        <v>233</v>
      </c>
      <c r="D133">
        <v>1</v>
      </c>
      <c r="F133" s="2" t="s">
        <v>246</v>
      </c>
      <c r="G133">
        <v>1</v>
      </c>
    </row>
    <row r="134" spans="3:7" x14ac:dyDescent="0.3">
      <c r="C134" s="2" t="s">
        <v>298</v>
      </c>
      <c r="D134">
        <v>1</v>
      </c>
      <c r="F134" s="2" t="s">
        <v>240</v>
      </c>
      <c r="G134">
        <v>1</v>
      </c>
    </row>
    <row r="135" spans="3:7" x14ac:dyDescent="0.3">
      <c r="C135" s="2" t="s">
        <v>272</v>
      </c>
      <c r="D135">
        <v>1</v>
      </c>
      <c r="F135" s="2" t="s">
        <v>1289</v>
      </c>
      <c r="G135">
        <v>1</v>
      </c>
    </row>
    <row r="136" spans="3:7" x14ac:dyDescent="0.3">
      <c r="C136" s="2" t="s">
        <v>303</v>
      </c>
      <c r="D136">
        <v>1</v>
      </c>
      <c r="F136" s="2" t="s">
        <v>244</v>
      </c>
      <c r="G136">
        <v>1</v>
      </c>
    </row>
    <row r="137" spans="3:7" x14ac:dyDescent="0.3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3">
      <c r="C138" s="2" t="s">
        <v>286</v>
      </c>
      <c r="D138">
        <v>1</v>
      </c>
      <c r="F138" s="2" t="s">
        <v>203</v>
      </c>
      <c r="G138">
        <v>1</v>
      </c>
    </row>
    <row r="139" spans="3:7" x14ac:dyDescent="0.3">
      <c r="C139" s="2" t="s">
        <v>241</v>
      </c>
      <c r="D139">
        <v>1</v>
      </c>
      <c r="F139" s="2" t="s">
        <v>187</v>
      </c>
      <c r="G139">
        <v>1</v>
      </c>
    </row>
    <row r="140" spans="3:7" x14ac:dyDescent="0.3">
      <c r="C140" s="2" t="s">
        <v>3670</v>
      </c>
      <c r="D140">
        <v>1</v>
      </c>
      <c r="F140" s="2" t="s">
        <v>161</v>
      </c>
      <c r="G140">
        <v>1</v>
      </c>
    </row>
    <row r="141" spans="3:7" x14ac:dyDescent="0.3">
      <c r="C141" s="2" t="s">
        <v>3671</v>
      </c>
      <c r="D141">
        <v>1</v>
      </c>
      <c r="F141" s="2" t="s">
        <v>232</v>
      </c>
      <c r="G141">
        <v>1</v>
      </c>
    </row>
    <row r="142" spans="3:7" x14ac:dyDescent="0.3">
      <c r="C142" s="2" t="s">
        <v>3672</v>
      </c>
      <c r="D142">
        <v>1</v>
      </c>
      <c r="F142" s="2" t="s">
        <v>193</v>
      </c>
      <c r="G142">
        <v>1</v>
      </c>
    </row>
    <row r="143" spans="3:7" x14ac:dyDescent="0.3">
      <c r="C143" s="2" t="s">
        <v>249</v>
      </c>
      <c r="D143">
        <v>1</v>
      </c>
      <c r="F143" s="2" t="s">
        <v>261</v>
      </c>
      <c r="G143">
        <v>1</v>
      </c>
    </row>
    <row r="144" spans="3:7" x14ac:dyDescent="0.3">
      <c r="C144" s="2" t="s">
        <v>142</v>
      </c>
      <c r="D144">
        <v>1</v>
      </c>
      <c r="F144" s="2" t="s">
        <v>137</v>
      </c>
      <c r="G144">
        <v>1</v>
      </c>
    </row>
    <row r="145" spans="3:7" x14ac:dyDescent="0.3">
      <c r="C145" s="2" t="s">
        <v>3673</v>
      </c>
      <c r="D145">
        <v>1</v>
      </c>
      <c r="F145" s="2" t="s">
        <v>425</v>
      </c>
      <c r="G145">
        <v>1</v>
      </c>
    </row>
    <row r="146" spans="3:7" x14ac:dyDescent="0.3">
      <c r="C146" s="2" t="s">
        <v>321</v>
      </c>
      <c r="D146">
        <v>1</v>
      </c>
      <c r="F146" s="2" t="s">
        <v>197</v>
      </c>
      <c r="G146">
        <v>1</v>
      </c>
    </row>
    <row r="147" spans="3:7" x14ac:dyDescent="0.3">
      <c r="C147" s="2" t="s">
        <v>3674</v>
      </c>
      <c r="D147">
        <v>1</v>
      </c>
      <c r="F147" s="2" t="s">
        <v>265</v>
      </c>
      <c r="G147">
        <v>1</v>
      </c>
    </row>
    <row r="148" spans="3:7" x14ac:dyDescent="0.3">
      <c r="C148" s="2" t="s">
        <v>331</v>
      </c>
      <c r="D148">
        <v>1</v>
      </c>
      <c r="F148" s="2" t="s">
        <v>263</v>
      </c>
      <c r="G148">
        <v>1</v>
      </c>
    </row>
    <row r="149" spans="3:7" x14ac:dyDescent="0.3">
      <c r="C149" s="2" t="s">
        <v>260</v>
      </c>
      <c r="D149">
        <v>1</v>
      </c>
      <c r="F149" s="2" t="s">
        <v>3563</v>
      </c>
      <c r="G149">
        <v>1</v>
      </c>
    </row>
    <row r="150" spans="3:7" x14ac:dyDescent="0.3">
      <c r="C150" s="2" t="s">
        <v>3675</v>
      </c>
      <c r="D150">
        <v>1</v>
      </c>
      <c r="F150" s="2" t="s">
        <v>267</v>
      </c>
      <c r="G150">
        <v>1</v>
      </c>
    </row>
    <row r="151" spans="3:7" x14ac:dyDescent="0.3">
      <c r="C151" s="2" t="s">
        <v>3676</v>
      </c>
      <c r="D151">
        <v>1</v>
      </c>
      <c r="F151" s="2" t="s">
        <v>157</v>
      </c>
      <c r="G151">
        <v>1</v>
      </c>
    </row>
    <row r="152" spans="3:7" x14ac:dyDescent="0.3">
      <c r="C152" s="2" t="s">
        <v>266</v>
      </c>
      <c r="D152">
        <v>1</v>
      </c>
      <c r="F152" s="2" t="s">
        <v>271</v>
      </c>
      <c r="G152">
        <v>1</v>
      </c>
    </row>
    <row r="153" spans="3:7" x14ac:dyDescent="0.3">
      <c r="C153" s="2" t="s">
        <v>268</v>
      </c>
      <c r="D153">
        <v>1</v>
      </c>
      <c r="F153" s="2" t="s">
        <v>3636</v>
      </c>
      <c r="G153">
        <v>1</v>
      </c>
    </row>
    <row r="154" spans="3:7" x14ac:dyDescent="0.3">
      <c r="C154" s="2" t="s">
        <v>150</v>
      </c>
      <c r="D154">
        <v>1</v>
      </c>
      <c r="F154" s="2" t="s">
        <v>275</v>
      </c>
      <c r="G154">
        <v>1</v>
      </c>
    </row>
    <row r="155" spans="3:7" x14ac:dyDescent="0.3">
      <c r="C155" s="2" t="s">
        <v>276</v>
      </c>
      <c r="D155">
        <v>1</v>
      </c>
      <c r="F155" s="2" t="s">
        <v>236</v>
      </c>
      <c r="G155">
        <v>1</v>
      </c>
    </row>
    <row r="156" spans="3:7" x14ac:dyDescent="0.3">
      <c r="C156" s="2" t="s">
        <v>158</v>
      </c>
      <c r="D156">
        <v>1</v>
      </c>
      <c r="F156" s="2" t="s">
        <v>222</v>
      </c>
      <c r="G156">
        <v>1</v>
      </c>
    </row>
    <row r="157" spans="3:7" x14ac:dyDescent="0.3">
      <c r="C157" s="2" t="s">
        <v>280</v>
      </c>
      <c r="D157">
        <v>1</v>
      </c>
      <c r="F157" s="2" t="s">
        <v>285</v>
      </c>
      <c r="G157">
        <v>1</v>
      </c>
    </row>
    <row r="158" spans="3:7" x14ac:dyDescent="0.3">
      <c r="C158" s="2" t="s">
        <v>345</v>
      </c>
      <c r="D158">
        <v>1</v>
      </c>
      <c r="F158" s="2" t="s">
        <v>185</v>
      </c>
      <c r="G158">
        <v>1</v>
      </c>
    </row>
    <row r="159" spans="3:7" x14ac:dyDescent="0.3">
      <c r="C159" s="2" t="s">
        <v>317</v>
      </c>
      <c r="D159">
        <v>1</v>
      </c>
      <c r="F159" s="2" t="s">
        <v>289</v>
      </c>
      <c r="G159">
        <v>1</v>
      </c>
    </row>
    <row r="160" spans="3:7" x14ac:dyDescent="0.3">
      <c r="C160" s="2" t="s">
        <v>200</v>
      </c>
      <c r="D160">
        <v>1</v>
      </c>
      <c r="F160" s="2" t="s">
        <v>143</v>
      </c>
      <c r="G160">
        <v>1</v>
      </c>
    </row>
    <row r="161" spans="3:7" x14ac:dyDescent="0.3">
      <c r="C161" s="2" t="s">
        <v>288</v>
      </c>
      <c r="D161">
        <v>1</v>
      </c>
      <c r="F161" s="2" t="s">
        <v>623</v>
      </c>
      <c r="G161">
        <v>1</v>
      </c>
    </row>
    <row r="162" spans="3:7" x14ac:dyDescent="0.3">
      <c r="C162" s="2" t="s">
        <v>352</v>
      </c>
      <c r="D162">
        <v>1</v>
      </c>
      <c r="F162" s="2" t="s">
        <v>209</v>
      </c>
      <c r="G162">
        <v>1</v>
      </c>
    </row>
    <row r="163" spans="3:7" x14ac:dyDescent="0.3">
      <c r="C163" s="2" t="s">
        <v>292</v>
      </c>
      <c r="D163">
        <v>1</v>
      </c>
      <c r="F163" s="2" t="s">
        <v>608</v>
      </c>
      <c r="G163">
        <v>1</v>
      </c>
    </row>
    <row r="164" spans="3:7" x14ac:dyDescent="0.3">
      <c r="C164" s="2" t="s">
        <v>304</v>
      </c>
      <c r="D164">
        <v>1</v>
      </c>
      <c r="F164" s="2" t="s">
        <v>141</v>
      </c>
      <c r="G164">
        <v>1</v>
      </c>
    </row>
    <row r="165" spans="3:7" x14ac:dyDescent="0.3">
      <c r="C165" s="2" t="s">
        <v>339</v>
      </c>
      <c r="D165">
        <v>1</v>
      </c>
      <c r="F165" s="2" t="s">
        <v>295</v>
      </c>
      <c r="G165">
        <v>1</v>
      </c>
    </row>
    <row r="166" spans="3:7" x14ac:dyDescent="0.3">
      <c r="C166" s="2" t="s">
        <v>3677</v>
      </c>
      <c r="D166">
        <v>1</v>
      </c>
      <c r="F166" s="2" t="s">
        <v>195</v>
      </c>
      <c r="G166">
        <v>1</v>
      </c>
    </row>
    <row r="167" spans="3:7" x14ac:dyDescent="0.3">
      <c r="C167" s="2" t="s">
        <v>353</v>
      </c>
      <c r="D167">
        <v>1</v>
      </c>
      <c r="F167" s="2" t="s">
        <v>173</v>
      </c>
      <c r="G167">
        <v>1</v>
      </c>
    </row>
    <row r="168" spans="3:7" x14ac:dyDescent="0.3">
      <c r="C168" s="2" t="s">
        <v>350</v>
      </c>
      <c r="D168">
        <v>1</v>
      </c>
      <c r="F168" s="2" t="s">
        <v>1286</v>
      </c>
      <c r="G168">
        <v>1</v>
      </c>
    </row>
    <row r="169" spans="3:7" x14ac:dyDescent="0.3">
      <c r="C169" s="2" t="s">
        <v>3678</v>
      </c>
      <c r="D169">
        <v>1</v>
      </c>
      <c r="F169" s="2" t="s">
        <v>216</v>
      </c>
      <c r="G169">
        <v>1</v>
      </c>
    </row>
    <row r="170" spans="3:7" x14ac:dyDescent="0.3">
      <c r="C170" s="2" t="s">
        <v>152</v>
      </c>
      <c r="D170">
        <v>1</v>
      </c>
      <c r="F170" s="2" t="s">
        <v>3504</v>
      </c>
      <c r="G170">
        <v>1</v>
      </c>
    </row>
    <row r="171" spans="3:7" x14ac:dyDescent="0.3">
      <c r="C171" s="2" t="s">
        <v>357</v>
      </c>
      <c r="D171">
        <v>1</v>
      </c>
      <c r="F171" s="2" t="s">
        <v>153</v>
      </c>
      <c r="G171">
        <v>1</v>
      </c>
    </row>
    <row r="172" spans="3:7" x14ac:dyDescent="0.3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3">
      <c r="C173" s="2" t="s">
        <v>359</v>
      </c>
      <c r="D173">
        <v>1</v>
      </c>
      <c r="F173" s="2" t="s">
        <v>220</v>
      </c>
      <c r="G173">
        <v>1</v>
      </c>
    </row>
    <row r="174" spans="3:7" x14ac:dyDescent="0.3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3">
      <c r="C175" s="2" t="s">
        <v>3681</v>
      </c>
      <c r="D175">
        <v>1</v>
      </c>
      <c r="F175" s="2" t="s">
        <v>177</v>
      </c>
      <c r="G175">
        <v>1</v>
      </c>
    </row>
    <row r="176" spans="3:7" x14ac:dyDescent="0.3">
      <c r="C176" s="2" t="s">
        <v>294</v>
      </c>
      <c r="D176">
        <v>1</v>
      </c>
      <c r="F176" s="2" t="s">
        <v>151</v>
      </c>
      <c r="G176">
        <v>1</v>
      </c>
    </row>
    <row r="177" spans="3:7" x14ac:dyDescent="0.3">
      <c r="C177" s="2" t="s">
        <v>361</v>
      </c>
      <c r="D177">
        <v>1</v>
      </c>
      <c r="F177" s="2" t="s">
        <v>224</v>
      </c>
      <c r="G177">
        <v>1</v>
      </c>
    </row>
    <row r="178" spans="3:7" x14ac:dyDescent="0.3">
      <c r="C178" s="2" t="s">
        <v>319</v>
      </c>
      <c r="D178">
        <v>1</v>
      </c>
      <c r="F178" s="2" t="s">
        <v>533</v>
      </c>
      <c r="G178">
        <v>1</v>
      </c>
    </row>
    <row r="179" spans="3:7" x14ac:dyDescent="0.3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3">
      <c r="C180" s="2" t="s">
        <v>176</v>
      </c>
      <c r="D180">
        <v>1</v>
      </c>
      <c r="F180" s="2" t="s">
        <v>273</v>
      </c>
      <c r="G180">
        <v>1</v>
      </c>
    </row>
    <row r="181" spans="3:7" x14ac:dyDescent="0.3">
      <c r="C181" s="2" t="s">
        <v>362</v>
      </c>
      <c r="D181">
        <v>1</v>
      </c>
      <c r="F181" s="2" t="s">
        <v>3648</v>
      </c>
      <c r="G181">
        <v>1</v>
      </c>
    </row>
    <row r="182" spans="3:7" x14ac:dyDescent="0.3">
      <c r="C182" s="2" t="s">
        <v>219</v>
      </c>
      <c r="D182">
        <v>1</v>
      </c>
      <c r="F182" s="2" t="s">
        <v>277</v>
      </c>
      <c r="G182">
        <v>1</v>
      </c>
    </row>
    <row r="183" spans="3:7" x14ac:dyDescent="0.3">
      <c r="C183" s="2" t="s">
        <v>312</v>
      </c>
      <c r="D183">
        <v>1</v>
      </c>
      <c r="F183" s="2" t="s">
        <v>281</v>
      </c>
      <c r="G183">
        <v>1</v>
      </c>
    </row>
    <row r="184" spans="3:7" x14ac:dyDescent="0.3">
      <c r="C184" s="2" t="s">
        <v>156</v>
      </c>
      <c r="D184">
        <v>1</v>
      </c>
      <c r="F184" s="2" t="s">
        <v>1305</v>
      </c>
      <c r="G184">
        <v>1</v>
      </c>
    </row>
    <row r="185" spans="3:7" x14ac:dyDescent="0.3">
      <c r="C185" s="2" t="s">
        <v>3683</v>
      </c>
      <c r="D185">
        <v>1</v>
      </c>
      <c r="F185" s="2" t="s">
        <v>230</v>
      </c>
      <c r="G185">
        <v>1</v>
      </c>
    </row>
    <row r="186" spans="3:7" x14ac:dyDescent="0.3">
      <c r="C186" s="2" t="s">
        <v>3684</v>
      </c>
      <c r="D186">
        <v>1</v>
      </c>
      <c r="F186"/>
      <c r="G186"/>
    </row>
    <row r="187" spans="3:7" x14ac:dyDescent="0.3">
      <c r="C187" s="2" t="s">
        <v>178</v>
      </c>
      <c r="D187">
        <v>1</v>
      </c>
      <c r="F187"/>
      <c r="G187"/>
    </row>
    <row r="188" spans="3:7" x14ac:dyDescent="0.3">
      <c r="C188" s="2" t="s">
        <v>3685</v>
      </c>
      <c r="D188">
        <v>1</v>
      </c>
      <c r="F188"/>
      <c r="G188"/>
    </row>
    <row r="189" spans="3:7" x14ac:dyDescent="0.3">
      <c r="C189" s="2" t="s">
        <v>318</v>
      </c>
      <c r="D189">
        <v>1</v>
      </c>
      <c r="F189"/>
      <c r="G189"/>
    </row>
    <row r="190" spans="3:7" x14ac:dyDescent="0.3">
      <c r="C190" s="2" t="s">
        <v>3686</v>
      </c>
      <c r="D190">
        <v>1</v>
      </c>
      <c r="F190"/>
      <c r="G190"/>
    </row>
    <row r="191" spans="3:7" x14ac:dyDescent="0.3">
      <c r="C191" s="2" t="s">
        <v>3687</v>
      </c>
      <c r="D191">
        <v>1</v>
      </c>
      <c r="F191"/>
      <c r="G191"/>
    </row>
    <row r="192" spans="3:7" x14ac:dyDescent="0.3">
      <c r="C192" s="2" t="s">
        <v>227</v>
      </c>
      <c r="D192">
        <v>1</v>
      </c>
      <c r="F192"/>
      <c r="G192"/>
    </row>
    <row r="193" spans="3:7" x14ac:dyDescent="0.3">
      <c r="C193" s="2" t="s">
        <v>221</v>
      </c>
      <c r="D193">
        <v>1</v>
      </c>
      <c r="F193"/>
      <c r="G193"/>
    </row>
    <row r="194" spans="3:7" x14ac:dyDescent="0.3">
      <c r="C194" s="2" t="s">
        <v>313</v>
      </c>
      <c r="D194">
        <v>1</v>
      </c>
      <c r="F194"/>
      <c r="G194"/>
    </row>
    <row r="195" spans="3:7" x14ac:dyDescent="0.3">
      <c r="C195" s="2" t="s">
        <v>322</v>
      </c>
      <c r="D195">
        <v>1</v>
      </c>
      <c r="F195"/>
      <c r="G195"/>
    </row>
    <row r="196" spans="3:7" x14ac:dyDescent="0.3">
      <c r="C196" s="2" t="s">
        <v>231</v>
      </c>
      <c r="D196">
        <v>1</v>
      </c>
      <c r="F196"/>
      <c r="G196"/>
    </row>
    <row r="197" spans="3:7" x14ac:dyDescent="0.3">
      <c r="C197" s="2" t="s">
        <v>324</v>
      </c>
      <c r="D197">
        <v>1</v>
      </c>
      <c r="F197"/>
      <c r="G197"/>
    </row>
    <row r="198" spans="3:7" x14ac:dyDescent="0.3">
      <c r="C198" s="2" t="s">
        <v>3688</v>
      </c>
      <c r="D198">
        <v>1</v>
      </c>
      <c r="F198"/>
      <c r="G198"/>
    </row>
    <row r="199" spans="3:7" x14ac:dyDescent="0.3">
      <c r="C199" s="2" t="s">
        <v>326</v>
      </c>
      <c r="D199">
        <v>1</v>
      </c>
      <c r="F199"/>
      <c r="G199"/>
    </row>
    <row r="200" spans="3:7" x14ac:dyDescent="0.3">
      <c r="C200" s="2" t="s">
        <v>184</v>
      </c>
      <c r="D200">
        <v>1</v>
      </c>
      <c r="F200"/>
      <c r="G200"/>
    </row>
    <row r="201" spans="3:7" x14ac:dyDescent="0.3">
      <c r="C201" s="2" t="s">
        <v>328</v>
      </c>
      <c r="D201">
        <v>1</v>
      </c>
      <c r="F201"/>
      <c r="G201"/>
    </row>
    <row r="202" spans="3:7" x14ac:dyDescent="0.3">
      <c r="C202" s="2" t="s">
        <v>160</v>
      </c>
      <c r="D202">
        <v>1</v>
      </c>
      <c r="F202"/>
      <c r="G202"/>
    </row>
    <row r="203" spans="3:7" x14ac:dyDescent="0.3">
      <c r="C203" s="2" t="s">
        <v>330</v>
      </c>
      <c r="D203">
        <v>1</v>
      </c>
      <c r="F203"/>
      <c r="G203"/>
    </row>
    <row r="204" spans="3:7" x14ac:dyDescent="0.3">
      <c r="C204" s="2" t="s">
        <v>323</v>
      </c>
      <c r="D204">
        <v>1</v>
      </c>
      <c r="F204"/>
      <c r="G204"/>
    </row>
    <row r="205" spans="3:7" x14ac:dyDescent="0.3">
      <c r="C205" s="2" t="s">
        <v>332</v>
      </c>
      <c r="D205">
        <v>1</v>
      </c>
      <c r="F205"/>
      <c r="G205"/>
    </row>
    <row r="206" spans="3:7" x14ac:dyDescent="0.3">
      <c r="C206" s="2" t="s">
        <v>329</v>
      </c>
      <c r="D206">
        <v>1</v>
      </c>
      <c r="F206"/>
      <c r="G206"/>
    </row>
    <row r="207" spans="3:7" x14ac:dyDescent="0.3">
      <c r="C207" s="2" t="s">
        <v>3689</v>
      </c>
      <c r="D207">
        <v>1</v>
      </c>
      <c r="F207"/>
      <c r="G207"/>
    </row>
    <row r="208" spans="3:7" x14ac:dyDescent="0.3">
      <c r="C208" s="2" t="s">
        <v>243</v>
      </c>
      <c r="D208">
        <v>1</v>
      </c>
      <c r="F208"/>
      <c r="G208"/>
    </row>
    <row r="209" spans="3:7" x14ac:dyDescent="0.3">
      <c r="C209" s="2" t="s">
        <v>336</v>
      </c>
      <c r="D209">
        <v>1</v>
      </c>
      <c r="F209"/>
      <c r="G209"/>
    </row>
    <row r="210" spans="3:7" x14ac:dyDescent="0.3">
      <c r="C210" s="2" t="s">
        <v>3690</v>
      </c>
      <c r="D210">
        <v>1</v>
      </c>
      <c r="F210"/>
      <c r="G210"/>
    </row>
    <row r="211" spans="3:7" x14ac:dyDescent="0.3">
      <c r="C211" s="2" t="s">
        <v>3691</v>
      </c>
      <c r="D211">
        <v>1</v>
      </c>
      <c r="F211"/>
      <c r="G211"/>
    </row>
    <row r="212" spans="3:7" x14ac:dyDescent="0.3">
      <c r="C212" s="2" t="s">
        <v>284</v>
      </c>
      <c r="D212">
        <v>1</v>
      </c>
      <c r="F212"/>
      <c r="G212"/>
    </row>
    <row r="213" spans="3:7" x14ac:dyDescent="0.3">
      <c r="C213" s="2" t="s">
        <v>338</v>
      </c>
      <c r="D213">
        <v>1</v>
      </c>
      <c r="F213"/>
      <c r="G213"/>
    </row>
    <row r="214" spans="3:7" x14ac:dyDescent="0.3">
      <c r="C214" s="2" t="s">
        <v>3692</v>
      </c>
      <c r="D214">
        <v>1</v>
      </c>
      <c r="F214"/>
      <c r="G214"/>
    </row>
    <row r="215" spans="3:7" x14ac:dyDescent="0.3">
      <c r="C215" s="2" t="s">
        <v>340</v>
      </c>
      <c r="D215">
        <v>1</v>
      </c>
      <c r="F215"/>
      <c r="G215"/>
    </row>
    <row r="216" spans="3:7" x14ac:dyDescent="0.3">
      <c r="C216" s="2" t="s">
        <v>146</v>
      </c>
      <c r="D216">
        <v>1</v>
      </c>
      <c r="F216"/>
      <c r="G216"/>
    </row>
    <row r="217" spans="3:7" x14ac:dyDescent="0.3">
      <c r="C217" s="2" t="s">
        <v>342</v>
      </c>
      <c r="D217">
        <v>1</v>
      </c>
      <c r="F217"/>
      <c r="G217"/>
    </row>
    <row r="218" spans="3:7" x14ac:dyDescent="0.3">
      <c r="C218" s="2" t="s">
        <v>164</v>
      </c>
      <c r="D218">
        <v>1</v>
      </c>
      <c r="F218"/>
      <c r="G218"/>
    </row>
    <row r="219" spans="3:7" x14ac:dyDescent="0.3">
      <c r="C219" s="2" t="s">
        <v>3693</v>
      </c>
      <c r="D219">
        <v>1</v>
      </c>
      <c r="F219"/>
      <c r="G219"/>
    </row>
    <row r="220" spans="3:7" x14ac:dyDescent="0.3">
      <c r="C220" s="2" t="s">
        <v>254</v>
      </c>
      <c r="D220">
        <v>1</v>
      </c>
      <c r="F220"/>
      <c r="G220"/>
    </row>
    <row r="221" spans="3:7" x14ac:dyDescent="0.3">
      <c r="C221" s="2" t="s">
        <v>346</v>
      </c>
      <c r="D221">
        <v>1</v>
      </c>
      <c r="F221"/>
      <c r="G221"/>
    </row>
    <row r="222" spans="3:7" x14ac:dyDescent="0.3">
      <c r="C222" s="2" t="s">
        <v>196</v>
      </c>
      <c r="D222">
        <v>1</v>
      </c>
      <c r="F222"/>
      <c r="G222"/>
    </row>
    <row r="223" spans="3:7" x14ac:dyDescent="0.3">
      <c r="C223" s="2" t="s">
        <v>264</v>
      </c>
      <c r="D223">
        <v>1</v>
      </c>
      <c r="F223"/>
      <c r="G223"/>
    </row>
    <row r="224" spans="3:7" x14ac:dyDescent="0.3">
      <c r="C224" s="2" t="s">
        <v>258</v>
      </c>
      <c r="D224">
        <v>1</v>
      </c>
      <c r="F224"/>
      <c r="G224"/>
    </row>
    <row r="225" spans="3:7" x14ac:dyDescent="0.3">
      <c r="C225" s="2" t="s">
        <v>3694</v>
      </c>
      <c r="D225">
        <v>1</v>
      </c>
      <c r="F225"/>
      <c r="G225"/>
    </row>
    <row r="226" spans="3:7" x14ac:dyDescent="0.3">
      <c r="C226" s="2" t="s">
        <v>140</v>
      </c>
      <c r="D226">
        <v>1</v>
      </c>
      <c r="F226"/>
      <c r="G226"/>
    </row>
    <row r="227" spans="3:7" x14ac:dyDescent="0.3">
      <c r="C227" s="2" t="s">
        <v>351</v>
      </c>
      <c r="D227">
        <v>1</v>
      </c>
      <c r="F227"/>
      <c r="G227"/>
    </row>
    <row r="228" spans="3:7" x14ac:dyDescent="0.3">
      <c r="C228" s="2" t="s">
        <v>262</v>
      </c>
      <c r="D228">
        <v>1</v>
      </c>
      <c r="F228"/>
      <c r="G228"/>
    </row>
    <row r="229" spans="3:7" x14ac:dyDescent="0.3">
      <c r="C229" s="2" t="s">
        <v>168</v>
      </c>
      <c r="D229">
        <v>1</v>
      </c>
      <c r="F229"/>
      <c r="G229"/>
    </row>
    <row r="230" spans="3:7" x14ac:dyDescent="0.3">
      <c r="C230" s="2" t="s">
        <v>166</v>
      </c>
      <c r="D230">
        <v>1</v>
      </c>
      <c r="F230"/>
      <c r="G230"/>
    </row>
    <row r="231" spans="3:7" x14ac:dyDescent="0.3">
      <c r="C231" s="2" t="s">
        <v>270</v>
      </c>
      <c r="D231">
        <v>1</v>
      </c>
      <c r="F231"/>
      <c r="G231"/>
    </row>
    <row r="232" spans="3:7" x14ac:dyDescent="0.3">
      <c r="C232" s="2" t="s">
        <v>349</v>
      </c>
      <c r="D232">
        <v>1</v>
      </c>
      <c r="F232"/>
      <c r="G232"/>
    </row>
    <row r="233" spans="3:7" x14ac:dyDescent="0.3">
      <c r="C233" s="2" t="s">
        <v>180</v>
      </c>
      <c r="D233">
        <v>1</v>
      </c>
      <c r="F233"/>
      <c r="G233"/>
    </row>
    <row r="234" spans="3:7" x14ac:dyDescent="0.3">
      <c r="C234" s="2" t="s">
        <v>300</v>
      </c>
      <c r="D234">
        <v>1</v>
      </c>
      <c r="F234"/>
      <c r="G234"/>
    </row>
    <row r="235" spans="3:7" x14ac:dyDescent="0.3">
      <c r="C235" s="2" t="s">
        <v>274</v>
      </c>
      <c r="D235">
        <v>1</v>
      </c>
      <c r="F235"/>
      <c r="G235"/>
    </row>
    <row r="236" spans="3:7" x14ac:dyDescent="0.3">
      <c r="C236" s="2" t="s">
        <v>3695</v>
      </c>
      <c r="D236">
        <v>1</v>
      </c>
      <c r="F236"/>
      <c r="G236"/>
    </row>
    <row r="237" spans="3:7" x14ac:dyDescent="0.3">
      <c r="C237" s="2" t="s">
        <v>310</v>
      </c>
      <c r="D237">
        <v>1</v>
      </c>
      <c r="F237"/>
      <c r="G237"/>
    </row>
    <row r="238" spans="3:7" x14ac:dyDescent="0.3">
      <c r="C238" s="2" t="s">
        <v>354</v>
      </c>
      <c r="D238">
        <v>1</v>
      </c>
    </row>
    <row r="239" spans="3:7" x14ac:dyDescent="0.3">
      <c r="C239" s="2" t="s">
        <v>3696</v>
      </c>
      <c r="D239">
        <v>1</v>
      </c>
    </row>
    <row r="240" spans="3:7" x14ac:dyDescent="0.3">
      <c r="C240" s="2" t="s">
        <v>237</v>
      </c>
      <c r="D240">
        <v>1</v>
      </c>
    </row>
    <row r="241" spans="3:4" x14ac:dyDescent="0.3">
      <c r="C241" s="2" t="s">
        <v>334</v>
      </c>
      <c r="D241">
        <v>1</v>
      </c>
    </row>
    <row r="242" spans="3:4" x14ac:dyDescent="0.3">
      <c r="C242" s="2" t="s">
        <v>358</v>
      </c>
      <c r="D242">
        <v>1</v>
      </c>
    </row>
    <row r="243" spans="3:4" x14ac:dyDescent="0.3">
      <c r="C243" s="2" t="s">
        <v>3697</v>
      </c>
      <c r="D243">
        <v>1</v>
      </c>
    </row>
    <row r="244" spans="3:4" x14ac:dyDescent="0.3">
      <c r="C244" s="2" t="s">
        <v>308</v>
      </c>
      <c r="D244">
        <v>1</v>
      </c>
    </row>
    <row r="245" spans="3:4" x14ac:dyDescent="0.3">
      <c r="C245" s="2" t="s">
        <v>344</v>
      </c>
      <c r="D245">
        <v>1</v>
      </c>
    </row>
    <row r="246" spans="3:4" x14ac:dyDescent="0.3">
      <c r="C246" s="2" t="s">
        <v>3698</v>
      </c>
      <c r="D246">
        <v>1</v>
      </c>
    </row>
    <row r="247" spans="3:4" x14ac:dyDescent="0.3">
      <c r="C247" s="2" t="s">
        <v>3699</v>
      </c>
      <c r="D247">
        <v>1</v>
      </c>
    </row>
    <row r="248" spans="3:4" x14ac:dyDescent="0.3">
      <c r="C248" s="2" t="s">
        <v>82</v>
      </c>
      <c r="D248">
        <v>351</v>
      </c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35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33"/>
  <sheetViews>
    <sheetView tabSelected="1" zoomScale="85" zoomScaleNormal="85" workbookViewId="0">
      <pane ySplit="1" topLeftCell="A898" activePane="bottomLeft" state="frozen"/>
      <selection activeCell="F1" sqref="F1"/>
      <selection pane="bottomLeft" activeCell="B929" sqref="B929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38" hidden="1" customWidth="1"/>
    <col min="7" max="7" width="11.5546875" style="36" hidden="1" customWidth="1"/>
    <col min="8" max="8" width="14.5546875" style="36" hidden="1" customWidth="1"/>
    <col min="9" max="9" width="9.5546875" style="36" hidden="1" customWidth="1"/>
    <col min="10" max="10" width="8.33203125" style="36" hidden="1" customWidth="1"/>
    <col min="11" max="11" width="10.88671875" style="36" hidden="1" customWidth="1"/>
    <col min="12" max="13" width="9.109375" style="36" hidden="1" customWidth="1"/>
    <col min="14" max="14" width="11.44140625" style="36" hidden="1" customWidth="1"/>
    <col min="15" max="15" width="13" style="36" hidden="1" customWidth="1"/>
    <col min="16" max="16" width="10.44140625" style="36" hidden="1" customWidth="1"/>
    <col min="17" max="19" width="12.5546875" style="36" hidden="1" customWidth="1"/>
    <col min="20" max="20" width="11.88671875" style="41" bestFit="1" customWidth="1"/>
    <col min="21" max="21" width="50.109375" style="5" customWidth="1"/>
    <col min="22" max="22" width="9.33203125" style="36" hidden="1" customWidth="1"/>
    <col min="23" max="23" width="6.6640625" style="36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43" customWidth="1"/>
  </cols>
  <sheetData>
    <row r="1" spans="1:28" x14ac:dyDescent="0.3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3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3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3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3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3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3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3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3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3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3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3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3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3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3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3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3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3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3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3718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x14ac:dyDescent="0.3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3719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x14ac:dyDescent="0.3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3716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3726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x14ac:dyDescent="0.3">
      <c r="A913">
        <v>41870</v>
      </c>
      <c r="B913" t="str">
        <f>_xlfn.CONCAT(bron[[#This Row],[personeelsnr]]," ",bron[[#This Row],[achternaam]]," ",bron[[#This Row],[voornaam]])</f>
        <v>41870 Goossens Yannick</v>
      </c>
      <c r="C913" t="str">
        <f>VLOOKUP(bron[[#This Row],[personeelsnr]],'data hastus'!$A:$C,2,0)</f>
        <v>Goossens</v>
      </c>
      <c r="D913" t="str">
        <f>VLOOKUP(bron[[#This Row],[personeelsnr]],'data hastus'!$A:$C,3,0)</f>
        <v>Yannick</v>
      </c>
      <c r="E913" s="2" t="str">
        <f>VLOOKUP(bron[[#This Row],[personeelsnr]],'data hastus'!A:K,11,FALSE)</f>
        <v>Steven Storm</v>
      </c>
      <c r="F913" s="10"/>
      <c r="G913" s="39"/>
      <c r="H913" s="39"/>
      <c r="I913" s="39"/>
      <c r="S913" s="36">
        <f>SUM(bron[[#This Row],[Januari]:[December]])</f>
        <v>0</v>
      </c>
      <c r="T913" s="41">
        <v>45948</v>
      </c>
      <c r="U913" s="5" t="s">
        <v>3725</v>
      </c>
      <c r="V913" s="37"/>
      <c r="W913" s="37"/>
      <c r="X913" t="s">
        <v>3512</v>
      </c>
      <c r="Y913" t="s">
        <v>84</v>
      </c>
      <c r="Z913" s="2">
        <v>550822</v>
      </c>
      <c r="AA913" s="43" t="s">
        <v>3559</v>
      </c>
    </row>
    <row r="914" spans="1:27" x14ac:dyDescent="0.3">
      <c r="A914">
        <v>20653</v>
      </c>
      <c r="B914" t="str">
        <f>_xlfn.CONCAT(bron[[#This Row],[personeelsnr]]," ",bron[[#This Row],[achternaam]]," ",bron[[#This Row],[voornaam]])</f>
        <v>20653 Mestdag Marius</v>
      </c>
      <c r="C914" t="str">
        <f>VLOOKUP(bron[[#This Row],[personeelsnr]],'data hastus'!$A:$C,2,0)</f>
        <v>Mestdag</v>
      </c>
      <c r="D914" t="str">
        <f>VLOOKUP(bron[[#This Row],[personeelsnr]],'data hastus'!$A:$C,3,0)</f>
        <v>Marius</v>
      </c>
      <c r="E914" s="2" t="str">
        <f>VLOOKUP(bron[[#This Row],[personeelsnr]],'data hastus'!A:K,11,FALSE)</f>
        <v>Bart Van Der Beken</v>
      </c>
      <c r="G914" s="39"/>
      <c r="H914" s="39"/>
      <c r="I914" s="39"/>
      <c r="S914" s="36">
        <f>SUM(bron[[#This Row],[Januari]:[December]])</f>
        <v>0</v>
      </c>
      <c r="T914" s="41">
        <v>45950</v>
      </c>
      <c r="U914" s="5" t="s">
        <v>3721</v>
      </c>
      <c r="V914" s="37"/>
      <c r="W914" s="37"/>
      <c r="X914" t="s">
        <v>3548</v>
      </c>
      <c r="Y914" t="s">
        <v>3722</v>
      </c>
      <c r="Z914" s="2">
        <v>6366</v>
      </c>
      <c r="AA914" s="43" t="s">
        <v>3558</v>
      </c>
    </row>
    <row r="915" spans="1:27" x14ac:dyDescent="0.3">
      <c r="A915">
        <v>40938</v>
      </c>
      <c r="B915" t="str">
        <f>_xlfn.CONCAT(bron[[#This Row],[personeelsnr]]," ",bron[[#This Row],[achternaam]]," ",bron[[#This Row],[voornaam]])</f>
        <v>40938 Hasnaoui Nejmeddine</v>
      </c>
      <c r="C915" t="str">
        <f>VLOOKUP(bron[[#This Row],[personeelsnr]],'data hastus'!$A:$C,2,0)</f>
        <v>Hasnaoui</v>
      </c>
      <c r="D915" t="str">
        <f>VLOOKUP(bron[[#This Row],[personeelsnr]],'data hastus'!$A:$C,3,0)</f>
        <v>Nejmeddine</v>
      </c>
      <c r="E915" s="2" t="str">
        <f>VLOOKUP(bron[[#This Row],[personeelsnr]],'data hastus'!A:K,11,FALSE)</f>
        <v>Dominique De Clercq</v>
      </c>
      <c r="F915" s="10"/>
      <c r="G915" s="39"/>
      <c r="H915" s="39"/>
      <c r="I915" s="39"/>
      <c r="S915" s="36">
        <f>SUM(bron[[#This Row],[Januari]:[December]])</f>
        <v>0</v>
      </c>
      <c r="T915" s="41">
        <v>45951</v>
      </c>
      <c r="U915" s="5" t="s">
        <v>3727</v>
      </c>
      <c r="V915" s="37"/>
      <c r="W915" s="37"/>
      <c r="X915" t="s">
        <v>3513</v>
      </c>
      <c r="Y915" t="s">
        <v>3728</v>
      </c>
      <c r="Z915" s="2">
        <v>5259</v>
      </c>
      <c r="AA915" s="43" t="s">
        <v>3559</v>
      </c>
    </row>
    <row r="916" spans="1:27" x14ac:dyDescent="0.3">
      <c r="A916">
        <v>40138</v>
      </c>
      <c r="B916" t="str">
        <f>_xlfn.CONCAT(bron[[#This Row],[personeelsnr]]," ",bron[[#This Row],[achternaam]]," ",bron[[#This Row],[voornaam]])</f>
        <v>40138 Moerman Tjimmy</v>
      </c>
      <c r="C916" t="str">
        <f>VLOOKUP(bron[[#This Row],[personeelsnr]],'data hastus'!$A:$C,2,0)</f>
        <v>Moerman</v>
      </c>
      <c r="D916" t="str">
        <f>VLOOKUP(bron[[#This Row],[personeelsnr]],'data hastus'!$A:$C,3,0)</f>
        <v>Tjimmy</v>
      </c>
      <c r="E916" s="2" t="str">
        <f>VLOOKUP(bron[[#This Row],[personeelsnr]],'data hastus'!A:K,11,FALSE)</f>
        <v>Christoff Rotty</v>
      </c>
      <c r="F916" s="10"/>
      <c r="G916" s="39"/>
      <c r="H916" s="39"/>
      <c r="I916" s="39"/>
      <c r="S916" s="36">
        <f>SUM(bron[[#This Row],[Januari]:[December]])</f>
        <v>0</v>
      </c>
      <c r="T916" s="41">
        <v>45952</v>
      </c>
      <c r="U916" s="5" t="s">
        <v>3729</v>
      </c>
      <c r="V916" s="37"/>
      <c r="W916" s="37"/>
      <c r="X916" t="s">
        <v>3513</v>
      </c>
      <c r="Y916" t="s">
        <v>3730</v>
      </c>
      <c r="Z916" s="2">
        <v>2195</v>
      </c>
      <c r="AA916" s="43" t="s">
        <v>3558</v>
      </c>
    </row>
    <row r="917" spans="1:27" x14ac:dyDescent="0.3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3732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x14ac:dyDescent="0.3">
      <c r="A918">
        <v>16275</v>
      </c>
      <c r="B918" t="str">
        <f>_xlfn.CONCAT(bron[[#This Row],[personeelsnr]]," ",bron[[#This Row],[achternaam]]," ",bron[[#This Row],[voornaam]])</f>
        <v>16275 Devriendt Patrick</v>
      </c>
      <c r="C918" t="str">
        <f>VLOOKUP(bron[[#This Row],[personeelsnr]],'data hastus'!$A:$C,2,0)</f>
        <v>Devriendt</v>
      </c>
      <c r="D918" t="str">
        <f>VLOOKUP(bron[[#This Row],[personeelsnr]],'data hastus'!$A:$C,3,0)</f>
        <v>Patrick</v>
      </c>
      <c r="E918" s="2" t="str">
        <f>VLOOKUP(bron[[#This Row],[personeelsnr]],'data hastus'!A:K,11,FALSE)</f>
        <v>Els Dewulf</v>
      </c>
      <c r="F918" s="10"/>
      <c r="G918" s="39"/>
      <c r="H918" s="39"/>
      <c r="I918" s="39"/>
      <c r="S918" s="36">
        <f>SUM(bron[[#This Row],[Januari]:[December]])</f>
        <v>0</v>
      </c>
      <c r="T918" s="41">
        <v>45943</v>
      </c>
      <c r="U918" s="5" t="s">
        <v>3733</v>
      </c>
      <c r="V918" s="37"/>
      <c r="W918" s="37"/>
      <c r="X918" t="s">
        <v>3547</v>
      </c>
      <c r="Y918" t="s">
        <v>5</v>
      </c>
      <c r="Z918" s="2">
        <v>6329</v>
      </c>
      <c r="AA918" s="43" t="s">
        <v>3558</v>
      </c>
    </row>
    <row r="919" spans="1:27" x14ac:dyDescent="0.3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3734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x14ac:dyDescent="0.3">
      <c r="A920">
        <v>15220</v>
      </c>
      <c r="B920" t="str">
        <f>_xlfn.CONCAT(bron[[#This Row],[personeelsnr]]," ",bron[[#This Row],[achternaam]]," ",bron[[#This Row],[voornaam]])</f>
        <v>15220 Dejonghe Katleen</v>
      </c>
      <c r="C920" t="str">
        <f>VLOOKUP(bron[[#This Row],[personeelsnr]],'data hastus'!$A:$C,2,0)</f>
        <v>Dejonghe</v>
      </c>
      <c r="D920" t="str">
        <f>VLOOKUP(bron[[#This Row],[personeelsnr]],'data hastus'!$A:$C,3,0)</f>
        <v>Katleen</v>
      </c>
      <c r="E920" s="2" t="str">
        <f>VLOOKUP(bron[[#This Row],[personeelsnr]],'data hastus'!A:K,11,FALSE)</f>
        <v>Dominique De Clercq</v>
      </c>
      <c r="F920" s="10"/>
      <c r="G920" s="39"/>
      <c r="H920" s="39"/>
      <c r="I920" s="39"/>
      <c r="S920" s="36">
        <f>SUM(bron[[#This Row],[Januari]:[December]])</f>
        <v>0</v>
      </c>
      <c r="T920" s="41">
        <v>45956</v>
      </c>
      <c r="U920" s="5" t="s">
        <v>3735</v>
      </c>
      <c r="V920" s="37"/>
      <c r="W920" s="37"/>
      <c r="X920" t="s">
        <v>3547</v>
      </c>
      <c r="Y920" t="s">
        <v>3508</v>
      </c>
      <c r="Z920" s="2">
        <v>6321</v>
      </c>
      <c r="AA920" s="43" t="s">
        <v>3558</v>
      </c>
    </row>
    <row r="921" spans="1:27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3">
      <c r="A922">
        <v>40938</v>
      </c>
      <c r="B922" t="str">
        <f>_xlfn.CONCAT(bron[[#This Row],[personeelsnr]]," ",bron[[#This Row],[achternaam]]," ",bron[[#This Row],[voornaam]])</f>
        <v>40938 Hasnaoui Nejmeddine</v>
      </c>
      <c r="C922" t="str">
        <f>VLOOKUP(bron[[#This Row],[personeelsnr]],'data hastus'!$A:$C,2,0)</f>
        <v>Hasnaoui</v>
      </c>
      <c r="D922" t="str">
        <f>VLOOKUP(bron[[#This Row],[personeelsnr]],'data hastus'!$A:$C,3,0)</f>
        <v>Nejmeddine</v>
      </c>
      <c r="E922" s="2" t="str">
        <f>VLOOKUP(bron[[#This Row],[personeelsnr]],'data hastus'!A:K,11,FALSE)</f>
        <v>Dominique De Clercq</v>
      </c>
      <c r="F922" s="10"/>
      <c r="G922" s="39"/>
      <c r="H922" s="39"/>
      <c r="I922" s="39"/>
      <c r="S922" s="36">
        <f>SUM(bron[[#This Row],[Januari]:[December]])</f>
        <v>0</v>
      </c>
      <c r="T922" s="41">
        <v>45960</v>
      </c>
      <c r="U922" s="8" t="s">
        <v>3737</v>
      </c>
      <c r="V922" s="37"/>
      <c r="W922" s="37"/>
      <c r="X922" t="s">
        <v>3512</v>
      </c>
      <c r="Y922" t="s">
        <v>13</v>
      </c>
      <c r="Z922" s="2">
        <v>13024</v>
      </c>
      <c r="AA922" s="43" t="s">
        <v>3558</v>
      </c>
    </row>
    <row r="923" spans="1:27" x14ac:dyDescent="0.3">
      <c r="A923">
        <v>5559</v>
      </c>
      <c r="B923" t="str">
        <f>_xlfn.CONCAT(bron[[#This Row],[personeelsnr]]," ",bron[[#This Row],[achternaam]]," ",bron[[#This Row],[voornaam]])</f>
        <v>5559 Hoste Tania</v>
      </c>
      <c r="C923" t="str">
        <f>VLOOKUP(bron[[#This Row],[personeelsnr]],'data hastus'!$A:$C,2,0)</f>
        <v>Hoste</v>
      </c>
      <c r="D923" t="str">
        <f>VLOOKUP(bron[[#This Row],[personeelsnr]],'data hastus'!$A:$C,3,0)</f>
        <v>Tania</v>
      </c>
      <c r="E923" s="2" t="str">
        <f>VLOOKUP(bron[[#This Row],[personeelsnr]],'data hastus'!A:K,11,FALSE)</f>
        <v>Steven Storm</v>
      </c>
      <c r="F923" s="10"/>
      <c r="G923" s="39"/>
      <c r="H923" s="39"/>
      <c r="I923" s="39"/>
      <c r="S923" s="36">
        <f>SUM(bron[[#This Row],[Januari]:[December]])</f>
        <v>0</v>
      </c>
      <c r="T923" s="41">
        <v>45957</v>
      </c>
      <c r="U923" s="5" t="s">
        <v>3738</v>
      </c>
      <c r="V923" s="37"/>
      <c r="W923" s="37"/>
      <c r="X923" t="s">
        <v>3548</v>
      </c>
      <c r="Y923" t="s">
        <v>19</v>
      </c>
      <c r="Z923" s="2">
        <v>6374</v>
      </c>
      <c r="AA923" s="43" t="s">
        <v>3559</v>
      </c>
    </row>
    <row r="924" spans="1:27" x14ac:dyDescent="0.3">
      <c r="A924">
        <v>42307</v>
      </c>
      <c r="B924" t="str">
        <f>_xlfn.CONCAT(bron[[#This Row],[personeelsnr]]," ",bron[[#This Row],[achternaam]]," ",bron[[#This Row],[voornaam]])</f>
        <v>42307 Helleputte Jens</v>
      </c>
      <c r="C924" t="str">
        <f>VLOOKUP(bron[[#This Row],[personeelsnr]],'data hastus'!$A:$C,2,0)</f>
        <v>Helleputte</v>
      </c>
      <c r="D924" t="str">
        <f>VLOOKUP(bron[[#This Row],[personeelsnr]],'data hastus'!$A:$C,3,0)</f>
        <v>Jens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3739</v>
      </c>
      <c r="V924" s="37"/>
      <c r="W924" s="37"/>
      <c r="X924" t="s">
        <v>3512</v>
      </c>
      <c r="Y924" t="s">
        <v>84</v>
      </c>
      <c r="Z924" s="2">
        <v>5767</v>
      </c>
      <c r="AA924" s="43" t="s">
        <v>3558</v>
      </c>
    </row>
    <row r="925" spans="1:27" x14ac:dyDescent="0.3">
      <c r="A925">
        <v>37345</v>
      </c>
      <c r="B925" t="str">
        <f>_xlfn.CONCAT(bron[[#This Row],[personeelsnr]]," ",bron[[#This Row],[achternaam]]," ",bron[[#This Row],[voornaam]])</f>
        <v>37345 Walleyn Renaat</v>
      </c>
      <c r="C925" t="str">
        <f>VLOOKUP(bron[[#This Row],[personeelsnr]],'data hastus'!$A:$C,2,0)</f>
        <v>Walleyn</v>
      </c>
      <c r="D925" t="str">
        <f>VLOOKUP(bron[[#This Row],[personeelsnr]],'data hastus'!$A:$C,3,0)</f>
        <v>Renaat</v>
      </c>
      <c r="E925" s="2" t="str">
        <f>VLOOKUP(bron[[#This Row],[personeelsnr]],'data hastus'!A:K,11,FALSE)</f>
        <v>Lucie Vande Velde</v>
      </c>
      <c r="F925" s="10"/>
      <c r="G925" s="39"/>
      <c r="H925" s="39"/>
      <c r="I925" s="39"/>
      <c r="S925" s="36">
        <f>SUM(bron[[#This Row],[Januari]:[December]])</f>
        <v>0</v>
      </c>
      <c r="T925" s="41">
        <v>45958</v>
      </c>
      <c r="U925" s="5" t="s">
        <v>3740</v>
      </c>
      <c r="V925" s="37"/>
      <c r="W925" s="37"/>
      <c r="X925" t="s">
        <v>3547</v>
      </c>
      <c r="Y925" t="s">
        <v>250</v>
      </c>
      <c r="Z925" s="2">
        <v>6318</v>
      </c>
      <c r="AA925" s="43" t="s">
        <v>3558</v>
      </c>
    </row>
    <row r="926" spans="1:27" x14ac:dyDescent="0.3">
      <c r="A926">
        <v>40278</v>
      </c>
      <c r="B926" t="str">
        <f>_xlfn.CONCAT(bron[[#This Row],[personeelsnr]]," ",bron[[#This Row],[achternaam]]," ",bron[[#This Row],[voornaam]])</f>
        <v>40278 Ates Firat</v>
      </c>
      <c r="C926" t="str">
        <f>VLOOKUP(bron[[#This Row],[personeelsnr]],'data hastus'!$A:$C,2,0)</f>
        <v>Ates</v>
      </c>
      <c r="D926" t="str">
        <f>VLOOKUP(bron[[#This Row],[personeelsnr]],'data hastus'!$A:$C,3,0)</f>
        <v>Firat</v>
      </c>
      <c r="E926" s="2" t="str">
        <f>VLOOKUP(bron[[#This Row],[personeelsnr]],'data hastus'!A:K,11,FALSE)</f>
        <v>Christoff Rotty</v>
      </c>
      <c r="F926" s="10"/>
      <c r="G926" s="39"/>
      <c r="H926" s="39"/>
      <c r="I926" s="39"/>
      <c r="S926" s="36">
        <f>SUM(bron[[#This Row],[Januari]:[December]])</f>
        <v>0</v>
      </c>
      <c r="T926" s="41">
        <v>45957</v>
      </c>
      <c r="U926" s="5" t="s">
        <v>3741</v>
      </c>
      <c r="V926" s="37"/>
      <c r="W926" s="37"/>
      <c r="X926" t="s">
        <v>3511</v>
      </c>
      <c r="Y926" t="s">
        <v>3742</v>
      </c>
      <c r="Z926" s="2">
        <v>5271</v>
      </c>
      <c r="AA926" s="43" t="s">
        <v>3558</v>
      </c>
    </row>
    <row r="927" spans="1:27" x14ac:dyDescent="0.3">
      <c r="A927">
        <v>39858</v>
      </c>
      <c r="B927" t="str">
        <f>_xlfn.CONCAT(bron[[#This Row],[personeelsnr]]," ",bron[[#This Row],[achternaam]]," ",bron[[#This Row],[voornaam]])</f>
        <v>39858 Jacobs Elos</v>
      </c>
      <c r="C927" t="str">
        <f>VLOOKUP(bron[[#This Row],[personeelsnr]],'data hastus'!$A:$C,2,0)</f>
        <v>Jacobs</v>
      </c>
      <c r="D927" t="str">
        <f>VLOOKUP(bron[[#This Row],[personeelsnr]],'data hastus'!$A:$C,3,0)</f>
        <v>Elos</v>
      </c>
      <c r="E927" s="2" t="str">
        <f>VLOOKUP(bron[[#This Row],[personeelsnr]],'data hastus'!A:K,11,FALSE)</f>
        <v>Els Dewulf</v>
      </c>
      <c r="F927" s="10"/>
      <c r="G927" s="39"/>
      <c r="H927" s="39"/>
      <c r="I927" s="39"/>
      <c r="S927" s="36">
        <f>SUM(bron[[#This Row],[Januari]:[December]])</f>
        <v>0</v>
      </c>
      <c r="T927" s="41">
        <v>45961</v>
      </c>
      <c r="U927" s="5" t="s">
        <v>3743</v>
      </c>
      <c r="V927" s="37"/>
      <c r="W927" s="37"/>
      <c r="X927" t="s">
        <v>3511</v>
      </c>
      <c r="Y927" t="s">
        <v>663</v>
      </c>
      <c r="Z927" s="2">
        <v>5229</v>
      </c>
      <c r="AA927" s="43" t="s">
        <v>3558</v>
      </c>
    </row>
    <row r="928" spans="1:27" x14ac:dyDescent="0.3">
      <c r="A928">
        <v>42105</v>
      </c>
      <c r="B928" t="str">
        <f>_xlfn.CONCAT(bron[[#This Row],[personeelsnr]]," ",bron[[#This Row],[achternaam]]," ",bron[[#This Row],[voornaam]])</f>
        <v>42105 Van den Bossche Jarne</v>
      </c>
      <c r="C928" t="str">
        <f>VLOOKUP(bron[[#This Row],[personeelsnr]],'data hastus'!$A:$C,2,0)</f>
        <v>Van den Bossche</v>
      </c>
      <c r="D928" t="str">
        <f>VLOOKUP(bron[[#This Row],[personeelsnr]],'data hastus'!$A:$C,3,0)</f>
        <v>Jarne</v>
      </c>
      <c r="E928" s="2" t="str">
        <f>VLOOKUP(bron[[#This Row],[personeelsnr]],'data hastus'!A:K,11,FALSE)</f>
        <v>Els Dewulf</v>
      </c>
      <c r="F928" s="10"/>
      <c r="G928" s="39"/>
      <c r="H928" s="39"/>
      <c r="I928" s="39"/>
      <c r="S928" s="46">
        <f>SUM(bron[[#This Row],[Januari]:[December]])</f>
        <v>0</v>
      </c>
      <c r="T928" s="41">
        <v>45960</v>
      </c>
      <c r="U928" s="5" t="s">
        <v>3744</v>
      </c>
      <c r="V928" s="37"/>
      <c r="W928" s="37"/>
      <c r="X928" t="s">
        <v>3512</v>
      </c>
      <c r="Y928" t="s">
        <v>31</v>
      </c>
      <c r="Z928" s="2">
        <v>5489</v>
      </c>
      <c r="AA928" s="43" t="s">
        <v>3558</v>
      </c>
    </row>
    <row r="929" spans="2:23" x14ac:dyDescent="0.3">
      <c r="B929" t="e">
        <f>_xlfn.CONCAT(bron[[#This Row],[personeelsnr]]," ",bron[[#This Row],[achternaam]]," ",bron[[#This Row],[voornaam]])</f>
        <v>#N/A</v>
      </c>
      <c r="C929" t="e">
        <f>VLOOKUP(bron[[#This Row],[personeelsnr]],'data hastus'!$A:$C,2,0)</f>
        <v>#N/A</v>
      </c>
      <c r="D929" t="e">
        <f>VLOOKUP(bron[[#This Row],[personeelsnr]],'data hastus'!$A:$C,3,0)</f>
        <v>#N/A</v>
      </c>
      <c r="E929" s="2" t="e">
        <f>VLOOKUP(bron[[#This Row],[personeelsnr]],'data hastus'!A:K,11,FALSE)</f>
        <v>#N/A</v>
      </c>
      <c r="F929" s="10"/>
      <c r="G929" s="39"/>
      <c r="H929" s="39"/>
      <c r="I929" s="39"/>
      <c r="S929" s="46">
        <f>SUM(bron[[#This Row],[Januari]:[December]])</f>
        <v>0</v>
      </c>
      <c r="V929" s="37"/>
      <c r="W929" s="37"/>
    </row>
    <row r="930" spans="2:23" x14ac:dyDescent="0.3">
      <c r="B930" t="e">
        <f>_xlfn.CONCAT(bron[[#This Row],[personeelsnr]]," ",bron[[#This Row],[achternaam]]," ",bron[[#This Row],[voornaam]])</f>
        <v>#N/A</v>
      </c>
      <c r="C930" t="e">
        <f>VLOOKUP(bron[[#This Row],[personeelsnr]],'data hastus'!$A:$C,2,0)</f>
        <v>#N/A</v>
      </c>
      <c r="D930" t="e">
        <f>VLOOKUP(bron[[#This Row],[personeelsnr]],'data hastus'!$A:$C,3,0)</f>
        <v>#N/A</v>
      </c>
      <c r="E930" s="2" t="e">
        <f>VLOOKUP(bron[[#This Row],[personeelsnr]],'data hastus'!A:K,11,FALSE)</f>
        <v>#N/A</v>
      </c>
      <c r="F930" s="10"/>
      <c r="G930" s="39"/>
      <c r="H930" s="39"/>
      <c r="I930" s="39"/>
      <c r="S930" s="46">
        <f>SUM(bron[[#This Row],[Januari]:[December]])</f>
        <v>0</v>
      </c>
      <c r="V930" s="37"/>
      <c r="W930" s="37"/>
    </row>
    <row r="931" spans="2:23" x14ac:dyDescent="0.3">
      <c r="B931" t="e">
        <f>_xlfn.CONCAT(bron[[#This Row],[personeelsnr]]," ",bron[[#This Row],[achternaam]]," ",bron[[#This Row],[voornaam]])</f>
        <v>#N/A</v>
      </c>
      <c r="C931" t="e">
        <f>VLOOKUP(bron[[#This Row],[personeelsnr]],'data hastus'!$A:$C,2,0)</f>
        <v>#N/A</v>
      </c>
      <c r="D931" t="e">
        <f>VLOOKUP(bron[[#This Row],[personeelsnr]],'data hastus'!$A:$C,3,0)</f>
        <v>#N/A</v>
      </c>
      <c r="E931" s="2" t="e">
        <f>VLOOKUP(bron[[#This Row],[personeelsnr]],'data hastus'!A:K,11,FALSE)</f>
        <v>#N/A</v>
      </c>
      <c r="F931" s="10"/>
      <c r="G931" s="39"/>
      <c r="H931" s="39"/>
      <c r="I931" s="39"/>
      <c r="S931" s="46">
        <f>SUM(bron[[#This Row],[Januari]:[December]])</f>
        <v>0</v>
      </c>
      <c r="V931" s="37"/>
      <c r="W931" s="37"/>
    </row>
    <row r="932" spans="2:23" x14ac:dyDescent="0.3">
      <c r="B932" t="e">
        <f>_xlfn.CONCAT(bron[[#This Row],[personeelsnr]]," ",bron[[#This Row],[achternaam]]," ",bron[[#This Row],[voornaam]])</f>
        <v>#N/A</v>
      </c>
      <c r="C932" t="e">
        <f>VLOOKUP(bron[[#This Row],[personeelsnr]],'data hastus'!$A:$C,2,0)</f>
        <v>#N/A</v>
      </c>
      <c r="D932" t="e">
        <f>VLOOKUP(bron[[#This Row],[personeelsnr]],'data hastus'!$A:$C,3,0)</f>
        <v>#N/A</v>
      </c>
      <c r="E932" s="2" t="e">
        <f>VLOOKUP(bron[[#This Row],[personeelsnr]],'data hastus'!A:K,11,FALSE)</f>
        <v>#N/A</v>
      </c>
      <c r="F932" s="10"/>
      <c r="G932" s="39"/>
      <c r="H932" s="39"/>
      <c r="I932" s="39"/>
      <c r="S932" s="46">
        <f>SUM(bron[[#This Row],[Januari]:[December]])</f>
        <v>0</v>
      </c>
      <c r="V932" s="37"/>
      <c r="W932" s="37"/>
    </row>
    <row r="933" spans="2:23" x14ac:dyDescent="0.3">
      <c r="B933" s="45"/>
      <c r="C933" t="e">
        <f>VLOOKUP(bron[[#This Row],[personeelsnr]],'data hastus'!$A:$C,2,0)</f>
        <v>#N/A</v>
      </c>
      <c r="D933" t="e">
        <f>VLOOKUP(bron[[#This Row],[personeelsnr]],'data hastus'!$A:$C,3,0)</f>
        <v>#N/A</v>
      </c>
      <c r="E933" s="2" t="e">
        <f>VLOOKUP(bron[[#This Row],[personeelsnr]],'data hastus'!A:K,11,FALSE)</f>
        <v>#N/A</v>
      </c>
      <c r="F933" s="10"/>
      <c r="G933" s="39"/>
      <c r="H933" s="39"/>
      <c r="I933" s="39"/>
      <c r="S933" s="46">
        <f>SUM(bron[[#This Row],[Januari]:[December]])</f>
        <v>0</v>
      </c>
      <c r="V933" s="37"/>
      <c r="W933" s="37"/>
    </row>
  </sheetData>
  <sheetProtection sort="0" autoFilter="0"/>
  <phoneticPr fontId="1" type="noConversion"/>
  <conditionalFormatting sqref="F2:F933">
    <cfRule type="cellIs" dxfId="31" priority="5" operator="equal">
      <formula>0</formula>
    </cfRule>
    <cfRule type="cellIs" dxfId="30" priority="7" operator="between">
      <formula>1</formula>
      <formula>4</formula>
    </cfRule>
    <cfRule type="cellIs" dxfId="29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22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1340</v>
      </c>
      <c r="B1" t="s">
        <v>1341</v>
      </c>
      <c r="C1" t="s">
        <v>1342</v>
      </c>
    </row>
    <row r="2" spans="1:3" x14ac:dyDescent="0.3">
      <c r="A2">
        <v>29076</v>
      </c>
      <c r="B2" t="s">
        <v>1343</v>
      </c>
      <c r="C2" s="8" t="s">
        <v>1344</v>
      </c>
    </row>
    <row r="3" spans="1:3" x14ac:dyDescent="0.3">
      <c r="A3">
        <v>35348</v>
      </c>
      <c r="B3" t="s">
        <v>1345</v>
      </c>
      <c r="C3" s="8" t="s">
        <v>1346</v>
      </c>
    </row>
    <row r="4" spans="1:3" x14ac:dyDescent="0.3">
      <c r="A4">
        <v>10170</v>
      </c>
      <c r="B4" t="s">
        <v>1347</v>
      </c>
      <c r="C4" s="8" t="s">
        <v>1348</v>
      </c>
    </row>
    <row r="5" spans="1:3" x14ac:dyDescent="0.3">
      <c r="A5">
        <v>5579</v>
      </c>
      <c r="B5" t="s">
        <v>1349</v>
      </c>
      <c r="C5" s="8" t="s">
        <v>1350</v>
      </c>
    </row>
    <row r="6" spans="1:3" x14ac:dyDescent="0.3">
      <c r="A6">
        <v>4597</v>
      </c>
      <c r="B6" t="s">
        <v>1351</v>
      </c>
      <c r="C6" s="8" t="s">
        <v>1352</v>
      </c>
    </row>
    <row r="7" spans="1:3" x14ac:dyDescent="0.3">
      <c r="A7">
        <v>26268</v>
      </c>
      <c r="B7" t="s">
        <v>1353</v>
      </c>
      <c r="C7" s="8" t="s">
        <v>1354</v>
      </c>
    </row>
    <row r="8" spans="1:3" x14ac:dyDescent="0.3">
      <c r="A8">
        <v>23897</v>
      </c>
      <c r="B8" t="s">
        <v>1355</v>
      </c>
      <c r="C8" s="8" t="s">
        <v>1356</v>
      </c>
    </row>
    <row r="9" spans="1:3" x14ac:dyDescent="0.3">
      <c r="A9">
        <v>30456</v>
      </c>
      <c r="B9" t="s">
        <v>1357</v>
      </c>
      <c r="C9" s="8" t="s">
        <v>1358</v>
      </c>
    </row>
    <row r="10" spans="1:3" x14ac:dyDescent="0.3">
      <c r="A10">
        <v>7839</v>
      </c>
      <c r="B10" t="s">
        <v>1349</v>
      </c>
      <c r="C10" s="8" t="s">
        <v>1359</v>
      </c>
    </row>
    <row r="11" spans="1:3" x14ac:dyDescent="0.3">
      <c r="A11">
        <v>28740</v>
      </c>
      <c r="B11" t="s">
        <v>1360</v>
      </c>
      <c r="C11" s="8" t="s">
        <v>1361</v>
      </c>
    </row>
    <row r="12" spans="1:3" x14ac:dyDescent="0.3">
      <c r="A12">
        <v>32219</v>
      </c>
      <c r="B12" t="s">
        <v>1362</v>
      </c>
      <c r="C12" s="8" t="s">
        <v>1363</v>
      </c>
    </row>
    <row r="13" spans="1:3" x14ac:dyDescent="0.3">
      <c r="A13">
        <v>33531</v>
      </c>
      <c r="B13" t="s">
        <v>1364</v>
      </c>
      <c r="C13" s="8" t="s">
        <v>1365</v>
      </c>
    </row>
    <row r="14" spans="1:3" x14ac:dyDescent="0.3">
      <c r="A14">
        <v>10072</v>
      </c>
      <c r="B14" t="s">
        <v>1366</v>
      </c>
      <c r="C14" s="8" t="s">
        <v>1367</v>
      </c>
    </row>
    <row r="15" spans="1:3" x14ac:dyDescent="0.3">
      <c r="A15">
        <v>33429</v>
      </c>
      <c r="B15" t="s">
        <v>1368</v>
      </c>
      <c r="C15" s="8" t="s">
        <v>1369</v>
      </c>
    </row>
    <row r="16" spans="1:3" x14ac:dyDescent="0.3">
      <c r="A16">
        <v>15673</v>
      </c>
      <c r="B16" t="s">
        <v>1370</v>
      </c>
      <c r="C16" s="8" t="s">
        <v>1371</v>
      </c>
    </row>
    <row r="17" spans="1:3" x14ac:dyDescent="0.3">
      <c r="A17">
        <v>6046</v>
      </c>
      <c r="B17" t="s">
        <v>3514</v>
      </c>
      <c r="C17" s="8" t="s">
        <v>3515</v>
      </c>
    </row>
    <row r="18" spans="1:3" x14ac:dyDescent="0.3">
      <c r="A18">
        <v>4691</v>
      </c>
      <c r="B18" t="s">
        <v>1472</v>
      </c>
      <c r="C18" s="8" t="s">
        <v>3516</v>
      </c>
    </row>
    <row r="19" spans="1:3" x14ac:dyDescent="0.3">
      <c r="A19">
        <v>22812</v>
      </c>
      <c r="B19" t="s">
        <v>1570</v>
      </c>
      <c r="C19" s="8" t="s">
        <v>3517</v>
      </c>
    </row>
    <row r="20" spans="1:3" x14ac:dyDescent="0.3">
      <c r="A20">
        <v>25875</v>
      </c>
      <c r="B20" t="s">
        <v>3518</v>
      </c>
      <c r="C20" s="8" t="s">
        <v>3519</v>
      </c>
    </row>
    <row r="21" spans="1:3" x14ac:dyDescent="0.3">
      <c r="A21">
        <v>10905</v>
      </c>
      <c r="B21" t="s">
        <v>3520</v>
      </c>
      <c r="C21" s="8" t="s">
        <v>3521</v>
      </c>
    </row>
    <row r="22" spans="1:3" x14ac:dyDescent="0.3">
      <c r="A22">
        <v>17552</v>
      </c>
      <c r="B22" t="s">
        <v>3522</v>
      </c>
      <c r="C22" s="8" t="s">
        <v>3523</v>
      </c>
    </row>
    <row r="23" spans="1:3" x14ac:dyDescent="0.3">
      <c r="A23">
        <v>29544</v>
      </c>
      <c r="B23" t="s">
        <v>3524</v>
      </c>
      <c r="C23" s="8" t="s">
        <v>3525</v>
      </c>
    </row>
    <row r="24" spans="1:3" x14ac:dyDescent="0.3">
      <c r="A24">
        <v>14537</v>
      </c>
      <c r="B24" t="s">
        <v>3367</v>
      </c>
      <c r="C24" s="8" t="s">
        <v>3526</v>
      </c>
    </row>
    <row r="25" spans="1:3" x14ac:dyDescent="0.3">
      <c r="A25">
        <v>16707</v>
      </c>
      <c r="B25" t="s">
        <v>1472</v>
      </c>
      <c r="C25" s="8" t="s">
        <v>3527</v>
      </c>
    </row>
    <row r="26" spans="1:3" x14ac:dyDescent="0.3">
      <c r="A26">
        <v>7848</v>
      </c>
      <c r="B26" t="s">
        <v>2522</v>
      </c>
      <c r="C26" s="8" t="s">
        <v>3528</v>
      </c>
    </row>
    <row r="27" spans="1:3" x14ac:dyDescent="0.3">
      <c r="A27">
        <v>32710</v>
      </c>
      <c r="B27" t="s">
        <v>3035</v>
      </c>
      <c r="C27" s="8" t="s">
        <v>3529</v>
      </c>
    </row>
    <row r="28" spans="1:3" x14ac:dyDescent="0.3">
      <c r="A28">
        <v>20541</v>
      </c>
      <c r="B28" t="s">
        <v>1832</v>
      </c>
      <c r="C28" s="8" t="s">
        <v>3530</v>
      </c>
    </row>
    <row r="29" spans="1:3" x14ac:dyDescent="0.3">
      <c r="A29">
        <v>26202</v>
      </c>
      <c r="B29" t="s">
        <v>3531</v>
      </c>
      <c r="C29" s="8" t="s">
        <v>3532</v>
      </c>
    </row>
    <row r="30" spans="1:3" x14ac:dyDescent="0.3">
      <c r="A30">
        <v>27081</v>
      </c>
      <c r="B30" t="s">
        <v>3533</v>
      </c>
      <c r="C30" s="8" t="s">
        <v>3534</v>
      </c>
    </row>
    <row r="31" spans="1:3" x14ac:dyDescent="0.3">
      <c r="A31">
        <v>24577</v>
      </c>
      <c r="B31" t="s">
        <v>3535</v>
      </c>
      <c r="C31" s="8" t="s">
        <v>3536</v>
      </c>
    </row>
    <row r="32" spans="1:3" x14ac:dyDescent="0.3">
      <c r="A32">
        <v>29909</v>
      </c>
      <c r="B32" t="s">
        <v>3537</v>
      </c>
      <c r="C32" s="8" t="s">
        <v>3538</v>
      </c>
    </row>
    <row r="33" spans="1:3" x14ac:dyDescent="0.3">
      <c r="A33">
        <v>31154</v>
      </c>
      <c r="B33" t="s">
        <v>3539</v>
      </c>
      <c r="C33" s="8" t="s">
        <v>3540</v>
      </c>
    </row>
    <row r="34" spans="1:3" x14ac:dyDescent="0.3">
      <c r="A34">
        <v>4707</v>
      </c>
      <c r="B34" t="s">
        <v>1949</v>
      </c>
      <c r="C34" s="8" t="s">
        <v>3541</v>
      </c>
    </row>
    <row r="35" spans="1:3" x14ac:dyDescent="0.3">
      <c r="A35">
        <v>8538</v>
      </c>
      <c r="B35" t="s">
        <v>1931</v>
      </c>
      <c r="C35" s="8" t="s">
        <v>3542</v>
      </c>
    </row>
    <row r="36" spans="1:3" x14ac:dyDescent="0.3">
      <c r="A36">
        <v>27105</v>
      </c>
      <c r="B36" t="s">
        <v>3543</v>
      </c>
      <c r="C36" s="8" t="s">
        <v>3544</v>
      </c>
    </row>
    <row r="37" spans="1:3" x14ac:dyDescent="0.3">
      <c r="A37">
        <v>4692</v>
      </c>
      <c r="B37" t="s">
        <v>3035</v>
      </c>
      <c r="C37" s="8" t="s">
        <v>3545</v>
      </c>
    </row>
    <row r="38" spans="1:3" x14ac:dyDescent="0.3">
      <c r="A38">
        <v>90649</v>
      </c>
      <c r="B38" t="s">
        <v>2601</v>
      </c>
      <c r="C38" s="8" t="s">
        <v>3564</v>
      </c>
    </row>
    <row r="39" spans="1:3" x14ac:dyDescent="0.3">
      <c r="A39">
        <v>23079</v>
      </c>
      <c r="B39" t="s">
        <v>3543</v>
      </c>
      <c r="C39" s="8" t="s">
        <v>3565</v>
      </c>
    </row>
    <row r="40" spans="1:3" x14ac:dyDescent="0.3">
      <c r="A40">
        <v>40152</v>
      </c>
      <c r="B40" t="s">
        <v>3621</v>
      </c>
      <c r="C40" s="8" t="s">
        <v>3622</v>
      </c>
    </row>
    <row r="41" spans="1:3" x14ac:dyDescent="0.3">
      <c r="A41">
        <v>10865</v>
      </c>
      <c r="B41" t="s">
        <v>3650</v>
      </c>
      <c r="C41" s="8" t="s">
        <v>3651</v>
      </c>
    </row>
    <row r="42" spans="1:3" x14ac:dyDescent="0.3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0" priority="1" operator="equal">
      <formula>0</formula>
    </cfRule>
    <cfRule type="cellIs" dxfId="19" priority="2" operator="between">
      <formula>1</formula>
      <formula>4</formula>
    </cfRule>
    <cfRule type="cellIs" dxfId="18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3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3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2025-10-31T19:45:46Z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