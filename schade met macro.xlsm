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91" documentId="13_ncr:1_{BC833B0D-2F54-40DF-A6AF-902741D0EBA0}" xr6:coauthVersionLast="47" xr6:coauthVersionMax="47" xr10:uidLastSave="{4C9A77C7-5C27-425C-947B-DA76D0BC74B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06" i="1" l="1"/>
  <c r="B907" i="1"/>
  <c r="B908" i="1"/>
  <c r="B909" i="1"/>
  <c r="B910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C910" i="1"/>
  <c r="D910" i="1"/>
  <c r="E910" i="1"/>
  <c r="S910" i="1"/>
  <c r="C909" i="1"/>
  <c r="D909" i="1"/>
  <c r="E909" i="1"/>
  <c r="S909" i="1"/>
  <c r="C908" i="1"/>
  <c r="D908" i="1"/>
  <c r="E908" i="1"/>
  <c r="S908" i="1"/>
  <c r="C907" i="1"/>
  <c r="D907" i="1"/>
  <c r="E907" i="1"/>
  <c r="S907" i="1"/>
  <c r="C906" i="1"/>
  <c r="D906" i="1"/>
  <c r="E906" i="1"/>
  <c r="S906" i="1"/>
  <c r="C905" i="1"/>
  <c r="D905" i="1"/>
  <c r="E905" i="1"/>
  <c r="S905" i="1"/>
  <c r="C904" i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6" i="1" l="1"/>
  <c r="B875" i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<sst xmlns="http://schemas.openxmlformats.org/spreadsheetml/2006/main" count="7905" uniqueCount="3640">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</sst>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6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60">
      <pivotArea dataOnly="0" labelOnly="1" fieldPosition="0">
        <references count="1">
          <reference field="1" count="1">
            <x v="511"/>
          </reference>
        </references>
      </pivotArea>
    </format>
    <format dxfId="159">
      <pivotArea dataOnly="0" labelOnly="1" fieldPosition="0">
        <references count="1">
          <reference field="1" count="1">
            <x v="473"/>
          </reference>
        </references>
      </pivotArea>
    </format>
    <format dxfId="158">
      <pivotArea dataOnly="0" labelOnly="1" fieldPosition="0">
        <references count="1">
          <reference field="1" count="1">
            <x v="497"/>
          </reference>
        </references>
      </pivotArea>
    </format>
    <format dxfId="157">
      <pivotArea dataOnly="0" labelOnly="1" fieldPosition="0">
        <references count="1">
          <reference field="1" count="1">
            <x v="512"/>
          </reference>
        </references>
      </pivotArea>
    </format>
    <format dxfId="156">
      <pivotArea dataOnly="0" labelOnly="1" fieldPosition="0">
        <references count="1">
          <reference field="1" count="1">
            <x v="504"/>
          </reference>
        </references>
      </pivotArea>
    </format>
    <format dxfId="155">
      <pivotArea dataOnly="0" labelOnly="1" fieldPosition="0">
        <references count="1">
          <reference field="1" count="1">
            <x v="90"/>
          </reference>
        </references>
      </pivotArea>
    </format>
    <format dxfId="154">
      <pivotArea dataOnly="0" labelOnly="1" fieldPosition="0">
        <references count="1">
          <reference field="1" count="1">
            <x v="280"/>
          </reference>
        </references>
      </pivotArea>
    </format>
    <format dxfId="153">
      <pivotArea dataOnly="0" labelOnly="1" fieldPosition="0">
        <references count="1">
          <reference field="1" count="1">
            <x v="514"/>
          </reference>
        </references>
      </pivotArea>
    </format>
    <format dxfId="152">
      <pivotArea dataOnly="0" labelOnly="1" fieldPosition="0">
        <references count="1">
          <reference field="1" count="1">
            <x v="478"/>
          </reference>
        </references>
      </pivotArea>
    </format>
    <format dxfId="151">
      <pivotArea dataOnly="0" labelOnly="1" fieldPosition="0">
        <references count="1">
          <reference field="1" count="1">
            <x v="510"/>
          </reference>
        </references>
      </pivotArea>
    </format>
    <format dxfId="150">
      <pivotArea dataOnly="0" labelOnly="1" fieldPosition="0">
        <references count="1">
          <reference field="1" count="1">
            <x v="481"/>
          </reference>
        </references>
      </pivotArea>
    </format>
    <format dxfId="149">
      <pivotArea dataOnly="0" labelOnly="1" fieldPosition="0">
        <references count="1">
          <reference field="1" count="1">
            <x v="435"/>
          </reference>
        </references>
      </pivotArea>
    </format>
    <format dxfId="148">
      <pivotArea dataOnly="0" labelOnly="1" fieldPosition="0">
        <references count="1">
          <reference field="1" count="1">
            <x v="112"/>
          </reference>
        </references>
      </pivotArea>
    </format>
    <format dxfId="147">
      <pivotArea dataOnly="0" labelOnly="1" fieldPosition="0">
        <references count="1">
          <reference field="1" count="1">
            <x v="157"/>
          </reference>
        </references>
      </pivotArea>
    </format>
    <format dxfId="146">
      <pivotArea dataOnly="0" labelOnly="1" fieldPosition="0">
        <references count="1">
          <reference field="1" count="1">
            <x v="490"/>
          </reference>
        </references>
      </pivotArea>
    </format>
    <format dxfId="145">
      <pivotArea dataOnly="0" labelOnly="1" fieldPosition="0">
        <references count="1">
          <reference field="1" count="1">
            <x v="506"/>
          </reference>
        </references>
      </pivotArea>
    </format>
    <format dxfId="144">
      <pivotArea dataOnly="0" labelOnly="1" fieldPosition="0">
        <references count="1">
          <reference field="1" count="1">
            <x v="520"/>
          </reference>
        </references>
      </pivotArea>
    </format>
    <format dxfId="143">
      <pivotArea dataOnly="0" labelOnly="1" fieldPosition="0">
        <references count="1">
          <reference field="1" count="1">
            <x v="250"/>
          </reference>
        </references>
      </pivotArea>
    </format>
    <format dxfId="142">
      <pivotArea dataOnly="0" labelOnly="1" fieldPosition="0">
        <references count="1">
          <reference field="1" count="1">
            <x v="432"/>
          </reference>
        </references>
      </pivotArea>
    </format>
    <format dxfId="141">
      <pivotArea dataOnly="0" labelOnly="1" fieldPosition="0">
        <references count="1">
          <reference field="1" count="1">
            <x v="440"/>
          </reference>
        </references>
      </pivotArea>
    </format>
    <format dxfId="14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39">
      <pivotArea dataOnly="0" labelOnly="1" fieldPosition="0">
        <references count="1">
          <reference field="1" count="1">
            <x v="348"/>
          </reference>
        </references>
      </pivotArea>
    </format>
    <format dxfId="138">
      <pivotArea dataOnly="0" labelOnly="1" fieldPosition="0">
        <references count="1">
          <reference field="1" count="1">
            <x v="355"/>
          </reference>
        </references>
      </pivotArea>
    </format>
    <format dxfId="137">
      <pivotArea dataOnly="0" labelOnly="1" fieldPosition="0">
        <references count="1">
          <reference field="1" count="1">
            <x v="498"/>
          </reference>
        </references>
      </pivotArea>
    </format>
    <format dxfId="136">
      <pivotArea dataOnly="0" labelOnly="1" fieldPosition="0">
        <references count="1">
          <reference field="1" count="1">
            <x v="508"/>
          </reference>
        </references>
      </pivotArea>
    </format>
    <format dxfId="135">
      <pivotArea dataOnly="0" labelOnly="1" fieldPosition="0">
        <references count="1">
          <reference field="1" count="1">
            <x v="397"/>
          </reference>
        </references>
      </pivotArea>
    </format>
    <format dxfId="134">
      <pivotArea dataOnly="0" labelOnly="1" fieldPosition="0">
        <references count="1">
          <reference field="1" count="1">
            <x v="513"/>
          </reference>
        </references>
      </pivotArea>
    </format>
    <format dxfId="133">
      <pivotArea dataOnly="0" labelOnly="1" fieldPosition="0">
        <references count="1">
          <reference field="1" count="1">
            <x v="412"/>
          </reference>
        </references>
      </pivotArea>
    </format>
    <format dxfId="132">
      <pivotArea dataOnly="0" labelOnly="1" fieldPosition="0">
        <references count="1">
          <reference field="1" count="1">
            <x v="507"/>
          </reference>
        </references>
      </pivotArea>
    </format>
    <format dxfId="131">
      <pivotArea dataOnly="0" labelOnly="1" fieldPosition="0">
        <references count="1">
          <reference field="1" count="1">
            <x v="507"/>
          </reference>
        </references>
      </pivotArea>
    </format>
    <format dxfId="130">
      <pivotArea dataOnly="0" labelOnly="1" fieldPosition="0">
        <references count="1">
          <reference field="1" count="1">
            <x v="342"/>
          </reference>
        </references>
      </pivotArea>
    </format>
    <format dxfId="129">
      <pivotArea dataOnly="0" labelOnly="1" fieldPosition="0">
        <references count="1">
          <reference field="1" count="1">
            <x v="501"/>
          </reference>
        </references>
      </pivotArea>
    </format>
    <format dxfId="128">
      <pivotArea dataOnly="0" labelOnly="1" fieldPosition="0">
        <references count="1">
          <reference field="1" count="1">
            <x v="351"/>
          </reference>
        </references>
      </pivotArea>
    </format>
    <format dxfId="127">
      <pivotArea dataOnly="0" labelOnly="1" fieldPosition="0">
        <references count="1">
          <reference field="1" count="1">
            <x v="156"/>
          </reference>
        </references>
      </pivotArea>
    </format>
    <format dxfId="126">
      <pivotArea dataOnly="0" labelOnly="1" fieldPosition="0">
        <references count="1">
          <reference field="1" count="1">
            <x v="358"/>
          </reference>
        </references>
      </pivotArea>
    </format>
    <format dxfId="12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24">
      <pivotArea dataOnly="0" labelOnly="1" fieldPosition="0">
        <references count="1">
          <reference field="1" count="1">
            <x v="438"/>
          </reference>
        </references>
      </pivotArea>
    </format>
    <format dxfId="12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22">
      <pivotArea dataOnly="0" labelOnly="1" fieldPosition="0">
        <references count="1">
          <reference field="1" count="1">
            <x v="309"/>
          </reference>
        </references>
      </pivotArea>
    </format>
    <format dxfId="12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20">
      <pivotArea dataOnly="0" labelOnly="1" fieldPosition="0">
        <references count="1">
          <reference field="1" count="1">
            <x v="374"/>
          </reference>
        </references>
      </pivotArea>
    </format>
    <format dxfId="11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8">
      <pivotArea dataOnly="0" labelOnly="1" fieldPosition="0">
        <references count="1">
          <reference field="1" count="1">
            <x v="407"/>
          </reference>
        </references>
      </pivotArea>
    </format>
    <format dxfId="11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15"/>
    <tableColumn id="5" xr3:uid="{DF37AD45-FC5C-478A-989D-9143E744CEEA}" name="voornaam" dataDxfId="114">
      <calculatedColumnFormula>VLOOKUP(Tabel2[[#This Row],[nr]],'data hastus'!A:C,3,FALSE)</calculatedColumnFormula>
    </tableColumn>
    <tableColumn id="6" xr3:uid="{4098FAFB-9B09-4A81-8B22-18CC90B5F979}" name="achternaam" dataDxfId="11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9">
  <autoFilter ref="A1:AA910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0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7"/>
    <tableColumn id="11" xr3:uid="{97ECF1D5-48DC-4487-B3C2-17232CC8E19E}" name="Januari" dataDxfId="106"/>
    <tableColumn id="12" xr3:uid="{7B2FF520-A575-45C0-BB5A-19B87DDB4EA0}" name="Februari" dataDxfId="105"/>
    <tableColumn id="13" xr3:uid="{4E6C30D1-FB72-4AB2-900F-14A3D53F34DE}" name="Maart" dataDxfId="10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03">
      <calculatedColumnFormula>SUM(bron[[#This Row],[Januari]:[December]])</calculatedColumnFormula>
    </tableColumn>
    <tableColumn id="10" xr3:uid="{8D9646BD-38B6-4F4D-9859-B3933369346B}" name="Datum" dataDxfId="10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1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B899" sqref="B899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  <row r="876" spans="1:27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10"/>
      <c r="G876" s="7"/>
      <c r="H876" s="7"/>
      <c r="I876" s="7"/>
      <c r="S876" s="40">
        <f>SUM(bron[[#This Row],[Januari]:[December]])</f>
        <v>0</v>
      </c>
      <c r="T876" s="9">
        <v>45924</v>
      </c>
      <c r="U876" s="5" t="s">
        <v>3636</v>
      </c>
      <c r="V876" s="24"/>
      <c r="W876" s="24"/>
      <c r="X876" t="s">
        <v>3514</v>
      </c>
      <c r="Y876" t="s">
        <v>3629</v>
      </c>
      <c r="Z876">
        <v>2085</v>
      </c>
      <c r="AA876" s="39" t="s">
        <v>3561</v>
      </c>
    </row>
    <row r="877" spans="1:27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10"/>
      <c r="G877" s="7"/>
      <c r="H877" s="7"/>
      <c r="I877" s="7"/>
      <c r="S877" s="40">
        <f>SUM(bron[[#This Row],[Januari]:[December]])</f>
        <v>0</v>
      </c>
      <c r="T877" s="9">
        <v>45923</v>
      </c>
      <c r="U877" s="5" t="s">
        <v>3637</v>
      </c>
      <c r="V877" s="24"/>
      <c r="W877" s="24"/>
      <c r="X877" t="s">
        <v>3549</v>
      </c>
      <c r="Y877" t="s">
        <v>75</v>
      </c>
      <c r="Z877">
        <v>6328</v>
      </c>
      <c r="AA877" s="39" t="s">
        <v>3562</v>
      </c>
    </row>
    <row r="878" spans="1:27" x14ac:dyDescent="0.25">
      <c r="A878">
        <v>41888</v>
      </c>
      <c r="B878" t="str">
        <f>_xlfn.CONCAT(bron[[#This Row],[personeelsnr]]," ",bron[[#This Row],[achternaam]]," ",bron[[#This Row],[voornaam]])</f>
        <v>41888 De Rammelaere Bjorn</v>
      </c>
      <c r="C878" t="str">
        <f>VLOOKUP(bron[[#This Row],[personeelsnr]],'data hastus'!$A:$C,2,0)</f>
        <v>De Rammelaere</v>
      </c>
      <c r="D878" t="str">
        <f>VLOOKUP(bron[[#This Row],[personeelsnr]],'data hastus'!$A:$C,3,0)</f>
        <v>Bjorn</v>
      </c>
      <c r="E878" t="str">
        <f>VLOOKUP(bron[[#This Row],[personeelsnr]],'data hastus'!A:K,11,FALSE)</f>
        <v>Kenneth De Rick</v>
      </c>
      <c r="F878" s="10"/>
      <c r="G878" s="7"/>
      <c r="H878" s="7"/>
      <c r="I878" s="7"/>
      <c r="S878" s="40">
        <f>SUM(bron[[#This Row],[Januari]:[December]])</f>
        <v>0</v>
      </c>
      <c r="T878" s="9">
        <v>45924</v>
      </c>
      <c r="U878" s="5" t="s">
        <v>3638</v>
      </c>
      <c r="V878" s="24"/>
      <c r="W878" s="24"/>
      <c r="X878" t="s">
        <v>3514</v>
      </c>
      <c r="Y878" t="s">
        <v>3639</v>
      </c>
      <c r="Z878">
        <v>5922</v>
      </c>
      <c r="AA878" s="39" t="s">
        <v>3562</v>
      </c>
    </row>
    <row r="879" spans="1:27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  <c r="F879" s="10"/>
      <c r="G879" s="7"/>
      <c r="H879" s="7"/>
      <c r="I879" s="7"/>
      <c r="S879" s="40">
        <f>SUM(bron[[#This Row],[Januari]:[December]])</f>
        <v>0</v>
      </c>
      <c r="V879" s="24"/>
      <c r="W879" s="24"/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  <c r="F880" s="10"/>
      <c r="G880" s="7"/>
      <c r="H880" s="7"/>
      <c r="I880" s="7"/>
      <c r="S880" s="40">
        <f>SUM(bron[[#This Row],[Januari]:[December]])</f>
        <v>0</v>
      </c>
      <c r="V880" s="24"/>
      <c r="W880" s="24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  <c r="F881" s="10"/>
      <c r="G881" s="7"/>
      <c r="H881" s="7"/>
      <c r="I881" s="7"/>
      <c r="S881" s="40">
        <f>SUM(bron[[#This Row],[Januari]:[December]])</f>
        <v>0</v>
      </c>
      <c r="V881" s="24"/>
      <c r="W881" s="24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  <c r="F882" s="10"/>
      <c r="G882" s="7"/>
      <c r="H882" s="7"/>
      <c r="I882" s="7"/>
      <c r="S882" s="40">
        <f>SUM(bron[[#This Row],[Januari]:[December]])</f>
        <v>0</v>
      </c>
      <c r="V882" s="24"/>
      <c r="W882" s="24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  <c r="F883" s="10"/>
      <c r="G883" s="7"/>
      <c r="H883" s="7"/>
      <c r="I883" s="7"/>
      <c r="S883" s="40">
        <f>SUM(bron[[#This Row],[Januari]:[December]])</f>
        <v>0</v>
      </c>
      <c r="V883" s="24"/>
      <c r="W883" s="24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  <c r="F884" s="10"/>
      <c r="G884" s="7"/>
      <c r="H884" s="7"/>
      <c r="I884" s="7"/>
      <c r="S884" s="40">
        <f>SUM(bron[[#This Row],[Januari]:[December]])</f>
        <v>0</v>
      </c>
      <c r="V884" s="24"/>
      <c r="W884" s="24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  <c r="F885" s="10"/>
      <c r="G885" s="7"/>
      <c r="H885" s="7"/>
      <c r="I885" s="7"/>
      <c r="S885" s="40">
        <f>SUM(bron[[#This Row],[Januari]:[December]])</f>
        <v>0</v>
      </c>
      <c r="V885" s="24"/>
      <c r="W885" s="24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  <c r="F886" s="10"/>
      <c r="G886" s="7"/>
      <c r="H886" s="7"/>
      <c r="I886" s="7"/>
      <c r="S886" s="40">
        <f>SUM(bron[[#This Row],[Januari]:[December]])</f>
        <v>0</v>
      </c>
      <c r="V886" s="24"/>
      <c r="W886" s="24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  <c r="F887" s="10"/>
      <c r="G887" s="7"/>
      <c r="H887" s="7"/>
      <c r="I887" s="7"/>
      <c r="S887" s="40">
        <f>SUM(bron[[#This Row],[Januari]:[December]])</f>
        <v>0</v>
      </c>
      <c r="V887" s="24"/>
      <c r="W887" s="24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  <c r="F888" s="10"/>
      <c r="G888" s="7"/>
      <c r="H888" s="7"/>
      <c r="I888" s="7"/>
      <c r="S888" s="40">
        <f>SUM(bron[[#This Row],[Januari]:[December]])</f>
        <v>0</v>
      </c>
      <c r="V888" s="24"/>
      <c r="W888" s="24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  <c r="F889" s="10"/>
      <c r="G889" s="7"/>
      <c r="H889" s="7"/>
      <c r="I889" s="7"/>
      <c r="S889" s="40">
        <f>SUM(bron[[#This Row],[Januari]:[December]])</f>
        <v>0</v>
      </c>
      <c r="V889" s="24"/>
      <c r="W889" s="24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  <c r="F890" s="10"/>
      <c r="G890" s="7"/>
      <c r="H890" s="7"/>
      <c r="I890" s="7"/>
      <c r="S890" s="40">
        <f>SUM(bron[[#This Row],[Januari]:[December]])</f>
        <v>0</v>
      </c>
      <c r="V890" s="24"/>
      <c r="W890" s="24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  <c r="F891" s="10"/>
      <c r="G891" s="7"/>
      <c r="H891" s="7"/>
      <c r="I891" s="7"/>
      <c r="S891" s="40">
        <f>SUM(bron[[#This Row],[Januari]:[December]])</f>
        <v>0</v>
      </c>
      <c r="V891" s="24"/>
      <c r="W891" s="24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  <c r="F892" s="10"/>
      <c r="G892" s="7"/>
      <c r="H892" s="7"/>
      <c r="I892" s="7"/>
      <c r="S892" s="40">
        <f>SUM(bron[[#This Row],[Januari]:[December]])</f>
        <v>0</v>
      </c>
      <c r="V892" s="24"/>
      <c r="W892" s="24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  <c r="F893" s="10"/>
      <c r="G893" s="7"/>
      <c r="H893" s="7"/>
      <c r="I893" s="7"/>
      <c r="S893" s="40">
        <f>SUM(bron[[#This Row],[Januari]:[December]])</f>
        <v>0</v>
      </c>
      <c r="V893" s="24"/>
      <c r="W893" s="24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  <c r="F894" s="10"/>
      <c r="G894" s="7"/>
      <c r="H894" s="7"/>
      <c r="I894" s="7"/>
      <c r="S894" s="40">
        <f>SUM(bron[[#This Row],[Januari]:[December]])</f>
        <v>0</v>
      </c>
      <c r="V894" s="24"/>
      <c r="W894" s="24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  <c r="F895" s="10"/>
      <c r="G895" s="7"/>
      <c r="H895" s="7"/>
      <c r="I895" s="7"/>
      <c r="S895" s="40">
        <f>SUM(bron[[#This Row],[Januari]:[December]])</f>
        <v>0</v>
      </c>
      <c r="V895" s="24"/>
      <c r="W895" s="24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  <c r="F896" s="10"/>
      <c r="G896" s="7"/>
      <c r="H896" s="7"/>
      <c r="I896" s="7"/>
      <c r="S896" s="40">
        <f>SUM(bron[[#This Row],[Januari]:[December]])</f>
        <v>0</v>
      </c>
      <c r="V896" s="24"/>
      <c r="W896" s="24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  <c r="F897" s="10"/>
      <c r="G897" s="7"/>
      <c r="H897" s="7"/>
      <c r="I897" s="7"/>
      <c r="S897" s="40">
        <f>SUM(bron[[#This Row],[Januari]:[December]])</f>
        <v>0</v>
      </c>
      <c r="V897" s="24"/>
      <c r="W897" s="24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  <c r="F898" s="10"/>
      <c r="G898" s="7"/>
      <c r="H898" s="7"/>
      <c r="I898" s="7"/>
      <c r="S898" s="40">
        <f>SUM(bron[[#This Row],[Januari]:[December]])</f>
        <v>0</v>
      </c>
      <c r="V898" s="24"/>
      <c r="W898" s="24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  <c r="F899" s="10"/>
      <c r="G899" s="7"/>
      <c r="H899" s="7"/>
      <c r="I899" s="7"/>
      <c r="S899" s="40">
        <f>SUM(bron[[#This Row],[Januari]:[December]])</f>
        <v>0</v>
      </c>
      <c r="V899" s="24"/>
      <c r="W899" s="24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  <c r="F900" s="10"/>
      <c r="G900" s="7"/>
      <c r="H900" s="7"/>
      <c r="I900" s="7"/>
      <c r="S900" s="40">
        <f>SUM(bron[[#This Row],[Januari]:[December]])</f>
        <v>0</v>
      </c>
      <c r="V900" s="24"/>
      <c r="W900" s="24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  <c r="F901" s="10"/>
      <c r="G901" s="7"/>
      <c r="H901" s="7"/>
      <c r="I901" s="7"/>
      <c r="S901" s="40">
        <f>SUM(bron[[#This Row],[Januari]:[December]])</f>
        <v>0</v>
      </c>
      <c r="V901" s="24"/>
      <c r="W901" s="24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  <c r="F902" s="10"/>
      <c r="G902" s="7"/>
      <c r="H902" s="7"/>
      <c r="I902" s="7"/>
      <c r="S902" s="40">
        <f>SUM(bron[[#This Row],[Januari]:[December]])</f>
        <v>0</v>
      </c>
      <c r="V902" s="24"/>
      <c r="W902" s="24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  <c r="F903" s="10"/>
      <c r="G903" s="7"/>
      <c r="H903" s="7"/>
      <c r="I903" s="7"/>
      <c r="S903" s="40">
        <f>SUM(bron[[#This Row],[Januari]:[December]])</f>
        <v>0</v>
      </c>
      <c r="V903" s="24"/>
      <c r="W903" s="24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  <c r="F904" s="10"/>
      <c r="G904" s="7"/>
      <c r="H904" s="7"/>
      <c r="I904" s="7"/>
      <c r="S904" s="40">
        <f>SUM(bron[[#This Row],[Januari]:[December]])</f>
        <v>0</v>
      </c>
      <c r="V904" s="24"/>
      <c r="W904" s="24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  <c r="F905" s="10"/>
      <c r="G905" s="7"/>
      <c r="H905" s="7"/>
      <c r="I905" s="7"/>
      <c r="S905" s="40">
        <f>SUM(bron[[#This Row],[Januari]:[December]])</f>
        <v>0</v>
      </c>
      <c r="V905" s="24"/>
      <c r="W905" s="24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  <c r="F906" s="10"/>
      <c r="G906" s="7"/>
      <c r="H906" s="7"/>
      <c r="I906" s="7"/>
      <c r="S906" s="40">
        <f>SUM(bron[[#This Row],[Januari]:[December]])</f>
        <v>0</v>
      </c>
      <c r="V906" s="24"/>
      <c r="W906" s="24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  <c r="F907" s="10"/>
      <c r="G907" s="7"/>
      <c r="H907" s="7"/>
      <c r="I907" s="7"/>
      <c r="S907" s="40">
        <f>SUM(bron[[#This Row],[Januari]:[December]])</f>
        <v>0</v>
      </c>
      <c r="V907" s="24"/>
      <c r="W907" s="24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  <c r="F908" s="10"/>
      <c r="G908" s="7"/>
      <c r="H908" s="7"/>
      <c r="I908" s="7"/>
      <c r="S908" s="40">
        <f>SUM(bron[[#This Row],[Januari]:[December]])</f>
        <v>0</v>
      </c>
      <c r="V908" s="24"/>
      <c r="W908" s="24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  <c r="F909" s="10"/>
      <c r="G909" s="7"/>
      <c r="H909" s="7"/>
      <c r="I909" s="7"/>
      <c r="S909" s="40">
        <f>SUM(bron[[#This Row],[Januari]:[December]])</f>
        <v>0</v>
      </c>
      <c r="V909" s="24"/>
      <c r="W909" s="24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  <c r="F910" s="10"/>
      <c r="G910" s="7"/>
      <c r="H910" s="7"/>
      <c r="I910" s="7"/>
      <c r="S910" s="40">
        <f>SUM(bron[[#This Row],[Januari]:[December]])</f>
        <v>0</v>
      </c>
      <c r="V910" s="24"/>
      <c r="W910" s="24"/>
    </row>
  </sheetData>
  <sheetProtection sort="0" autoFilter="0"/>
  <phoneticPr fontId="1" type="noConversion"/>
  <conditionalFormatting sqref="F2:F910">
    <cfRule type="cellIs" dxfId="112" priority="5" operator="equal">
      <formula>0</formula>
    </cfRule>
    <cfRule type="cellIs" dxfId="111" priority="7" operator="between">
      <formula>1</formula>
      <formula>4</formula>
    </cfRule>
    <cfRule type="cellIs" dxfId="110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01" priority="1" operator="equal">
      <formula>0</formula>
    </cfRule>
    <cfRule type="cellIs" dxfId="100" priority="2" operator="between">
      <formula>1</formula>
      <formula>4</formula>
    </cfRule>
    <cfRule type="cellIs" dxfId="9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2025-09-25T12:12:35Z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