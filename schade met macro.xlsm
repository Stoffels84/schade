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42" documentId="13_ncr:1_{10FCACA5-8197-478D-90D3-5F83063FB753}" xr6:coauthVersionLast="47" xr6:coauthVersionMax="47" xr10:uidLastSave="{F42B7CF7-841C-49BA-A985-091F426D6884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<sst xmlns="http://schemas.openxmlformats.org/spreadsheetml/2006/main" count="8871" uniqueCount="3801">
  <si>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</si>
  <si>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</si>
  <si>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</si>
  <si>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</si>
  <si>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</si>
  <si>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</si>
  <si>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</si>
  <si>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</si>
  <si>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</si>
  <si>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</si>
  <si>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</si>
  <si>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</si>
  <si>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</si>
  <si>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</si>
  <si>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</si>
  <si>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</si>
  <si>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</si>
  <si>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</si>
  <si>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</si>
  <si>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</si>
  <si>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</si>
  <si>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</si>
  <si>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</si>
  <si>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</si>
  <si>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</si>
  <si>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</si>
  <si>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</si>
  <si>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</si>
  <si>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</si>
  <si>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</si>
  <si>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</si>
  <si>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</si>
  <si>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</si>
  <si>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</si>
  <si>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</si>
  <si>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</si>
  <si>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</si>
  <si>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</si>
  <si>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</si>
  <si>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</si>
  <si>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</si>
  <si>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</si>
  <si>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</si>
  <si>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</si>
  <si>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</si>
  <si>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</si>
  <si>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</si>
  <si>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</si>
  <si>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</si>
  <si>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</si>
  <si>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</si>
  <si>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</si>
  <si>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</si>
  <si>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</si>
  <si>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</si>
  <si>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</si>
  <si>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</si>
  <si>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</si>
  <si>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</si>
  <si>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</si>
  <si>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</si>
  <si>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</si>
  <si>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</si>
  <si>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</si>
  <si>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</si>
  <si>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</si>
  <si>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</si>
  <si>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</si>
  <si>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</si>
  <si>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</si>
  <si>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</si>
  <si>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</si>
  <si>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</si>
  <si>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</si>
  <si>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</si>
  <si>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</si>
  <si>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</si>
  <si>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</si>
  <si>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</si>
  <si>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</si>
  <si>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</si>
  <si>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</si>
  <si>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</si>
  <si>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</si>
  <si>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</si>
  <si>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</si>
  <si>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</si>
  <si>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</si>
  <si>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</si>
  <si>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</si>
  <si>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</si>
  <si>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</si>
  <si>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</si>
  <si>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</si>
  <si>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</si>
  <si>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</si>
  <si>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</si>
  <si>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</si>
  <si>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</si>
  <si>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</si>
  <si>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</si>
  <si>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</si>
  <si>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</si>
  <si>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</si>
  <si>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</si>
  <si>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</si>
  <si>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</si>
  <si>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</si>
  <si>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</si>
  <si>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</si>
  <si>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</si>
  <si>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</si>
  <si>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</si>
  <si>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</si>
  <si>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</si>
  <si>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</si>
  <si>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</si>
  <si>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</si>
  <si>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</si>
  <si>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</si>
  <si>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</si>
  <si>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</si>
  <si>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</si>
  <si>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</si>
  <si>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</si>
  <si>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</si>
  <si>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</si>
  <si>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</si>
  <si>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</si>
  <si>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</si>
  <si>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</si>
  <si>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</si>
  <si>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</si>
  <si>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</si>
  <si>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</si>
  <si>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</si>
  <si>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</si>
  <si>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</si>
  <si>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</si>
  <si>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</si>
  <si>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</si>
  <si>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</si>
  <si>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</si>
  <si>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</si>
  <si>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</si>
  <si>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</si>
  <si>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</si>
  <si>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</si>
  <si>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</si>
  <si>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</si>
  <si>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</si>
  <si>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</si>
  <si>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</si>
  <si>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</si>
  <si>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</si>
  <si>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</si>
  <si>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</si>
  <si>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</si>
  <si>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</si>
  <si>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</si>
  <si>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</si>
  <si>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</si>
  <si>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</si>
  <si>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</si>
  <si>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</si>
  <si>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</si>
  <si>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</si>
  <si>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</si>
  <si>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</si>
  <si>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</si>
  <si>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</si>
  <si>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</si>
  <si>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</si>
  <si>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</si>
  <si>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</si>
  <si>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</si>
  <si>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</si>
  <si>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</si>
  <si>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</si>
  <si>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</si>
  <si>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</si>
  <si>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</si>
  <si>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</si>
  <si>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</si>
  <si>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</si>
  <si>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</si>
  <si>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</si>
  <si>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</si>
  <si>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</si>
  <si>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</si>
  <si>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</si>
  <si>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</si>
  <si>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</si>
  <si>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</si>
  <si>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</si>
  <si>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</si>
  <si>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</si>
  <si>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</si>
  <si>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</si>
  <si>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</si>
  <si>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</si>
  <si>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</si>
  <si>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</si>
  <si>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</si>
  <si>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</si>
  <si>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</si>
  <si>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</si>
  <si>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</si>
  <si>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</si>
  <si>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</si>
  <si>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</si>
  <si>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</si>
  <si>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</si>
  <si>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</si>
  <si>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</si>
  <si>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</si>
  <si>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</si>
  <si>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</si>
  <si>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</si>
  <si>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</si>
  <si>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</si>
  <si>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</si>
  <si>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</si>
  <si>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</si>
  <si>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</si>
  <si>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</si>
  <si>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</si>
  <si>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</si>
  <si>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</si>
  <si>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</si>
  <si>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</si>
  <si>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</si>
  <si>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</si>
  <si>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</si>
  <si>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</si>
  <si>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</si>
  <si>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</si>
  <si>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</si>
  <si>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</si>
  <si>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</si>
  <si>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</si>
  <si>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</si>
  <si>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</si>
  <si>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</si>
  <si>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</si>
  <si>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</si>
  <si>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</si>
  <si>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</si>
  <si>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</si>
  <si>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</si>
  <si>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</si>
  <si>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</si>
  <si>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</si>
  <si>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</si>
  <si>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</si>
  <si>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</si>
  <si>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</si>
  <si>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</si>
  <si>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</si>
  <si>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</si>
  <si>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</si>
  <si>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</si>
  <si>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</si>
  <si>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</si>
  <si>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</si>
  <si>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</si>
  <si>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</si>
  <si>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</si>
  <si>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</si>
  <si>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</si>
  <si>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</si>
  <si>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</si>
  <si>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</si>
  <si>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</si>
  <si>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</si>
  <si>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</si>
  <si>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</si>
  <si>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</si>
  <si>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</si>
  <si>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</si>
  <si>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</si>
  <si>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</si>
  <si>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</si>
  <si>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</si>
  <si>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</si>
  <si>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</si>
  <si>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</si>
  <si>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</si>
  <si>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</si>
  <si>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</si>
  <si>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</si>
  <si>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</si>
  <si>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</si>
  <si>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</si>
  <si>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</si>
  <si>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</si>
  <si>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</si>
  <si>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</si>
  <si>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</si>
  <si>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</si>
  <si>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</si>
  <si>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</si>
  <si>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</si>
  <si>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</si>
  <si>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</si>
  <si>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</si>
  <si>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</si>
  <si>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</si>
  <si>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</si>
  <si>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</si>
  <si>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</si>
  <si>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</si>
  <si>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</si>
  <si>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</si>
  <si>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</si>
  <si>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</si>
  <si>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</si>
  <si>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</si>
  <si>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</si>
  <si>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</si>
  <si>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</si>
  <si>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</si>
  <si>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</si>
  <si>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</si>
  <si>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</si>
  <si>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</si>
  <si>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</si>
  <si>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</si>
  <si>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</si>
  <si>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</si>
  <si>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</si>
  <si>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</si>
  <si>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</si>
  <si>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</si>
  <si>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</si>
  <si>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</si>
  <si>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</si>
  <si>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</si>
  <si>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</si>
  <si>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</si>
  <si>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</si>
  <si>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</si>
  <si>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</si>
  <si>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</si>
  <si>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</si>
  <si>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</si>
  <si>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</si>
  <si>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</si>
  <si>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</si>
  <si>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</si>
  <si>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</si>
  <si>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</si>
  <si>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</si>
  <si>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</si>
  <si>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</si>
  <si>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</si>
  <si>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</si>
  <si>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</si>
  <si>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</si>
  <si>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</si>
  <si>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</si>
  <si>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</si>
  <si>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</si>
  <si>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</si>
  <si>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</si>
  <si>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</si>
  <si>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</si>
  <si>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</si>
  <si>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</si>
  <si>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</si>
  <si>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</si>
  <si>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</si>
  <si>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</si>
  <si>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</si>
  <si>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</si>
  <si>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</si>
  <si>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</si>
  <si>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</si>
  <si>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</si>
  <si>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</si>
  <si>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</si>
  <si>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</si>
  <si>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</si>
  <si>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</si>
  <si>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</si>
  <si>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</si>
  <si>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</si>
  <si>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</si>
  <si>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</si>
  <si>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</si>
  <si>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</si>
  <si>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</si>
  <si>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</si>
  <si>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</si>
  <si>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</si>
  <si>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</si>
  <si>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</si>
  <si>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</si>
  <si>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</si>
  <si>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</si>
  <si>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</si>
  <si>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</si>
  <si>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</si>
  <si>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</si>
  <si>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</si>
  <si>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</si>
  <si>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</si>
  <si>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</si>
  <si>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</si>
  <si>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</si>
  <si>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</si>
  <si>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</si>
  <si>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</si>
  <si>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</si>
  <si>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</si>
  <si>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</si>
  <si>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</si>
  <si>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</si>
  <si>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</si>
  <si>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</si>
  <si>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</si>
  <si>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</si>
  <si>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</si>
  <si>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</si>
  <si>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</si>
  <si>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</si>
  <si>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</si>
  <si>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</si>
  <si>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</si>
  <si>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</si>
  <si>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</si>
  <si>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</si>
  <si>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</si>
  <si>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</si>
  <si>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</si>
  <si>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</si>
  <si>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</si>
  <si>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</si>
  <si>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</si>
  <si>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</si>
  <si>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</si>
  <si>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</si>
  <si>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</si>
  <si>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</si>
  <si>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</si>
  <si>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</si>
  <si>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</si>
  <si>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</si>
  <si>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</si>
  <si>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</si>
  <si>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</si>
  <si>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</si>
  <si>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</si>
  <si>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</si>
  <si>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</si>
  <si>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</si>
  <si>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</si>
  <si>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</si>
  <si>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</si>
  <si>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</si>
  <si>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</si>
  <si>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</si>
  <si>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</si>
  <si>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</si>
  <si>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</si>
  <si>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</si>
  <si>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</si>
  <si>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</si>
  <si>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</si>
  <si>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</si>
  <si>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</si>
  <si>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</si>
  <si>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</si>
  <si>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</si>
  <si>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</si>
  <si>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</si>
  <si>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</si>
  <si>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</si>
  <si>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</si>
  <si>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</si>
  <si>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</si>
  <si>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</si>
  <si>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</si>
  <si>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</si>
  <si>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</si>
  <si>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</si>
  <si>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</si>
  <si>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</si>
  <si>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</si>
  <si>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</si>
  <si>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</si>
  <si>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</si>
  <si>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</si>
  <si>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</si>
  <si>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</si>
  <si>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</si>
  <si>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</si>
  <si>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</si>
  <si>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</si>
  <si>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</si>
  <si>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</si>
  <si>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</si>
  <si>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</si>
  <si>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</si>
  <si>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</si>
  <si>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</si>
  <si>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</si>
  <si>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</si>
  <si>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</si>
  <si>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</si>
  <si>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</si>
  <si>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</si>
  <si>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</si>
  <si>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</si>
  <si>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</si>
  <si>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</si>
  <si>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</si>
  <si>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</si>
  <si>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</si>
  <si>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</si>
  <si>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</si>
  <si>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</si>
  <si>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</si>
  <si>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</si>
  <si>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</si>
  <si>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</si>
  <si>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</si>
  <si>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</si>
  <si>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</si>
  <si>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</si>
  <si>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</si>
  <si>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</si>
  <si>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</si>
  <si>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</si>
  <si>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</si>
  <si>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</si>
  <si>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</si>
  <si>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</si>
  <si>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</si>
  <si>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</si>
  <si>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</si>
  <si>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</si>
  <si>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</si>
  <si>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</si>
  <si>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</si>
  <si>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</si>
  <si>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</si>
  <si>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</si>
  <si>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</si>
  <si>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</si>
  <si>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</si>
  <si>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</si>
  <si>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</si>
  <si>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</si>
  <si>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</si>
  <si>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</si>
  <si>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</si>
  <si>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</si>
  <si>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</si>
  <si>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</si>
  <si>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</si>
  <si>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</si>
  <si>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</si>
  <si>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</si>
  <si>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</si>
  <si>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</si>
  <si>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</si>
  <si>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</si>
  <si>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</si>
  <si>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</si>
  <si>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</si>
  <si>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</si>
  <si>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</si>
  <si>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</si>
  <si>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</si>
  <si>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</si>
  <si>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</si>
  <si>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</si>
  <si>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</si>
  <si>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</si>
  <si>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</si>
  <si>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</si>
  <si>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</si>
  <si>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</si>
  <si>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</si>
  <si>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</si>
  <si>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</si>
  <si>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</si>
  <si>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</si>
  <si>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</si>
  <si>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</si>
  <si>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</si>
  <si>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</si>
  <si>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</si>
  <si>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</si>
  <si>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</si>
  <si>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</si>
  <si>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</si>
  <si>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</si>
  <si>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</si>
  <si>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</si>
  <si>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</si>
  <si>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</si>
  <si>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</si>
  <si>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</si>
  <si>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</si>
  <si>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</si>
  <si>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</si>
  <si>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</si>
  <si>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</si>
  <si>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</si>
  <si>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</si>
  <si>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</si>
  <si>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</si>
  <si>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</si>
  <si>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</si>
  <si>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</si>
  <si>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</si>
  <si>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</si>
  <si>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</si>
  <si>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</si>
  <si>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</si>
  <si>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</si>
  <si>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</si>
  <si>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</si>
  <si>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</si>
  <si>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</si>
  <si>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</si>
  <si>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</si>
  <si>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</si>
  <si>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</si>
  <si>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</si>
  <si>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</si>
  <si>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</si>
  <si>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</si>
  <si>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</si>
  <si>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</si>
  <si>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</si>
  <si>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</si>
  <si>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</si>
  <si>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</si>
  <si>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</si>
  <si>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</si>
  <si>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</si>
  <si>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</si>
  <si>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</si>
  <si>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</si>
  <si>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</si>
  <si>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</si>
  <si>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</si>
  <si>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</si>
  <si>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</si>
  <si>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</si>
  <si>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</si>
  <si>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</si>
  <si>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</si>
  <si>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</si>
  <si>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</si>
  <si>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</si>
  <si>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</si>
  <si>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</si>
  <si>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</si>
  <si>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</si>
  <si>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</si>
  <si>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</si>
  <si>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</si>
  <si>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</si>
  <si>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</si>
  <si>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</si>
  <si>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</si>
  <si>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</si>
  <si>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</si>
  <si>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</si>
  <si>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</si>
  <si>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</si>
  <si>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</si>
  <si>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</si>
  <si>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</si>
  <si>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</si>
  <si>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</si>
  <si>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</si>
  <si>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</si>
  <si>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</si>
  <si>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</si>
  <si>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</si>
  <si>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</si>
  <si>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</si>
  <si>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</si>
  <si>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</si>
  <si>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</si>
  <si>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</si>
  <si>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</si>
  <si>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</si>
  <si>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</si>
  <si>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</si>
  <si>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</si>
  <si>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</si>
  <si>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</si>
  <si>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</si>
  <si>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</si>
  <si>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</si>
  <si>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</si>
  <si>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</si>
  <si>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</si>
  <si>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</si>
  <si>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</si>
  <si>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</si>
  <si>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</si>
  <si>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</si>
  <si>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</si>
  <si>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</si>
  <si>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</si>
  <si>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</si>
  <si>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</si>
  <si>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</si>
  <si>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</si>
  <si>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</si>
  <si>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</si>
  <si>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</si>
  <si>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</si>
  <si>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</si>
  <si>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</si>
  <si>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</si>
  <si>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</si>
  <si>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</si>
  <si>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</si>
  <si>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</si>
  <si>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</si>
  <si>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</si>
  <si>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</si>
  <si>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</si>
  <si>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</si>
  <si>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</si>
  <si>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</si>
  <si>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</si>
  <si>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</si>
  <si>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</si>
  <si>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</si>
  <si>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</si>
  <si>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</si>
  <si>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</si>
  <si>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</si>
  <si>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</si>
  <si>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</si>
  <si>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</si>
  <si>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</si>
  <si>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</si>
  <si>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</si>
  <si>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</si>
  <si>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</si>
  <si>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</si>
  <si>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</si>
  <si>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</si>
  <si>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</si>
  <si>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</si>
  <si>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</si>
  <si>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</si>
  <si>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</si>
  <si>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</si>
  <si>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</si>
  <si>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</si>
  <si>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</si>
  <si>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</si>
  <si>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</si>
  <si>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</si>
  <si>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</si>
  <si>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</si>
  <si>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</si>
  <si>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</si>
  <si>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</si>
  <si>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</si>
  <si>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</si>
  <si>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</si>
  <si>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</si>
  <si>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</si>
  <si>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</si>
  <si>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</si>
  <si>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</si>
  <si>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</si>
  <si>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</si>
  <si>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</si>
  <si>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</si>
  <si>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</si>
  <si>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</si>
  <si>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</si>
  <si>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</si>
  <si>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</si>
  <si>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</si>
  <si>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</si>
  <si>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</si>
  <si>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</si>
  <si>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</si>
  <si>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</si>
  <si>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</si>
  <si>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</si>
  <si>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</si>
  <si>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</si>
  <si>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</si>
  <si>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</si>
  <si>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</si>
  <si>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</si>
  <si>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</si>
  <si>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</si>
  <si>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</si>
  <si>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</si>
  <si>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</si>
  <si>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</si>
  <si>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</si>
  <si>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</si>
  <si>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</si>
  <si>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</si>
  <si>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</si>
  <si>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</si>
  <si>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</si>
  <si>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</si>
  <si>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</si>
  <si>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</si>
  <si>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</si>
  <si>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</si>
  <si>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</si>
  <si>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</si>
  <si>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</si>
  <si>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</si>
  <si>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</si>
  <si>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</si>
  <si>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</si>
  <si>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</si>
  <si>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</si>
  <si>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</si>
  <si>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</si>
  <si>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</si>
  <si>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</si>
  <si>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</si>
  <si>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</si>
  <si>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</si>
  <si>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</si>
  <si>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</si>
  <si>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</si>
  <si>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</si>
  <si>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</si>
  <si>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</si>
  <si>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</si>
  <si>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</si>
  <si>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</si>
  <si>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</si>
  <si>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</si>
  <si>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</si>
  <si>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</si>
  <si>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</si>
  <si>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</si>
  <si>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</si>
  <si>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</si>
  <si>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</si>
  <si>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</si>
  <si>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</si>
  <si>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</si>
  <si>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</si>
  <si>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</si>
  <si>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</si>
  <si>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</si>
  <si>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</si>
  <si>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</si>
  <si>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</si>
  <si>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</si>
  <si>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</si>
  <si>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</si>
  <si>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</si>
  <si>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</si>
  <si>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</si>
  <si>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</si>
  <si>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</si>
  <si>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</si>
  <si>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</si>
  <si>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</si>
  <si>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</si>
  <si>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</si>
  <si>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</si>
  <si>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</si>
  <si>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</si>
  <si>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</si>
  <si>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</si>
  <si>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</si>
  <si>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</si>
  <si>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</si>
  <si>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</si>
  <si>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</si>
  <si>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</si>
  <si>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</si>
  <si>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</si>
  <si>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</si>
  <si>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</si>
  <si>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</si>
  <si>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</si>
  <si>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</si>
  <si>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</si>
  <si>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</si>
  <si>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</si>
  <si>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</si>
  <si>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</si>
  <si>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</si>
  <si>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</si>
  <si>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</si>
  <si>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</si>
  <si>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</si>
  <si>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</si>
  <si>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</si>
  <si>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</si>
  <si>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</si>
  <si>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</si>
  <si>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</si>
  <si>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</si>
  <si>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</si>
  <si>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</si>
  <si>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</si>
  <si>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</si>
  <si>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</si>
  <si>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</si>
  <si>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</si>
  <si>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</si>
  <si>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</si>
  <si>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</si>
  <si>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</si>
  <si>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</si>
  <si>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</si>
  <si>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</si>
  <si>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</si>
  <si>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</si>
  <si>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</si>
  <si>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</si>
  <si>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</si>
  <si>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</si>
  <si>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</si>
  <si>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</si>
  <si>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</si>
  <si>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</si>
  <si>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</si>
  <si>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</si>
  <si>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</si>
  <si>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</si>
  <si>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</si>
  <si>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</si>
  <si>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</si>
  <si>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</si>
  <si>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</si>
  <si>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</si>
  <si>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</si>
  <si>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</si>
  <si>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</si>
  <si>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</si>
  <si>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</si>
  <si>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</si>
  <si>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</si>
  <si>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</si>
  <si>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</si>
  <si>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</si>
  <si>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</si>
  <si>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</si>
  <si>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</si>
  <si>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</si>
  <si>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</si>
  <si>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</si>
  <si>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</si>
  <si>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</si>
  <si>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</si>
  <si>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</si>
  <si>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</si>
  <si>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</si>
  <si>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</si>
  <si>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</si>
  <si>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</si>
  <si>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</si>
  <si>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</si>
  <si>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</si>
  <si>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</si>
  <si>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</si>
  <si>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</si>
  <si>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</si>
  <si>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</si>
  <si>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</si>
  <si>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</si>
  <si>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</si>
  <si>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</si>
  <si>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</si>
  <si>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</si>
  <si>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</si>
  <si>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</si>
  <si>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</si>
  <si>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</si>
  <si>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</si>
  <si>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</si>
  <si>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</si>
  <si>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</si>
  <si>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</si>
  <si>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</si>
  <si>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</si>
  <si>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</si>
  <si>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</si>
  <si>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</si>
  <si>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</si>
  <si>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</si>
  <si>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</si>
  <si>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</si>
  <si>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</si>
  <si>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</si>
  <si>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</si>
  <si>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</si>
  <si>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</si>
  <si>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</si>
  <si>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</si>
  <si>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</si>
  <si>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</si>
  <si>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</si>
  <si>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</si>
  <si>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</si>
  <si>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</si>
  <si>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</si>
  <si>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</si>
  <si>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</si>
  <si>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</si>
  <si>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</si>
  <si>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</si>
  <si>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</si>
  <si>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</si>
  <si>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</si>
  <si>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</si>
  <si>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</si>
  <si>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</si>
  <si>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</si>
  <si>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</si>
  <si>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</si>
  <si>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</si>
  <si>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</si>
  <si>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</si>
  <si>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</si>
  <si>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</si>
  <si>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</si>
  <si>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</si>
  <si>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</si>
  <si>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</si>
  <si>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</si>
  <si>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</si>
  <si>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</si>
  <si>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</si>
  <si>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</si>
  <si>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</si>
  <si>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</si>
  <si>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</si>
  <si>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</si>
  <si>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</si>
  <si>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</si>
  <si>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</si>
  <si>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</si>
  <si>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</si>
  <si>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</si>
  <si>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</si>
  <si>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</si>
  <si>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</si>
  <si>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</si>
  <si>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</si>
  <si>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</si>
  <si>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</si>
  <si>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</si>
  <si>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</si>
  <si>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</si>
  <si>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</si>
  <si>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</si>
  <si>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</si>
  <si>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</si>
  <si>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</si>
  <si>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</si>
  <si>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</si>
  <si>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</si>
  <si>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</si>
  <si>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</si>
  <si>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</si>
  <si>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</si>
  <si>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</si>
  <si>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</si>
  <si>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</si>
  <si>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</si>
  <si>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</si>
  <si>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</si>
  <si>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</si>
  <si>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</si>
  <si>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</si>
  <si>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</si>
  <si>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</si>
  <si>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</si>
  <si>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</si>
  <si>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</si>
  <si>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</si>
  <si>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</si>
  <si>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</si>
  <si>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</si>
  <si>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</si>
  <si>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</si>
  <si>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</si>
  <si>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</si>
  <si>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</si>
  <si>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</si>
  <si>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</si>
  <si>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</si>
  <si>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</si>
  <si>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</si>
  <si>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</si>
  <si>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</si>
  <si>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</si>
  <si>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</si>
  <si>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</si>
  <si>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</si>
  <si>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</si>
  <si>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</si>
  <si>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</si>
  <si>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</si>
  <si>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</si>
  <si>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</si>
  <si>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</si>
  <si>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</si>
  <si>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</si>
  <si>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</si>
  <si>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</si>
  <si>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</si>
  <si>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</si>
  <si>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</si>
  <si>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</si>
  <si>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</si>
  <si>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</si>
  <si>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</si>
  <si>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</si>
  <si>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</si>
  <si>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</si>
  <si>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</si>
  <si>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</si>
  <si>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</si>
  <si>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</si>
  <si>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</si>
  <si>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</si>
  <si>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</si>
  <si>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</si>
  <si>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</si>
  <si>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</si>
  <si>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</si>
  <si>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</si>
  <si>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</si>
  <si>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</si>
  <si>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</si>
  <si>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</si>
  <si>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</si>
  <si>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</si>
  <si>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</si>
  <si>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</si>
  <si>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</si>
  <si>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</si>
  <si>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</si>
  <si>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</si>
  <si>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</si>
  <si>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</si>
  <si>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</si>
  <si>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</si>
  <si>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</si>
  <si>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</si>
  <si>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</si>
  <si>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</si>
  <si>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</si>
  <si>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</si>
  <si>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</si>
  <si>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</si>
  <si>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</si>
  <si>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</si>
  <si>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</si>
  <si>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</si>
  <si>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</si>
  <si>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</si>
  <si>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</si>
  <si>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</si>
  <si>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</si>
  <si>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</si>
  <si>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</si>
  <si>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</si>
  <si>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</si>
  <si>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</si>
  <si>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</si>
  <si>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</si>
  <si>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</si>
  <si>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</si>
  <si>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</si>
  <si>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</si>
  <si>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</si>
  <si>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</si>
  <si>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</si>
  <si>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</si>
  <si>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</si>
  <si>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</si>
  <si>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</si>
  <si>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</si>
  <si>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</si>
  <si>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</si>
  <si>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</si>
  <si>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</si>
  <si>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</si>
  <si>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</si>
  <si>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</si>
  <si>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</si>
  <si>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</si>
  <si>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</si>
  <si>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</si>
  <si>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</si>
  <si>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</si>
  <si>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</si>
  <si>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</si>
  <si>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</si>
  <si>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</si>
  <si>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</si>
  <si>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</si>
  <si>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</si>
  <si>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</si>
  <si>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</si>
  <si>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</si>
  <si>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</si>
  <si>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</si>
  <si>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</si>
  <si>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</si>
  <si>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</si>
  <si>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</si>
  <si>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</si>
  <si>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</si>
  <si>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</si>
  <si>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</si>
  <si>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</si>
  <si>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</si>
  <si>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</si>
  <si>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</si>
  <si>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</si>
  <si>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</si>
  <si>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</si>
  <si>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</si>
  <si>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</si>
  <si>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</si>
  <si>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</si>
  <si>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</si>
  <si>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</si>
  <si>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</si>
  <si>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</si>
  <si>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</si>
  <si>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</si>
  <si>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</si>
  <si>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</si>
  <si>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</si>
  <si>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</si>
  <si>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</si>
  <si>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</si>
  <si>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</si>
  <si>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</si>
  <si>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</si>
  <si>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</si>
  <si>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</si>
  <si>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</si>
  <si>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</si>
  <si>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</si>
  <si>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</si>
  <si>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</si>
  <si>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</si>
  <si>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</si>
  <si>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</si>
  <si>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</si>
  <si>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</si>
  <si>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</si>
  <si>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</si>
  <si>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</si>
  <si>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</si>
  <si>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</si>
  <si>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</si>
  <si>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</si>
  <si>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</si>
  <si>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</si>
  <si>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</si>
  <si>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</si>
  <si>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</si>
  <si>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</si>
  <si>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</si>
  <si>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</si>
  <si>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</si>
  <si>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</si>
  <si>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</si>
  <si>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</si>
  <si>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</si>
  <si>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</si>
  <si>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</si>
  <si>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</si>
  <si>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</si>
  <si>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</si>
  <si>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</si>
  <si>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</si>
  <si>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</si>
  <si>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</si>
  <si>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</si>
  <si>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</si>
  <si>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</si>
  <si>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</si>
  <si>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</si>
  <si>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</si>
  <si>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</si>
  <si>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</si>
  <si>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</si>
  <si>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</si>
  <si>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</si>
  <si>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</si>
  <si>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</si>
  <si>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</si>
  <si>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</si>
  <si>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</si>
  <si>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</si>
  <si>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</si>
  <si>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</si>
  <si>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</si>
  <si>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</si>
  <si>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</si>
  <si>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</si>
  <si>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</si>
  <si>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</si>
  <si>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</si>
  <si>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</si>
  <si>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</si>
  <si>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</si>
  <si>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</si>
  <si>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</si>
  <si>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</si>
  <si>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</si>
  <si>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</si>
  <si>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</si>
  <si>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</si>
  <si>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</si>
  <si>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</si>
  <si>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</si>
  <si>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</si>
  <si>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</si>
  <si>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</si>
  <si>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</si>
  <si>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</si>
  <si>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</si>
  <si>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</si>
  <si>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</si>
  <si>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</si>
  <si>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</si>
  <si>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</si>
  <si>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</si>
  <si>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</si>
  <si>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</si>
  <si>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</si>
  <si>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</si>
  <si>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</si>
  <si>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</si>
  <si>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</si>
  <si>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</si>
  <si>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</si>
  <si>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</si>
  <si>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</si>
  <si>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</si>
  <si>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</si>
  <si>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</si>
  <si>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</si>
  <si>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</si>
  <si>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</si>
  <si>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</si>
  <si>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</si>
  <si>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</si>
  <si>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</si>
  <si>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</si>
  <si>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</si>
  <si>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</si>
  <si>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</si>
  <si>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</si>
  <si>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</si>
  <si>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</si>
  <si>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</si>
  <si>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</si>
  <si>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</si>
  <si>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</si>
  <si>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</si>
  <si>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</si>
  <si>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</si>
  <si>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</si>
  <si>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</si>
  <si>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</si>
  <si>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</si>
  <si>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</si>
  <si>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</si>
  <si>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</si>
  <si>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</si>
  <si>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</si>
  <si>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</si>
  <si>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</si>
  <si>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</si>
  <si>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</si>
  <si>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</si>
  <si>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</si>
  <si>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</si>
  <si>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</si>
  <si>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</si>
  <si>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</si>
  <si>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</si>
  <si>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</si>
  <si>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</si>
  <si>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</si>
  <si>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</si>
  <si>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</si>
  <si>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</si>
  <si>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</si>
  <si>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</si>
  <si>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</si>
  <si>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</si>
  <si>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</si>
  <si>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</si>
  <si>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</si>
  <si>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</si>
  <si>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</si>
  <si>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</si>
  <si>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</si>
  <si>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</si>
  <si>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</si>
  <si>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</si>
  <si>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</si>
  <si>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</si>
  <si>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</si>
  <si>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</si>
  <si>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</si>
  <si>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</si>
  <si>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</si>
  <si>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</si>
  <si>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</si>
  <si>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</si>
  <si>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</si>
  <si>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</si>
  <si>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</si>
  <si>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</si>
  <si>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</si>
  <si>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</si>
  <si>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</si>
  <si>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</si>
  <si>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</si>
  <si>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</si>
  <si>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</si>
  <si>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</si>
  <si>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</si>
  <si>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</si>
  <si>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</si>
  <si>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</si>
  <si>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</si>
  <si>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</si>
  <si>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</si>
  <si>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</si>
  <si>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</si>
  <si>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</si>
  <si>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</si>
  <si>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</si>
  <si>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</si>
  <si>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</si>
  <si>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</si>
  <si>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</si>
  <si>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</si>
  <si>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</si>
  <si>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</si>
  <si>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</si>
  <si>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</si>
  <si>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</si>
  <si>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</si>
  <si>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</si>
  <si>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</si>
  <si>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</si>
  <si>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</si>
  <si>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</si>
  <si>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</si>
  <si>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</si>
  <si>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</si>
  <si>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</si>
  <si>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</si>
  <si>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</si>
  <si>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</si>
  <si>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</si>
  <si>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</si>
  <si>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</si>
  <si>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</si>
  <si>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</si>
  <si>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</si>
  <si>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</si>
  <si>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</si>
  <si>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</si>
  <si>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</si>
  <si>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</si>
  <si>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</si>
  <si>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</si>
  <si>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</si>
  <si>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</si>
  <si>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</si>
  <si>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</si>
  <si>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</si>
  <si>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</si>
  <si>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</si>
  <si>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</si>
  <si>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</si>
  <si>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</si>
  <si>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</si>
  <si>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</si>
  <si>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</si>
  <si>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</si>
  <si>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</si>
  <si>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</si>
  <si>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</si>
  <si>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</si>
  <si>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</si>
  <si>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</si>
  <si>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</si>
  <si>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</si>
  <si>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</si>
  <si>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</si>
  <si>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</si>
  <si>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</si>
  <si>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</si>
  <si>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</si>
  <si>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</si>
  <si>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</si>
  <si>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</si>
  <si>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</si>
  <si>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</si>
  <si>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</si>
  <si>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</si>
  <si>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</si>
  <si>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</si>
  <si>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</si>
  <si>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</si>
  <si>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</si>
  <si>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</si>
  <si>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</si>
  <si>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</si>
  <si>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</si>
  <si>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</si>
  <si>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</si>
  <si>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</si>
  <si>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</si>
  <si>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</si>
  <si>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</si>
  <si>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</si>
  <si>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</si>
  <si>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</si>
  <si>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</si>
  <si>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</si>
  <si>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</si>
  <si>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</si>
  <si>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</si>
  <si>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</si>
  <si>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</si>
  <si>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</si>
  <si>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</si>
  <si>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</si>
  <si>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</si>
  <si>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</si>
  <si>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</si>
  <si>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</si>
  <si>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</si>
  <si>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</si>
  <si>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</si>
  <si>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</si>
  <si>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</si>
  <si>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</si>
  <si>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</si>
  <si>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</si>
  <si>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</si>
  <si>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</si>
  <si>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</si>
  <si>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</si>
  <si>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</si>
  <si>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</si>
  <si>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</si>
  <si>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</si>
  <si>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</si>
  <si>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</si>
  <si>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</si>
  <si>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</si>
  <si>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</si>
  <si>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</si>
  <si>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</si>
  <si>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</si>
  <si>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</si>
  <si>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</si>
  <si>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</si>
  <si>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</si>
  <si>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</si>
  <si>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</si>
  <si>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</si>
  <si>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</si>
  <si>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</si>
  <si>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</si>
  <si>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</si>
  <si>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</si>
  <si>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</si>
  <si>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</si>
  <si>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</si>
  <si>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</si>
  <si>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</si>
  <si>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</si>
  <si>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</si>
  <si>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</si>
  <si>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</si>
  <si>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</si>
  <si>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</si>
  <si>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</si>
  <si>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</si>
  <si>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</si>
  <si>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</si>
  <si>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</si>
  <si>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</si>
  <si>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</si>
  <si>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</si>
  <si>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</si>
  <si>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</si>
  <si>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</si>
  <si>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</si>
  <si>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</si>
  <si>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</si>
  <si>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</si>
  <si>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</si>
  <si>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</si>
  <si>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</si>
  <si>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</si>
  <si>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</si>
  <si>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</si>
  <si>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</si>
  <si>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</si>
  <si>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</si>
  <si>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</si>
  <si>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</si>
  <si>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</si>
  <si>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</si>
  <si>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</si>
  <si>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</si>
  <si>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</si>
  <si>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</si>
  <si>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</si>
  <si>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</si>
  <si>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</si>
  <si>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</si>
  <si>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</si>
  <si>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</si>
  <si>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</si>
  <si>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</si>
  <si>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</si>
  <si>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</si>
  <si>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</si>
  <si>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</si>
  <si>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</si>
  <si>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</si>
  <si>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</si>
  <si>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</si>
  <si>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</si>
  <si>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</si>
  <si>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</si>
  <si>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</si>
  <si>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</si>
  <si>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</si>
  <si>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</si>
  <si>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</si>
  <si>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</si>
  <si>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</si>
  <si>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</si>
  <si>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</si>
  <si>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</si>
  <si>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</si>
  <si>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</si>
  <si>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</si>
  <si>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</si>
  <si>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</si>
  <si>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</si>
  <si>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</si>
  <si>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</si>
  <si>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</si>
  <si>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</si>
  <si>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</si>
  <si>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</si>
  <si>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</si>
  <si>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</si>
  <si>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</si>
  <si>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</si>
  <si>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</si>
  <si>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</si>
  <si>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</si>
  <si>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</si>
  <si>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</si>
  <si>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</si>
  <si>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</si>
  <si>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</si>
  <si>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</si>
  <si>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</si>
  <si>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</si>
  <si>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</si>
  <si>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</si>
  <si>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</si>
  <si>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</si>
  <si>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</si>
  <si>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</si>
  <si>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</si>
  <si>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</si>
  <si>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</si>
  <si>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</si>
  <si>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</si>
  <si>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</si>
  <si>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</si>
  <si>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</si>
  <si>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</si>
  <si>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</si>
  <si>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</si>
  <si>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</si>
  <si>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</si>
  <si>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</si>
  <si>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</si>
  <si>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</si>
  <si>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</si>
  <si>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</si>
  <si>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</si>
  <si>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</si>
  <si>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</si>
  <si>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</si>
  <si>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</si>
  <si>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</si>
  <si>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</si>
  <si>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</si>
  <si>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</si>
  <si>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</si>
  <si>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</si>
  <si>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</si>
  <si>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</si>
  <si>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</si>
  <si>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</si>
  <si>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</si>
  <si>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</si>
  <si>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</si>
  <si>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</si>
  <si>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</si>
  <si>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</si>
  <si>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</si>
  <si>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</si>
  <si>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</si>
  <si>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</si>
  <si>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</si>
  <si>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</si>
  <si>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</si>
  <si>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</si>
  <si>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</si>
  <si>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</si>
  <si>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</si>
  <si>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</si>
  <si>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</si>
  <si>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</si>
  <si>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</si>
  <si>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</si>
  <si>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</si>
  <si>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</si>
  <si>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</si>
  <si>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</si>
  <si>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</si>
  <si>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</si>
  <si>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</si>
  <si>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</si>
  <si>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</si>
  <si>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</si>
  <si>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</si>
  <si>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</si>
  <si>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</si>
  <si>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</si>
  <si>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</si>
  <si>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</si>
  <si>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</si>
  <si>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</si>
  <si>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</si>
  <si>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</si>
  <si>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</si>
  <si>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</si>
  <si>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</si>
  <si>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</si>
  <si>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</si>
  <si>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</si>
  <si>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</si>
  <si>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</si>
  <si>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</si>
  <si>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</si>
  <si>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</si>
  <si>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</si>
  <si>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</si>
  <si>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</si>
  <si>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</si>
  <si>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</si>
  <si>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</si>
  <si>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</si>
  <si>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</si>
  <si>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</si>
  <si>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</si>
  <si>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</si>
  <si>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</si>
  <si>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</si>
  <si>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</si>
  <si>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</si>
  <si>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</si>
  <si>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</si>
  <si>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</si>
  <si>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</si>
  <si>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</si>
  <si>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</si>
  <si>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</si>
  <si>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</si>
  <si>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</si>
  <si>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</si>
  <si>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</si>
  <si>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</si>
  <si>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</si>
  <si>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</si>
  <si>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</si>
  <si>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</si>
  <si>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</si>
  <si>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</si>
  <si>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</si>
  <si>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</si>
  <si>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</si>
  <si>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</si>
  <si>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</si>
  <si>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</si>
  <si>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</si>
  <si>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</si>
  <si>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</si>
  <si>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</si>
  <si>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</si>
  <si>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</si>
  <si>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</si>
  <si>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</si>
  <si>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</si>
  <si>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</si>
  <si>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</si>
  <si>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</si>
  <si>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</si>
  <si>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</si>
  <si>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</si>
  <si>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</si>
  <si>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</si>
  <si>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</si>
  <si>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</si>
  <si>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</si>
  <si>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</si>
  <si>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</si>
  <si>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</si>
  <si>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</si>
  <si>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</si>
  <si>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</si>
  <si>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</si>
  <si>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</si>
  <si>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</si>
  <si>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</si>
  <si>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</si>
  <si>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</si>
  <si>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</si>
  <si>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</si>
  <si>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</si>
  <si>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</si>
  <si>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</si>
  <si>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</si>
  <si>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</si>
  <si>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</si>
  <si>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</si>
  <si>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</si>
  <si>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</si>
  <si>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</si>
  <si>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</si>
  <si>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</si>
  <si>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</si>
  <si>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</si>
  <si>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</si>
  <si>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</si>
  <si>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</si>
  <si>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</si>
  <si>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</si>
  <si>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</si>
  <si>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</si>
  <si>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</si>
  <si>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</si>
  <si>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</si>
  <si>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</si>
  <si>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</si>
  <si>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</si>
  <si>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</si>
  <si>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</si>
  <si>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</si>
  <si>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</si>
  <si>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</si>
  <si>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</si>
  <si>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</si>
  <si>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</si>
  <si>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</si>
  <si>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</si>
  <si>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</si>
  <si>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</si>
  <si>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</si>
  <si>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</si>
  <si>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</si>
  <si>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</si>
  <si>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</si>
  <si>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</si>
  <si>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</si>
  <si>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</si>
  <si>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</si>
  <si>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</si>
  <si>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</si>
  <si>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</si>
  <si>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</si>
  <si>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</si>
  <si>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</si>
  <si>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</si>
  <si>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</si>
  <si>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</si>
  <si>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</si>
  <si>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</si>
  <si>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</si>
  <si>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</si>
  <si>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</si>
  <si>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</si>
  <si>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</si>
  <si>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</si>
  <si>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</si>
  <si>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</si>
  <si>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</si>
  <si>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</si>
  <si>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</si>
  <si>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</si>
  <si>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</si>
  <si>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</si>
  <si>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</si>
  <si>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</si>
  <si>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</si>
  <si>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</si>
  <si>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</si>
  <si>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</si>
  <si>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</si>
  <si>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</si>
  <si>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</si>
  <si>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</si>
  <si>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</si>
  <si>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</si>
  <si>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</si>
  <si>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</si>
  <si>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</si>
  <si>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</si>
  <si>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</si>
  <si>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</si>
  <si>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</si>
  <si>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</si>
  <si>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</si>
  <si>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</si>
  <si>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</si>
  <si>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</si>
  <si>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</si>
  <si>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</si>
  <si>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</si>
  <si>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</si>
  <si>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</si>
  <si>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</si>
  <si>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</si>
  <si>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</si>
  <si>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</si>
  <si>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</si>
  <si>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</si>
  <si>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</si>
  <si>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</si>
  <si>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</si>
  <si>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</si>
  <si>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</si>
  <si>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</si>
  <si>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</si>
  <si>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</si>
  <si>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</si>
  <si>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</si>
  <si>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</si>
  <si>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</si>
  <si>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</si>
  <si>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</si>
  <si>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</si>
  <si>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</si>
  <si>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</si>
  <si>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</si>
  <si>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</si>
  <si>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</si>
  <si>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</si>
  <si>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</si>
  <si>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</si>
  <si>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</si>
  <si>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</si>
  <si>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</si>
  <si>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</si>
  <si>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</si>
  <si>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</si>
  <si>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</si>
  <si>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</si>
  <si>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</si>
  <si>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</si>
  <si>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</si>
  <si>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</si>
  <si>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</si>
  <si>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</si>
  <si>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</si>
  <si>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</si>
  <si>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</si>
  <si>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</si>
  <si>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</si>
  <si>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</si>
  <si>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</si>
  <si>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</si>
  <si>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</si>
  <si>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</si>
  <si>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</si>
  <si>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</si>
  <si>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</si>
  <si>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</si>
  <si>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</si>
  <si>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</si>
  <si>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</si>
  <si>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</si>
  <si>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</si>
  <si>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</si>
  <si>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</si>
  <si>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</si>
  <si>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</si>
  <si>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</si>
  <si>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</si>
  <si>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</si>
  <si>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</si>
  <si>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</si>
  <si>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</si>
  <si>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</si>
  <si>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</si>
  <si>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</si>
  <si>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</si>
  <si>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</si>
  <si>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</si>
  <si>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</si>
  <si>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</si>
  <si>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</si>
  <si>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</si>
  <si>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</si>
  <si>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</si>
  <si>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</si>
  <si>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</si>
  <si>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</si>
  <si>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</si>
  <si>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</si>
  <si>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</si>
  <si>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</si>
  <si>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</si>
  <si>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</si>
  <si>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</si>
  <si>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</si>
  <si>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</si>
  <si>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</si>
  <si>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</si>
  <si>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</si>
  <si>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</si>
  <si>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</si>
  <si>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</si>
  <si>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</si>
  <si>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</si>
  <si>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</si>
  <si>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</si>
  <si>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</si>
  <si>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</si>
  <si>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</si>
  <si>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</si>
  <si>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</si>
  <si>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</si>
  <si>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</si>
  <si>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</si>
  <si>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</si>
  <si>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</si>
  <si>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</si>
  <si>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</si>
  <si>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</si>
  <si>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</si>
  <si>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</si>
  <si>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</si>
  <si>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</si>
  <si>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</si>
  <si>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</si>
  <si>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</si>
  <si>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</si>
  <si>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</si>
  <si>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</si>
  <si>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</si>
  <si>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</si>
  <si>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</si>
  <si>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</si>
  <si>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</si>
  <si>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</si>
  <si>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</si>
  <si>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</si>
  <si>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</si>
  <si>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</si>
  <si>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</si>
  <si>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</si>
  <si>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</si>
  <si>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</si>
  <si>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</si>
  <si>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</si>
  <si>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</si>
  <si>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</si>
  <si>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</si>
  <si>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</si>
  <si>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</si>
  <si>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</si>
  <si>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</si>
  <si>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</si>
  <si>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</si>
  <si>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</si>
  <si>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</si>
  <si>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</si>
  <si>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</si>
  <si>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</si>
  <si>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</si>
  <si>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</si>
  <si>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</si>
  <si>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</si>
  <si>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</si>
  <si>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</si>
  <si>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</si>
  <si>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</si>
  <si>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</si>
  <si>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</si>
  <si>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</si>
  <si>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</si>
  <si>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</si>
  <si>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</si>
  <si>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</si>
  <si>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</si>
  <si>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</si>
  <si>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</si>
  <si>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</si>
  <si>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</si>
  <si>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</si>
  <si>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</si>
  <si>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</si>
  <si>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</si>
  <si>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</si>
  <si>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</si>
  <si>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</si>
  <si>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</si>
  <si>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</si>
  <si>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</si>
  <si>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</si>
  <si>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</si>
  <si>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</si>
  <si>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</si>
  <si>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</si>
  <si>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</si>
  <si>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</si>
  <si>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</si>
  <si>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</si>
  <si>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</si>
  <si>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</si>
  <si>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</si>
  <si>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</si>
  <si>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</si>
  <si>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</si>
  <si>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</si>
  <si>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</si>
  <si>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</si>
  <si>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</si>
  <si>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</si>
  <si>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</si>
  <si>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</si>
  <si>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</si>
  <si>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</si>
  <si>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</si>
  <si>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</si>
  <si>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</si>
  <si>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</si>
  <si>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</si>
  <si>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</si>
  <si>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</si>
  <si>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</si>
  <si>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</si>
  <si>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</si>
  <si>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</si>
  <si>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</si>
  <si>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</si>
  <si>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</si>
  <si>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</si>
  <si>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</si>
  <si>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</si>
  <si>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</si>
  <si>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</si>
  <si>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</si>
  <si>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</si>
  <si>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</si>
  <si>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</si>
  <si>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</si>
  <si>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</si>
  <si>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</si>
  <si>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</si>
  <si>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</si>
  <si>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</si>
  <si>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</si>
  <si>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</si>
  <si>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</si>
  <si>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</si>
  <si>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</si>
  <si>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</si>
  <si>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</si>
  <si>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</si>
  <si>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</si>
  <si>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</si>
  <si>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</si>
  <si>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</si>
  <si>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</si>
  <si>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</si>
  <si>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</si>
  <si>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</si>
  <si>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</si>
  <si>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</si>
  <si>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</si>
  <si>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</si>
  <si>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</si>
  <si>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</si>
  <si>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</si>
  <si>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</si>
  <si>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</si>
  <si>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</si>
  <si>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</si>
  <si>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</si>
  <si>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</si>
  <si>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</si>
  <si>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</si>
  <si>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</si>
  <si>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</si>
  <si>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</si>
  <si>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</si>
  <si>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</si>
  <si>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</si>
  <si>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</si>
  <si>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</si>
  <si>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</si>
  <si>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</si>
  <si>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</si>
  <si>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</si>
  <si>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</si>
  <si>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</si>
  <si>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</si>
  <si>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</si>
  <si>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</si>
  <si>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</si>
  <si>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</si>
  <si>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</si>
  <si>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</si>
  <si>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</si>
  <si>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</si>
  <si>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</si>
  <si>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</si>
  <si>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</si>
  <si>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</si>
  <si>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</si>
  <si>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</si>
  <si>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</si>
  <si>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</si>
  <si>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</si>
  <si>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</si>
  <si>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</si>
  <si>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</si>
  <si>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</si>
  <si>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</si>
  <si>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</si>
  <si>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</si>
  <si>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</si>
  <si>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</si>
  <si>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</si>
  <si>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</si>
  <si>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</si>
  <si>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</si>
  <si>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</si>
  <si>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</si>
  <si>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</si>
  <si>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</si>
  <si>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</si>
  <si>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</si>
  <si>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</si>
  <si>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</si>
  <si>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</si>
  <si>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</si>
  <si>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</si>
  <si>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</si>
  <si>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</si>
  <si>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</si>
  <si>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</si>
  <si>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</si>
  <si>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</si>
  <si>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</si>
  <si>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</si>
  <si>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</si>
  <si>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</si>
  <si>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</si>
  <si>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</si>
  <si>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</si>
  <si>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</si>
  <si>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</si>
  <si>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</si>
  <si>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</si>
  <si>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</si>
  <si>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</si>
  <si>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</si>
  <si>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</si>
  <si>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</si>
  <si>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</si>
  <si>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</si>
  <si>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</si>
  <si>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</si>
  <si>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</si>
  <si>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</si>
  <si>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</si>
  <si>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</si>
  <si>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</si>
  <si>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</si>
  <si>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</si>
  <si>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</si>
  <si>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</si>
  <si>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</si>
  <si>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</si>
  <si>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</si>
  <si>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</si>
  <si>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</si>
  <si>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</si>
  <si>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</si>
  <si>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</si>
  <si>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</si>
  <si>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</si>
  <si>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</si>
  <si>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</si>
  <si>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</si>
  <si>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</si>
  <si>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</si>
  <si>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</si>
  <si>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</si>
  <si>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</si>
  <si>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</si>
  <si>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</si>
  <si>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</si>
  <si>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</si>
  <si>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</si>
  <si>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</si>
  <si>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</si>
  <si>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</si>
  <si>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</si>
  <si>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</si>
  <si>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</si>
  <si>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</si>
  <si>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</si>
  <si>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</si>
  <si>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</si>
  <si>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</si>
  <si>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</si>
  <si>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</si>
  <si>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</si>
  <si>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</si>
  <si>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</si>
  <si>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</si>
  <si>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</si>
  <si>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</si>
  <si>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</si>
  <si>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</si>
  <si>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</si>
  <si>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</si>
  <si>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</si>
  <si>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</si>
  <si>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</si>
  <si>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</si>
  <si>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</si>
  <si>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</si>
  <si>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</si>
  <si>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</si>
  <si>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</si>
  <si>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</si>
  <si>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</si>
  <si>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</si>
  <si>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</si>
  <si>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</si>
  <si>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</si>
  <si>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</si>
  <si>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</si>
  <si>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</si>
  <si>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</si>
  <si>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</si>
  <si>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</si>
  <si>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</si>
  <si>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</si>
  <si>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</si>
  <si>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</si>
  <si>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</si>
  <si>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</si>
  <si>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</si>
  <si>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</si>
  <si>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</si>
  <si>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</si>
  <si>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</si>
  <si>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</si>
  <si>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</si>
  <si>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</si>
  <si>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</si>
  <si>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</si>
  <si>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</si>
  <si>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</si>
  <si>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</si>
  <si>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</si>
  <si>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</si>
  <si>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</si>
  <si>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</si>
  <si>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</si>
  <si>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</si>
  <si>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</si>
  <si>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</si>
  <si>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</si>
  <si>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</si>
  <si>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</si>
  <si>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</si>
  <si>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</si>
  <si>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</si>
  <si>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</si>
  <si>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</si>
  <si>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</si>
  <si>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</si>
  <si>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</si>
  <si>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</si>
  <si>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</si>
  <si>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</si>
  <si>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</si>
  <si>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</si>
  <si>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</si>
  <si>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</si>
  <si>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</si>
  <si>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</si>
  <si>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</si>
  <si>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</si>
  <si>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</si>
  <si>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</si>
  <si>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</si>
  <si>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</si>
  <si>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</si>
  <si>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</si>
  <si>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</si>
  <si>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</si>
  <si>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</si>
  <si>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</si>
  <si>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</si>
  <si>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</si>
  <si>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</si>
  <si>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</si>
  <si>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</si>
  <si>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</si>
  <si>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</si>
  <si>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</si>
  <si>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</si>
  <si>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</si>
  <si>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</si>
  <si>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</si>
  <si>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</si>
  <si>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</si>
  <si>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</si>
  <si>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</si>
  <si>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</si>
  <si>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</si>
  <si>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</si>
  <si>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</si>
  <si>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</si>
  <si>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</si>
  <si>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</si>
  <si>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</si>
  <si>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</si>
  <si>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</si>
  <si>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</si>
  <si>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</si>
  <si>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</si>
  <si>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</si>
  <si>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</si>
  <si>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</si>
  <si>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</si>
  <si>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</si>
  <si>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</si>
  <si>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</si>
  <si>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</si>
  <si>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</si>
  <si>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</si>
  <si>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</si>
  <si>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</si>
  <si>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</si>
  <si>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</si>
  <si>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</si>
  <si>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</si>
  <si>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</si>
  <si>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</si>
  <si>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</si>
  <si>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</si>
  <si>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</si>
  <si>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</si>
  <si>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</si>
  <si>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</si>
  <si>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</si>
  <si>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</si>
  <si>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</si>
  <si>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</si>
  <si>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</si>
  <si>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</si>
  <si>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</si>
  <si>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</si>
  <si>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</si>
  <si>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</si>
  <si>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</si>
  <si>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</si>
  <si>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</si>
  <si>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</si>
  <si>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</si>
  <si>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</si>
  <si>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</si>
  <si>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</si>
  <si>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</si>
  <si>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</si>
  <si>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</si>
  <si>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</si>
  <si>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</si>
  <si>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</si>
  <si>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</si>
  <si>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</si>
  <si>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</si>
  <si>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</si>
  <si>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</si>
  <si>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</si>
  <si>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</si>
  <si>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</si>
  <si>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</si>
  <si>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</si>
  <si>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</si>
  <si>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</si>
  <si>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</si>
  <si>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</si>
  <si>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</si>
  <si>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</si>
  <si>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</si>
  <si>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</si>
  <si>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</si>
  <si>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</si>
  <si>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</si>
  <si>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</si>
  <si>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</si>
  <si>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</si>
  <si>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</si>
  <si>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</si>
  <si>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</si>
  <si>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</si>
  <si>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</si>
  <si>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</si>
  <si>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</si>
  <si>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</si>
  <si>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</si>
  <si>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</si>
  <si>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</si>
  <si>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</si>
  <si>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</si>
  <si>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</si>
  <si>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</si>
  <si>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</si>
  <si>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</si>
  <si>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</si>
  <si>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</si>
  <si>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</si>
  <si>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</si>
  <si>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</si>
  <si>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</si>
  <si>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</si>
  <si>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</si>
  <si>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</si>
  <si>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</si>
  <si>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</si>
  <si>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</si>
  <si>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</si>
  <si>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</si>
  <si>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</si>
  <si>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</si>
  <si>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</si>
  <si>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</si>
  <si>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</si>
  <si>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</si>
  <si>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</si>
  <si>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</si>
  <si>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</si>
  <si>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</si>
  <si>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</si>
  <si>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</si>
  <si>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</si>
  <si>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</si>
  <si>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</si>
  <si>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</si>
  <si>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</si>
  <si>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</si>
  <si>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</si>
  <si>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</si>
  <si>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</si>
  <si>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</si>
  <si>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</si>
  <si>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</si>
  <si>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</si>
  <si>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</si>
  <si>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</si>
  <si>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</si>
  <si>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</si>
  <si>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</si>
  <si>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</si>
  <si>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</si>
  <si>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</si>
  <si>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</si>
  <si>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</si>
  <si>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</si>
  <si>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</si>
  <si>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</si>
  <si>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</si>
  <si>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</si>
  <si>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</si>
  <si>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</si>
  <si>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</si>
  <si>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</si>
  <si>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</si>
  <si>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</si>
  <si>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</si>
  <si>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</si>
  <si>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</si>
  <si>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</si>
  <si>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</si>
  <si>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</si>
  <si>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</si>
  <si>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</si>
  <si>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</si>
  <si>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</si>
  <si>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</si>
  <si>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</si>
  <si>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</si>
  <si>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</si>
  <si>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</si>
  <si>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</si>
  <si>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</si>
  <si>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</si>
  <si>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</si>
  <si>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</si>
  <si>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</si>
  <si>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</si>
  <si>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</si>
  <si>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</si>
  <si>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</si>
  <si>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</si>
  <si>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</si>
  <si>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</si>
  <si>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</si>
  <si>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</si>
  <si>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</si>
  <si>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</si>
  <si>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</si>
  <si>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</si>
  <si>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</si>
  <si>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</si>
  <si>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</si>
  <si>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</si>
  <si>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</si>
  <si>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</si>
  <si>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</si>
  <si>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</si>
  <si>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</si>
  <si>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</si>
  <si>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</si>
  <si>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</si>
  <si>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</si>
  <si>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</si>
  <si>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</si>
  <si>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</si>
  <si>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</si>
  <si>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</si>
  <si>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</si>
  <si>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</si>
  <si>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</si>
  <si>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</si>
  <si>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</si>
  <si>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</si>
  <si>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</si>
  <si>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</si>
  <si>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</si>
  <si>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</si>
  <si>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</si>
  <si>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</si>
  <si>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</si>
  <si>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</si>
  <si>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</si>
  <si>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</si>
  <si>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</si>
  <si>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</si>
  <si>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</si>
  <si>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</si>
  <si>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</si>
  <si>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</si>
  <si>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</si>
  <si>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</si>
  <si>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</si>
  <si>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</si>
  <si>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</si>
  <si>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</si>
  <si>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</si>
  <si>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</si>
  <si>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</si>
  <si>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</si>
  <si>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</si>
  <si>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</si>
  <si>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</si>
  <si>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</si>
  <si>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</si>
  <si>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</si>
  <si>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</si>
  <si>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</si>
  <si>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</si>
  <si>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</si>
  <si>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</si>
  <si>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</si>
  <si>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</si>
  <si>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</si>
  <si>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</si>
  <si>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</si>
  <si>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</si>
  <si>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</si>
  <si>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</si>
  <si>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</si>
  <si>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</si>
  <si>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</si>
  <si>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</si>
  <si>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</si>
  <si>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</si>
  <si>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</si>
  <si>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</si>
  <si>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</si>
  <si>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</si>
  <si>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</si>
  <si>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</si>
  <si>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</si>
  <si>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</si>
  <si>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</si>
  <si>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</si>
  <si>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</si>
  <si>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</si>
  <si>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</si>
  <si>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</si>
  <si>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</si>
  <si>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</si>
  <si>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</si>
  <si>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</si>
  <si>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</si>
  <si>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</si>
  <si>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</si>
  <si>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</si>
  <si>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</si>
  <si>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</si>
  <si>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</si>
  <si>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</si>
  <si>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</si>
  <si>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</si>
  <si>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</si>
  <si>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</si>
  <si>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</si>
  <si>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</si>
  <si>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</si>
  <si>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</si>
  <si>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</si>
  <si>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</si>
  <si>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</si>
  <si>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</si>
  <si>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</si>
  <si>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</si>
  <si>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</si>
  <si>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</si>
  <si>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</si>
  <si>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</si>
  <si>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</si>
  <si>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</si>
  <si>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</si>
  <si>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</si>
  <si>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</si>
  <si>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</si>
  <si>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</si>
  <si>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</si>
  <si>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</si>
  <si>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</si>
  <si>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</si>
  <si>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</si>
  <si>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</si>
  <si>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</si>
  <si>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</si>
  <si>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</si>
  <si>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</si>
  <si>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</si>
  <si>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</si>
  <si>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</si>
  <si>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</si>
  <si>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</si>
  <si>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</si>
  <si>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</si>
  <si>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</si>
  <si>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</si>
  <si>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</si>
  <si>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</si>
  <si>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</si>
  <si>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</si>
  <si>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</si>
  <si>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</si>
  <si>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</si>
  <si>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</si>
  <si>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</si>
  <si>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</si>
  <si>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</si>
  <si>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</si>
  <si>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</si>
  <si>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</si>
  <si>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</si>
  <si>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</si>
  <si>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</si>
  <si>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</si>
  <si>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</si>
  <si>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</si>
  <si>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</si>
  <si>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</si>
  <si>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</si>
  <si>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</si>
  <si>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</si>
  <si>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</si>
  <si>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</si>
  <si>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</si>
  <si>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</si>
  <si>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</si>
  <si>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</si>
  <si>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</si>
  <si>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</si>
  <si>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</si>
  <si>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</si>
  <si>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</si>
  <si>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</si>
  <si>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</si>
  <si>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</si>
  <si>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</si>
  <si>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</si>
  <si>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</si>
  <si>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</si>
  <si>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</si>
  <si>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</si>
  <si>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</si>
  <si>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</si>
  <si>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</si>
  <si>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</si>
  <si>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</si>
  <si>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</si>
  <si>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</si>
  <si>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</si>
  <si>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</si>
  <si>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</si>
  <si>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</si>
  <si>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</si>
  <si>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</si>
  <si>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</si>
  <si>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</si>
  <si>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</si>
  <si>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</si>
  <si>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</si>
  <si>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</si>
  <si>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</si>
  <si>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</si>
  <si>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</si>
  <si>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</si>
  <si>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</si>
  <si>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</si>
  <si>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</si>
  <si>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</si>
  <si>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</si>
  <si>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</si>
  <si>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</si>
  <si>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</si>
  <si>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</si>
  <si>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</si>
  <si>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</si>
  <si>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</si>
  <si>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</si>
  <si>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</si>
  <si>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</si>
  <si>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</si>
  <si>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</si>
  <si>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</si>
  <si>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</si>
  <si>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</si>
  <si>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</si>
  <si>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</si>
  <si>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</si>
  <si>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</si>
  <si>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</si>
  <si>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</si>
  <si>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</si>
  <si>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</si>
  <si>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</si>
  <si>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</si>
  <si>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</si>
  <si>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</si>
  <si>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</si>
  <si>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</si>
  <si>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</si>
  <si>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</si>
  <si>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</si>
  <si>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</si>
  <si>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</si>
  <si>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</si>
  <si>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</si>
  <si>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</si>
  <si>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</si>
  <si>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</si>
  <si>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</si>
  <si>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</si>
  <si>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</si>
  <si>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</si>
  <si>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</si>
  <si>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</si>
  <si>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</si>
  <si>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</si>
  <si>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</si>
  <si>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</si>
  <si>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</si>
  <si>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</si>
  <si>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</si>
  <si>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</si>
  <si>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</si>
  <si>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</si>
  <si>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</si>
  <si>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</si>
  <si>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</si>
  <si>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</si>
  <si>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</si>
  <si>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</si>
  <si>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</si>
  <si>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</si>
  <si>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</si>
  <si>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</si>
  <si>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</si>
  <si>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</si>
  <si>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</si>
  <si>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</si>
  <si>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</si>
  <si>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</si>
  <si>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</si>
  <si>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</si>
  <si>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</si>
  <si>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</si>
  <si>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</si>
  <si>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</si>
  <si>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</si>
  <si>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</si>
  <si>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</si>
  <si>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</si>
  <si>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</si>
  <si>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</si>
  <si>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</si>
  <si>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</si>
  <si>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</si>
  <si>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</si>
  <si>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</si>
  <si>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</si>
  <si>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</si>
  <si>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</si>
  <si>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</si>
  <si>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</si>
  <si>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</si>
  <si>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</si>
  <si>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</si>
  <si>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</si>
  <si>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</si>
  <si>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</si>
  <si>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</si>
  <si>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</si>
  <si>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</si>
  <si>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</si>
  <si>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</si>
  <si>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</si>
  <si>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</si>
  <si>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</si>
  <si>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</si>
  <si>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</si>
  <si>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</si>
  <si>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</si>
  <si>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</si>
  <si>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</si>
  <si>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</si>
  <si>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</si>
  <si>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</si>
  <si>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</si>
  <si>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</si>
  <si>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</si>
  <si>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</si>
  <si>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</si>
  <si>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</si>
  <si>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</si>
  <si>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</si>
  <si>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</si>
  <si>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</si>
  <si>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</si>
  <si>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</si>
  <si>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</si>
  <si>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</si>
  <si>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</si>
  <si>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</si>
  <si>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</si>
  <si>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</si>
  <si>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</si>
  <si>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</si>
  <si>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</si>
  <si>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</si>
  <si>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</si>
  <si>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</si>
  <si>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</si>
  <si>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</si>
  <si>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</si>
  <si>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</si>
  <si>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</si>
  <si>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</si>
  <si>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</si>
  <si>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</si>
  <si>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</si>
  <si>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</si>
  <si>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</si>
  <si>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</si>
  <si>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</si>
  <si>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</si>
  <si>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</si>
  <si>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</si>
  <si>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</si>
  <si>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</si>
  <si>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</si>
  <si>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</si>
  <si>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</si>
  <si>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</si>
  <si>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</si>
  <si>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</si>
  <si>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</si>
  <si>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</si>
  <si>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</si>
  <si>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</si>
  <si>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</si>
  <si>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</si>
  <si>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</si>
  <si>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</si>
  <si>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</si>
  <si>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</si>
  <si>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</si>
  <si>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</si>
  <si>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</si>
  <si>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</si>
  <si>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</si>
  <si>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</si>
  <si>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</si>
  <si>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</si>
  <si>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</si>
  <si>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</si>
  <si>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</si>
  <si>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</si>
  <si>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</si>
  <si>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</si>
  <si>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</si>
  <si>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</si>
  <si>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</si>
  <si>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</si>
  <si>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</si>
  <si>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</si>
  <si>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</si>
  <si>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</si>
  <si>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</si>
  <si>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</si>
  <si>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</si>
  <si>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</si>
  <si>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</si>
  <si>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</si>
  <si>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</si>
  <si>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</si>
  <si>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</si>
  <si>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</si>
  <si>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</si>
  <si>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</si>
  <si>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</si>
  <si>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</si>
  <si>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</si>
  <si>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</si>
  <si>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</si>
  <si>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</si>
  <si>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</si>
  <si>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</si>
  <si>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</si>
  <si>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</si>
  <si>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</si>
  <si>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</si>
  <si>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</si>
  <si>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</si>
  <si>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</si>
  <si>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</si>
  <si>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</si>
  <si>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</si>
  <si>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</si>
  <si>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</si>
  <si>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</si>
  <si>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</si>
  <si>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</si>
  <si>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</si>
  <si>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</si>
  <si>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</si>
  <si>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</si>
  <si>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</si>
  <si>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</si>
  <si>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</si>
  <si>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</si>
  <si>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</si>
  <si>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</si>
  <si>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</si>
  <si>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</si>
  <si>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</si>
  <si>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</si>
  <si>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</si>
  <si>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</si>
  <si>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</si>
  <si>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</si>
  <si>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</si>
  <si>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</si>
  <si>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</si>
  <si>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</si>
  <si>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</si>
  <si>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</si>
  <si>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</si>
  <si>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</si>
  <si>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</si>
  <si>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</si>
  <si>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</si>
  <si>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</si>
  <si>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</si>
  <si>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</si>
  <si>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</si>
  <si>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</si>
  <si>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</si>
  <si>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</si>
  <si>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</si>
  <si>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</si>
  <si>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</si>
  <si>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</si>
  <si>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</si>
  <si>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</si>
  <si>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</si>
  <si>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</si>
  <si>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</si>
  <si>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</si>
  <si>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</si>
  <si>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</si>
  <si>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</si>
  <si>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</si>
  <si>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</si>
  <si>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</si>
  <si>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</si>
  <si>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</si>
  <si>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</si>
  <si>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</si>
  <si>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</si>
  <si>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</si>
  <si>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</si>
  <si>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</si>
  <si>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</si>
  <si>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</si>
  <si>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</si>
  <si>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</si>
  <si>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</si>
  <si>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</si>
  <si>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</si>
  <si>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</si>
  <si>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</si>
  <si>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</si>
  <si>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</si>
  <si>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</si>
  <si>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</si>
  <si>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</si>
  <si>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</si>
  <si>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</si>
  <si>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</si>
  <si>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</si>
  <si>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</si>
  <si>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</si>
  <si>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</si>
  <si>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</si>
  <si>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</si>
  <si>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</si>
  <si>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</si>
  <si>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</si>
  <si>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</si>
  <si>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</si>
  <si>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</si>
  <si>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</si>
  <si>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</si>
  <si>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</si>
  <si>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</si>
  <si>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</si>
  <si>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</si>
  <si>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</si>
  <si>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</si>
  <si>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</si>
  <si>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</si>
  <si>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</si>
  <si>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</si>
  <si>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</si>
  <si>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</si>
  <si>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</si>
  <si>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</si>
  <si>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</si>
  <si>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</si>
  <si>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</si>
  <si>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</si>
  <si>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</si>
  <si>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</si>
  <si>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</si>
  <si>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</si>
  <si>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</si>
  <si>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</si>
  <si>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</si>
  <si>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</si>
  <si>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</si>
  <si>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</si>
  <si>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</si>
  <si>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</si>
  <si>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</si>
  <si>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</si>
  <si>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</si>
  <si>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</si>
  <si>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</si>
  <si>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</si>
  <si>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</si>
  <si>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</si>
  <si>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</si>
  <si>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</si>
  <si>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</si>
  <si>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</si>
  <si>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</si>
  <si>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</si>
  <si>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</si>
  <si>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</si>
  <si>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</si>
  <si>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</si>
  <si>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</si>
  <si>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</si>
  <si>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</si>
  <si>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</si>
  <si>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</si>
  <si>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</si>
  <si>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</si>
  <si>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</si>
  <si>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</si>
  <si>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</si>
  <si>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</si>
  <si>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</si>
  <si>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</si>
  <si>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</si>
  <si>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</si>
  <si>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</si>
  <si>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</si>
  <si>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</si>
  <si>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</si>
  <si>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</si>
  <si>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</si>
  <si>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</si>
  <si>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</si>
  <si>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</si>
  <si>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</si>
  <si>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</si>
  <si>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</si>
  <si>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</si>
  <si>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</si>
  <si>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</si>
  <si>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</si>
  <si>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</si>
  <si>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</si>
  <si>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</si>
  <si>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</si>
  <si>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</si>
  <si>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</si>
  <si>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</si>
  <si>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</si>
  <si>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</si>
  <si>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</si>
  <si>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</si>
  <si>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</si>
  <si>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</si>
  <si>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</si>
  <si>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</si>
  <si>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</si>
  <si>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</si>
  <si>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</si>
  <si>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</si>
  <si>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</si>
  <si>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</si>
  <si>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</si>
  <si>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</si>
  <si>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</si>
  <si>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</si>
  <si>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</si>
  <si>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</si>
  <si>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</si>
  <si>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</si>
  <si>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</si>
  <si>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</si>
  <si>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</si>
  <si>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</si>
  <si>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</si>
  <si>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</si>
  <si>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</si>
  <si>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</si>
  <si>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</si>
  <si>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</si>
  <si>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</si>
  <si>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</si>
  <si>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</si>
  <si>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</si>
  <si>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</si>
  <si>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</si>
  <si>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</si>
  <si>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</si>
  <si>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</si>
  <si>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</si>
  <si>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</si>
  <si>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</si>
  <si>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</si>
  <si>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</si>
  <si>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</si>
  <si>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</si>
  <si>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</si>
  <si>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</si>
  <si>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</si>
  <si>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</si>
  <si>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</si>
  <si>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</si>
  <si>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</si>
  <si>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</si>
  <si>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</si>
  <si>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</si>
  <si>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</si>
  <si>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</si>
  <si>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</si>
  <si>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</si>
  <si>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</si>
  <si>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</si>
  <si>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</si>
  <si>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</si>
  <si>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</si>
  <si>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</si>
  <si>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</si>
  <si>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</si>
  <si>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</si>
  <si>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</si>
  <si>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</si>
  <si>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</si>
  <si>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</si>
  <si>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</si>
  <si>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</si>
  <si>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</si>
  <si>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</si>
  <si>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</si>
  <si>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</si>
  <si>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</si>
  <si>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</si>
  <si>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</si>
  <si>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</si>
  <si>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</si>
  <si>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</si>
  <si>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</si>
  <si>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</si>
  <si>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</si>
  <si>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</si>
  <si>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</si>
  <si>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</si>
  <si>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</si>
  <si>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</si>
  <si>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</si>
  <si>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</si>
  <si>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</si>
  <si>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</si>
  <si>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</si>
  <si>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</si>
  <si>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</si>
  <si>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</si>
  <si>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</si>
  <si>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</si>
  <si>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</si>
  <si>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</si>
  <si>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</si>
  <si>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</si>
  <si>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</si>
  <si>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</si>
  <si>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</si>
  <si>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</si>
  <si>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</si>
  <si>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</si>
  <si>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</si>
  <si>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</si>
  <si>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</si>
  <si>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</si>
  <si>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</si>
  <si>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</si>
  <si>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</si>
  <si>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</si>
  <si>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</si>
  <si>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</si>
  <si>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</si>
  <si>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</si>
  <si>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</si>
  <si>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</si>
  <si>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</si>
  <si>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</si>
  <si>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</si>
  <si>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</si>
  <si>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</si>
  <si>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</si>
  <si>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</si>
  <si>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</si>
  <si>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</si>
  <si>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</si>
  <si>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</si>
  <si>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</si>
  <si>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</si>
  <si>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</si>
  <si>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</si>
  <si>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</si>
  <si>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</si>
  <si>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</si>
  <si>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</si>
  <si>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</si>
  <si>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</si>
  <si>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</si>
  <si>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</si>
  <si>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</si>
  <si>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</si>
  <si>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</si>
  <si>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</si>
  <si>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</si>
  <si>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</si>
  <si>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</si>
  <si>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</si>
  <si>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</si>
  <si>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</si>
  <si>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</si>
  <si>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</si>
  <si>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</si>
  <si>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</si>
  <si>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</si>
  <si>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</si>
  <si>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</si>
  <si>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</si>
  <si>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</si>
  <si>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</si>
  <si>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</si>
  <si>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</si>
  <si>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</si>
  <si>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</si>
  <si>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</si>
  <si>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</si>
  <si>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</si>
  <si>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</si>
  <si>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</si>
  <si>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</si>
  <si>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</si>
  <si>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</si>
  <si>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</si>
  <si>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</si>
  <si>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</si>
  <si>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</si>
  <si>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</si>
  <si>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</si>
  <si>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</si>
  <si>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</si>
  <si>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</si>
  <si>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</si>
  <si>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</si>
  <si>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</si>
  <si>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</si>
  <si>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</si>
  <si>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</si>
  <si>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</si>
  <si>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</si>
  <si>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</si>
  <si>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</si>
  <si>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</si>
  <si>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</si>
  <si>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</si>
  <si>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</si>
  <si>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</si>
  <si>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</si>
  <si>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</si>
  <si>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</si>
  <si>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</si>
  <si>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</si>
  <si>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</si>
  <si>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</si>
  <si>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</si>
  <si>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</si>
  <si>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</si>
  <si>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</si>
  <si>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</si>
  <si>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</si>
  <si>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</si>
  <si>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</si>
  <si>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</si>
  <si>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</si>
  <si>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</si>
  <si>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</si>
  <si>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</si>
  <si>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</si>
  <si>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</si>
  <si>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</si>
  <si>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</si>
  <si>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</si>
  <si>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</si>
  <si>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</si>
  <si>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</si>
  <si>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</si>
  <si>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</si>
  <si>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</si>
  <si>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</si>
  <si>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</si>
  <si>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</si>
  <si>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</si>
  <si>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</si>
  <si>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</si>
  <si>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</si>
  <si>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</si>
  <si>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</si>
  <si>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</si>
  <si>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</si>
  <si>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</si>
  <si>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</si>
  <si>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</si>
  <si>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</si>
  <si>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</si>
  <si>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</si>
  <si>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</si>
  <si>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</si>
  <si>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</si>
  <si>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</si>
  <si>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</si>
  <si>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</si>
  <si>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</si>
  <si>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</si>
  <si>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</si>
  <si>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</si>
  <si>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</si>
  <si>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</si>
  <si>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</si>
  <si>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</si>
  <si>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</si>
  <si>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</si>
  <si>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</si>
  <si>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</si>
  <si>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</si>
  <si>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</si>
  <si>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</si>
  <si>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</si>
  <si>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</si>
  <si>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</si>
  <si>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</si>
  <si>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</si>
  <si>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</si>
  <si>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</si>
  <si>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</si>
  <si>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</si>
  <si>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</si>
  <si>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</si>
  <si>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</si>
  <si>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</si>
  <si>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</si>
  <si>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</si>
  <si>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</si>
  <si>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</si>
  <si>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</si>
  <si>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</si>
  <si>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</si>
  <si>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</si>
  <si>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</si>
  <si>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</si>
  <si>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</si>
  <si>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</si>
  <si>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</si>
  <si>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</si>
  <si>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</si>
  <si>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</si>
  <si>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</si>
  <si>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</si>
  <si>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</si>
  <si>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</si>
  <si>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</si>
  <si>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</si>
  <si>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</si>
  <si>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</si>
  <si>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</si>
  <si>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</si>
  <si>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</si>
  <si>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</si>
  <si>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</si>
  <si>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</si>
  <si>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</si>
  <si>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</si>
  <si>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</si>
  <si>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</si>
  <si>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</si>
  <si>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</si>
  <si>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</si>
  <si>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</si>
  <si>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</si>
  <si>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</si>
  <si>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</si>
  <si>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</si>
  <si>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</si>
  <si>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</si>
  <si>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</si>
  <si>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</si>
  <si>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</si>
  <si>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</si>
  <si>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</si>
  <si>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</si>
  <si>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</si>
  <si>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</si>
  <si>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</si>
  <si>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</si>
  <si>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</si>
  <si>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</si>
  <si>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</si>
  <si>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</si>
  <si>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</si>
  <si>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</si>
  <si>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</si>
  <si>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</si>
  <si>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</si>
  <si>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</si>
  <si>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</si>
  <si>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</si>
  <si>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</si>
  <si>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</si>
  <si>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</si>
  <si>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</si>
  <si>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</si>
  <si>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</si>
  <si>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</si>
  <si>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</si>
  <si>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</si>
  <si>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</si>
  <si>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</si>
  <si>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</si>
  <si>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</si>
  <si>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</si>
  <si>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</si>
  <si>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</si>
  <si>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</si>
  <si>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</si>
  <si>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</si>
  <si>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</si>
  <si>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</si>
  <si>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</si>
  <si>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</si>
  <si>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</si>
  <si>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</si>
  <si>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</si>
  <si>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</si>
  <si>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</si>
  <si>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</si>
  <si>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</si>
  <si>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</si>
  <si>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</si>
  <si>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</si>
  <si>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</si>
  <si>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</si>
  <si>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</si>
  <si>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</si>
  <si>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</si>
  <si>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</si>
  <si>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</si>
  <si>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</si>
  <si>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</si>
  <si>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</si>
  <si>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</si>
  <si>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</si>
  <si>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</si>
  <si>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</si>
  <si>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</si>
  <si>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</si>
  <si>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</si>
  <si>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</si>
  <si>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</si>
  <si>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</si>
  <si>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</si>
  <si>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</si>
  <si>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</si>
  <si>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</si>
  <si>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</si>
  <si>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</si>
  <si>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</si>
  <si>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</si>
  <si>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</si>
  <si>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</si>
  <si>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</si>
  <si>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</si>
  <si>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</si>
  <si>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</si>
  <si>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</si>
  <si>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</si>
  <si>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</si>
  <si>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</si>
  <si>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</si>
  <si>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</si>
  <si>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</si>
  <si>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</si>
  <si>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</si>
  <si>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</si>
  <si>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</si>
  <si>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</si>
  <si>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</si>
  <si>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</si>
  <si>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</si>
  <si>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</si>
  <si>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</si>
  <si>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</si>
  <si>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</si>
  <si>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</si>
  <si>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</si>
  <si>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</si>
  <si>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</si>
  <si>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</si>
  <si>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</si>
  <si>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</si>
  <si>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</si>
  <si>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</si>
  <si>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</si>
  <si>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</si>
  <si>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</si>
  <si>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</si>
  <si>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</si>
  <si>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</si>
  <si>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</si>
  <si>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</si>
  <si>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</si>
  <si>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</si>
  <si>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</si>
  <si>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</si>
  <si>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</si>
  <si>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</si>
  <si>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</si>
  <si>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</si>
  <si>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</si>
  <si>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</si>
  <si>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</si>
  <si>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</si>
  <si>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</si>
  <si>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</si>
  <si>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</si>
  <si>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</si>
  <si>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</si>
  <si>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</si>
  <si>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</si>
  <si>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</si>
  <si>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</si>
  <si>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</si>
  <si>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</si>
  <si>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</si>
  <si>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</si>
  <si>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</si>
  <si>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</si>
  <si>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</si>
  <si>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</si>
  <si>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</si>
  <si>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</si>
  <si>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</si>
  <si>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</si>
  <si>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</si>
  <si>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</si>
  <si>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</si>
  <si>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</si>
  <si>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</si>
  <si>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</si>
  <si>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</si>
  <si>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</si>
  <si>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</si>
  <si>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</si>
  <si>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</si>
  <si>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</si>
  <si>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</si>
  <si>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</si>
  <si>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</si>
  <si>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</si>
  <si>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</si>
  <si>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</si>
  <si>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</si>
  <si>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</si>
  <si>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https://delijn.sharepoint.com/:b:/r/teams/CTM-OTGentStad/Shared%20Documents/General/EAF/CSI(nieuwe%20sharepoint)%202025/11.%20November/EAF%205047%20Gent%2032620%2012112025.pdf?csf=1&amp;web=1&amp;e=Luepe0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</si>
</sst>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left"/>
    </xf>
    <xf numFmtId="14" fontId="9" fillId="11" borderId="0" xfId="0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957" sqref="A95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s="47" customFormat="1" x14ac:dyDescent="0.25">
      <c r="A955" s="47">
        <v>32620</v>
      </c>
      <c r="B955" s="47" t="str">
        <f>_xlfn.CONCAT(bron[[#This Row],[personeelsnr]]," ",bron[[#This Row],[achternaam]]," ",bron[[#This Row],[voornaam]])</f>
        <v>32620 Saey Elias</v>
      </c>
      <c r="C955" s="47" t="str">
        <f>VLOOKUP(bron[[#This Row],[personeelsnr]],'data hastus'!$A:$C,2,0)</f>
        <v>Saey</v>
      </c>
      <c r="D955" s="47" t="str">
        <f>VLOOKUP(bron[[#This Row],[personeelsnr]],'data hastus'!$A:$C,3,0)</f>
        <v>Elias</v>
      </c>
      <c r="E955" s="48" t="str">
        <f>VLOOKUP(bron[[#This Row],[personeelsnr]],'data hastus'!A:K,11,FALSE)</f>
        <v>Els Vanhoe</v>
      </c>
      <c r="F955" s="10"/>
      <c r="G955" s="39"/>
      <c r="H955" s="39"/>
      <c r="I955" s="39"/>
      <c r="J955" s="36"/>
      <c r="K955" s="36"/>
      <c r="L955" s="36"/>
      <c r="M955" s="36"/>
      <c r="N955" s="36"/>
      <c r="O955" s="36"/>
      <c r="P955" s="36"/>
      <c r="Q955" s="36"/>
      <c r="R955" s="36"/>
      <c r="S955" s="44">
        <f>SUM(bron[[#This Row],[Januari]:[December]])</f>
        <v>0</v>
      </c>
      <c r="T955" s="49">
        <v>45973</v>
      </c>
      <c r="U955" s="50" t="s">
        <v>3800</v>
      </c>
      <c r="V955" s="37"/>
      <c r="W955" s="37"/>
      <c r="X955" s="47" t="s">
        <v>3513</v>
      </c>
      <c r="Y955" s="47" t="s">
        <v>3770</v>
      </c>
      <c r="Z955" s="48">
        <v>5047</v>
      </c>
      <c r="AA955" s="51" t="s">
        <v>3558</v>
      </c>
    </row>
    <row r="956" spans="1:27" x14ac:dyDescent="0.25">
      <c r="A956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39"/>
      <c r="H956" s="39"/>
      <c r="I956" s="39"/>
      <c r="S956" s="44">
        <f>SUM(bron[[#This Row],[Januari]:[December]])</f>
        <v>0</v>
      </c>
      <c r="T956" s="41">
        <v>45973</v>
      </c>
      <c r="V956" s="37"/>
      <c r="W956" s="37"/>
      <c r="X956" t="s">
        <v>3512</v>
      </c>
      <c r="Y956" t="s">
        <v>48</v>
      </c>
      <c r="Z956" s="2">
        <v>5929</v>
      </c>
      <c r="AA956" s="43" t="s">
        <v>3558</v>
      </c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2025-11-17T07:58:38Z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