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06" documentId="13_ncr:1_{BC833B0D-2F54-40DF-A6AF-902741D0EBA0}" xr6:coauthVersionLast="47" xr6:coauthVersionMax="47" xr10:uidLastSave="{0AC87F25-B1E1-4413-9935-30936454B668}"/>
  <bookViews>
    <workbookView xWindow="-108" yWindow="-108" windowWidth="30768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5" i="1" l="1"/>
  <c r="B865" i="1" s="1"/>
  <c r="D865" i="1"/>
  <c r="E865" i="1"/>
  <c r="S865" i="1"/>
  <c r="C864" i="1"/>
  <c r="B864" i="1" s="1"/>
  <c r="D864" i="1"/>
  <c r="E864" i="1"/>
  <c r="S864" i="1"/>
  <c r="C863" i="1"/>
  <c r="B863" i="1" s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2" i="1" l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<sst xmlns="http://schemas.openxmlformats.org/spreadsheetml/2006/main" count="7862" uniqueCount="3625">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</sst>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5" totalsRowShown="0" headerRowDxfId="10">
  <autoFilter ref="A1:AA865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9" totalsRowShown="0">
  <autoFilter ref="A1:C39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table" Target="../tables/table3.xm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5"/>
  <sheetViews>
    <sheetView tabSelected="1" zoomScale="85" zoomScaleNormal="85" workbookViewId="0">
      <pane ySplit="1" topLeftCell="A514" activePane="bottomLeft" state="frozen"/>
      <selection activeCell="F1" sqref="F1"/>
      <selection pane="bottomLeft" activeCell="A862" sqref="A514:A862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3562</v>
      </c>
    </row>
    <row r="515" spans="1:27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3562</v>
      </c>
    </row>
    <row r="542" spans="1:27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3562</v>
      </c>
    </row>
    <row r="543" spans="1:27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x14ac:dyDescent="0.3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e">
        <f>VLOOKUP(bron[[#This Row],[personeelsnr]],'data hastus'!A:K,11,FALSE)</f>
        <v>#N/A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3562</v>
      </c>
    </row>
    <row r="567" spans="1:27" x14ac:dyDescent="0.3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e">
        <f>VLOOKUP(bron[[#This Row],[personeelsnr]],'data hastus'!A:K,11,FALSE)</f>
        <v>#N/A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3562</v>
      </c>
    </row>
    <row r="569" spans="1:27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3562</v>
      </c>
    </row>
    <row r="574" spans="1:27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3562</v>
      </c>
    </row>
    <row r="591" spans="1:27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3562</v>
      </c>
    </row>
    <row r="598" spans="1:27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3562</v>
      </c>
    </row>
    <row r="613" spans="1:27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3562</v>
      </c>
    </row>
    <row r="645" spans="1:27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3562</v>
      </c>
    </row>
    <row r="652" spans="1:27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x14ac:dyDescent="0.3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e">
        <f>VLOOKUP(bron[[#This Row],[personeelsnr]],'data hastus'!A:K,11,FALSE)</f>
        <v>#N/A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x14ac:dyDescent="0.3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e">
        <f>VLOOKUP(bron[[#This Row],[personeelsnr]],'data hastus'!A:K,11,FALSE)</f>
        <v>#N/A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x14ac:dyDescent="0.3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e">
        <f>VLOOKUP(bron[[#This Row],[personeelsnr]],'data hastus'!A:K,11,FALSE)</f>
        <v>#N/A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 t="s">
        <v>391</v>
      </c>
      <c r="AA675" s="39" t="s">
        <v>3561</v>
      </c>
    </row>
    <row r="676" spans="1:27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3562</v>
      </c>
    </row>
    <row r="688" spans="1:27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3562</v>
      </c>
    </row>
    <row r="690" spans="1:27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3562</v>
      </c>
    </row>
    <row r="693" spans="1:27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 t="s">
        <v>3564</v>
      </c>
      <c r="AA701" s="39" t="s">
        <v>3561</v>
      </c>
    </row>
    <row r="702" spans="1:27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3562</v>
      </c>
    </row>
    <row r="725" spans="1:27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3562</v>
      </c>
    </row>
    <row r="729" spans="1:27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3562</v>
      </c>
    </row>
    <row r="732" spans="1:27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 t="s">
        <v>391</v>
      </c>
      <c r="AA732" s="39" t="s">
        <v>3561</v>
      </c>
    </row>
    <row r="733" spans="1:27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3562</v>
      </c>
    </row>
    <row r="735" spans="1:27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3562</v>
      </c>
    </row>
    <row r="738" spans="1:27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3562</v>
      </c>
    </row>
    <row r="747" spans="1:27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 t="s">
        <v>391</v>
      </c>
      <c r="AA761" s="39" t="s">
        <v>3561</v>
      </c>
    </row>
    <row r="762" spans="1:27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3562</v>
      </c>
    </row>
    <row r="766" spans="1:27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3562</v>
      </c>
    </row>
    <row r="788" spans="1:27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7</v>
      </c>
      <c r="Y827" t="s">
        <v>10</v>
      </c>
      <c r="Z827">
        <v>5927</v>
      </c>
      <c r="AA827" s="39" t="s">
        <v>3562</v>
      </c>
    </row>
    <row r="828" spans="1:27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7</v>
      </c>
      <c r="Y831" t="s">
        <v>108</v>
      </c>
      <c r="Z831">
        <v>5767</v>
      </c>
      <c r="AA831" s="39" t="s">
        <v>3562</v>
      </c>
    </row>
    <row r="832" spans="1:27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x14ac:dyDescent="0.3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x14ac:dyDescent="0.3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3565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x14ac:dyDescent="0.3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3566</v>
      </c>
      <c r="V860" s="24"/>
      <c r="W860" s="24"/>
      <c r="X860" t="s">
        <v>3514</v>
      </c>
      <c r="Y860" t="s">
        <v>3567</v>
      </c>
      <c r="Z860">
        <v>5913</v>
      </c>
      <c r="AA860" s="39" t="s">
        <v>3561</v>
      </c>
    </row>
    <row r="861" spans="1:27" x14ac:dyDescent="0.3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3570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x14ac:dyDescent="0.3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3624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x14ac:dyDescent="0.3">
      <c r="B863" t="e">
        <f>_xlfn.CONCAT(bron[[#This Row],[personeelsnr]]," ",bron[[#This Row],[achternaam]]," ",bron[[#This Row],[voornaam]])</f>
        <v>#N/A</v>
      </c>
      <c r="C863" t="e">
        <f>VLOOKUP(bron[[#This Row],[personeelsnr]],'data hastus'!$A:$C,2,0)</f>
        <v>#N/A</v>
      </c>
      <c r="D863" t="e">
        <f>VLOOKUP(bron[[#This Row],[personeelsnr]],'data hastus'!$A:$C,3,0)</f>
        <v>#N/A</v>
      </c>
      <c r="E863" t="e">
        <f>VLOOKUP(bron[[#This Row],[personeelsnr]],'data hastus'!A:K,11,FALSE)</f>
        <v>#N/A</v>
      </c>
      <c r="F863" s="10"/>
      <c r="G863" s="7"/>
      <c r="H863" s="7"/>
      <c r="I863" s="7"/>
      <c r="S863" s="5">
        <f>SUM(bron[[#This Row],[Januari]:[December]])</f>
        <v>0</v>
      </c>
      <c r="V863" s="24"/>
      <c r="W863" s="24"/>
    </row>
    <row r="864" spans="1:27" x14ac:dyDescent="0.3">
      <c r="B864" t="e">
        <f>_xlfn.CONCAT(bron[[#This Row],[personeelsnr]]," ",bron[[#This Row],[achternaam]]," ",bron[[#This Row],[voornaam]])</f>
        <v>#N/A</v>
      </c>
      <c r="C864" t="e">
        <f>VLOOKUP(bron[[#This Row],[personeelsnr]],'data hastus'!$A:$C,2,0)</f>
        <v>#N/A</v>
      </c>
      <c r="D864" t="e">
        <f>VLOOKUP(bron[[#This Row],[personeelsnr]],'data hastus'!$A:$C,3,0)</f>
        <v>#N/A</v>
      </c>
      <c r="E864" t="e">
        <f>VLOOKUP(bron[[#This Row],[personeelsnr]],'data hastus'!A:K,11,FALSE)</f>
        <v>#N/A</v>
      </c>
      <c r="F864" s="10"/>
      <c r="G864" s="7"/>
      <c r="H864" s="7"/>
      <c r="I864" s="7"/>
      <c r="S864" s="5">
        <f>SUM(bron[[#This Row],[Januari]:[December]])</f>
        <v>0</v>
      </c>
      <c r="V864" s="24"/>
      <c r="W864" s="24"/>
    </row>
    <row r="865" spans="2:23" x14ac:dyDescent="0.3">
      <c r="B865" t="e">
        <f>_xlfn.CONCAT(bron[[#This Row],[personeelsnr]]," ",bron[[#This Row],[achternaam]]," ",bron[[#This Row],[voornaam]])</f>
        <v>#N/A</v>
      </c>
      <c r="C865" t="e">
        <f>VLOOKUP(bron[[#This Row],[personeelsnr]],'data hastus'!$A:$C,2,0)</f>
        <v>#N/A</v>
      </c>
      <c r="D865" t="e">
        <f>VLOOKUP(bron[[#This Row],[personeelsnr]],'data hastus'!$A:$C,3,0)</f>
        <v>#N/A</v>
      </c>
      <c r="E865" t="e">
        <f>VLOOKUP(bron[[#This Row],[personeelsnr]],'data hastus'!A:K,11,FALSE)</f>
        <v>#N/A</v>
      </c>
      <c r="F865" s="10"/>
      <c r="G865" s="7"/>
      <c r="H865" s="7"/>
      <c r="I865" s="7"/>
      <c r="S865" s="5">
        <f>SUM(bron[[#This Row],[Januari]:[December]])</f>
        <v>0</v>
      </c>
      <c r="V865" s="24"/>
      <c r="W865" s="24"/>
    </row>
  </sheetData>
  <sheetProtection sort="0" autoFilter="0"/>
  <phoneticPr fontId="1" type="noConversion"/>
  <conditionalFormatting sqref="F2:F865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9"/>
  <sheetViews>
    <sheetView topLeftCell="A2" workbookViewId="0">
      <selection activeCell="L34" sqref="L34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3516</v>
      </c>
      <c r="C17" s="8" t="s">
        <v>3517</v>
      </c>
    </row>
    <row r="18" spans="1:3" x14ac:dyDescent="0.3">
      <c r="A18">
        <v>4691</v>
      </c>
      <c r="B18" t="s">
        <v>1474</v>
      </c>
      <c r="C18" s="8" t="s">
        <v>3518</v>
      </c>
    </row>
    <row r="19" spans="1:3" x14ac:dyDescent="0.3">
      <c r="A19">
        <v>22812</v>
      </c>
      <c r="B19" t="s">
        <v>1572</v>
      </c>
      <c r="C19" s="8" t="s">
        <v>3519</v>
      </c>
    </row>
    <row r="20" spans="1:3" x14ac:dyDescent="0.3">
      <c r="A20">
        <v>25875</v>
      </c>
      <c r="B20" t="s">
        <v>3520</v>
      </c>
      <c r="C20" s="8" t="s">
        <v>3521</v>
      </c>
    </row>
    <row r="21" spans="1:3" x14ac:dyDescent="0.3">
      <c r="A21">
        <v>10905</v>
      </c>
      <c r="B21" t="s">
        <v>3522</v>
      </c>
      <c r="C21" s="8" t="s">
        <v>3523</v>
      </c>
    </row>
    <row r="22" spans="1:3" x14ac:dyDescent="0.3">
      <c r="A22">
        <v>17552</v>
      </c>
      <c r="B22" t="s">
        <v>3524</v>
      </c>
      <c r="C22" s="8" t="s">
        <v>3525</v>
      </c>
    </row>
    <row r="23" spans="1:3" x14ac:dyDescent="0.3">
      <c r="A23">
        <v>29544</v>
      </c>
      <c r="B23" t="s">
        <v>3526</v>
      </c>
      <c r="C23" s="8" t="s">
        <v>3527</v>
      </c>
    </row>
    <row r="24" spans="1:3" x14ac:dyDescent="0.3">
      <c r="A24">
        <v>14537</v>
      </c>
      <c r="B24" t="s">
        <v>3369</v>
      </c>
      <c r="C24" s="8" t="s">
        <v>3528</v>
      </c>
    </row>
    <row r="25" spans="1:3" x14ac:dyDescent="0.3">
      <c r="A25">
        <v>16707</v>
      </c>
      <c r="B25" t="s">
        <v>1474</v>
      </c>
      <c r="C25" s="8" t="s">
        <v>3529</v>
      </c>
    </row>
    <row r="26" spans="1:3" x14ac:dyDescent="0.3">
      <c r="A26">
        <v>7848</v>
      </c>
      <c r="B26" t="s">
        <v>2524</v>
      </c>
      <c r="C26" s="8" t="s">
        <v>3530</v>
      </c>
    </row>
    <row r="27" spans="1:3" x14ac:dyDescent="0.3">
      <c r="A27">
        <v>32710</v>
      </c>
      <c r="B27" t="s">
        <v>3037</v>
      </c>
      <c r="C27" s="8" t="s">
        <v>3531</v>
      </c>
    </row>
    <row r="28" spans="1:3" x14ac:dyDescent="0.3">
      <c r="A28">
        <v>20541</v>
      </c>
      <c r="B28" t="s">
        <v>1834</v>
      </c>
      <c r="C28" s="8" t="s">
        <v>3532</v>
      </c>
    </row>
    <row r="29" spans="1:3" x14ac:dyDescent="0.3">
      <c r="A29">
        <v>26202</v>
      </c>
      <c r="B29" t="s">
        <v>3533</v>
      </c>
      <c r="C29" s="8" t="s">
        <v>3534</v>
      </c>
    </row>
    <row r="30" spans="1:3" x14ac:dyDescent="0.3">
      <c r="A30">
        <v>27081</v>
      </c>
      <c r="B30" t="s">
        <v>3535</v>
      </c>
      <c r="C30" s="8" t="s">
        <v>3536</v>
      </c>
    </row>
    <row r="31" spans="1:3" x14ac:dyDescent="0.3">
      <c r="A31">
        <v>24577</v>
      </c>
      <c r="B31" t="s">
        <v>3537</v>
      </c>
      <c r="C31" s="8" t="s">
        <v>3538</v>
      </c>
    </row>
    <row r="32" spans="1:3" x14ac:dyDescent="0.3">
      <c r="A32">
        <v>29909</v>
      </c>
      <c r="B32" t="s">
        <v>3539</v>
      </c>
      <c r="C32" s="8" t="s">
        <v>3540</v>
      </c>
    </row>
    <row r="33" spans="1:3" x14ac:dyDescent="0.3">
      <c r="A33">
        <v>31154</v>
      </c>
      <c r="B33" t="s">
        <v>3541</v>
      </c>
      <c r="C33" s="8" t="s">
        <v>3542</v>
      </c>
    </row>
    <row r="34" spans="1:3" x14ac:dyDescent="0.3">
      <c r="A34">
        <v>4707</v>
      </c>
      <c r="B34" t="s">
        <v>1951</v>
      </c>
      <c r="C34" s="8" t="s">
        <v>3543</v>
      </c>
    </row>
    <row r="35" spans="1:3" x14ac:dyDescent="0.3">
      <c r="A35">
        <v>8538</v>
      </c>
      <c r="B35" t="s">
        <v>1933</v>
      </c>
      <c r="C35" s="8" t="s">
        <v>3544</v>
      </c>
    </row>
    <row r="36" spans="1:3" x14ac:dyDescent="0.3">
      <c r="A36">
        <v>27105</v>
      </c>
      <c r="B36" t="s">
        <v>3545</v>
      </c>
      <c r="C36" s="8" t="s">
        <v>3546</v>
      </c>
    </row>
    <row r="37" spans="1:3" x14ac:dyDescent="0.3">
      <c r="A37">
        <v>4692</v>
      </c>
      <c r="B37" t="s">
        <v>3037</v>
      </c>
      <c r="C37" s="8" t="s">
        <v>3547</v>
      </c>
    </row>
    <row r="38" spans="1:3" x14ac:dyDescent="0.3">
      <c r="A38">
        <v>90649</v>
      </c>
      <c r="B38" t="s">
        <v>2603</v>
      </c>
      <c r="C38" s="8" t="s">
        <v>3568</v>
      </c>
    </row>
    <row r="39" spans="1:3" x14ac:dyDescent="0.3">
      <c r="A39">
        <v>23079</v>
      </c>
      <c r="B39" t="s">
        <v>3545</v>
      </c>
      <c r="C39" s="8" t="s">
        <v>3569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</hyperlinks>
  <pageMargins left="0.7" right="0.7" top="0.75" bottom="0.75" header="0.3" footer="0.3"/>
  <tableParts count="1">
    <tablePart r:id="rId3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3571</v>
      </c>
      <c r="C40" t="s">
        <v>3572</v>
      </c>
      <c r="D40" s="3">
        <v>38253</v>
      </c>
      <c r="E40" t="s">
        <v>1400</v>
      </c>
      <c r="G40" s="3">
        <v>45918</v>
      </c>
      <c r="H40" t="s">
        <v>3573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3574</v>
      </c>
      <c r="J41" t="s">
        <v>1857</v>
      </c>
      <c r="K41" t="s">
        <v>61</v>
      </c>
      <c r="L41" s="3">
        <v>1</v>
      </c>
      <c r="M41" s="3">
        <v>1</v>
      </c>
      <c r="N41" t="s">
        <v>3575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3576</v>
      </c>
      <c r="C42" t="s">
        <v>3577</v>
      </c>
      <c r="D42" s="3">
        <v>30518</v>
      </c>
      <c r="E42" t="s">
        <v>1400</v>
      </c>
      <c r="G42" s="3">
        <v>45918</v>
      </c>
      <c r="H42" t="s">
        <v>3578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3445</v>
      </c>
      <c r="C43" t="s">
        <v>3579</v>
      </c>
      <c r="D43" s="3">
        <v>36642</v>
      </c>
      <c r="E43" t="s">
        <v>1400</v>
      </c>
      <c r="G43" s="3">
        <v>45903</v>
      </c>
      <c r="H43" t="s">
        <v>3580</v>
      </c>
      <c r="J43" t="s">
        <v>1857</v>
      </c>
      <c r="K43" t="s">
        <v>61</v>
      </c>
      <c r="L43" s="3">
        <v>1</v>
      </c>
      <c r="M43" s="3">
        <v>1</v>
      </c>
      <c r="N43" t="s">
        <v>3581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3582</v>
      </c>
      <c r="C44" t="s">
        <v>3460</v>
      </c>
      <c r="D44" s="3">
        <v>37782</v>
      </c>
      <c r="E44" t="s">
        <v>1400</v>
      </c>
      <c r="G44" s="3">
        <v>45903</v>
      </c>
      <c r="H44" t="s">
        <v>3583</v>
      </c>
      <c r="J44" t="s">
        <v>1857</v>
      </c>
      <c r="K44" t="s">
        <v>61</v>
      </c>
      <c r="L44" s="3">
        <v>1</v>
      </c>
      <c r="M44" s="3">
        <v>1</v>
      </c>
      <c r="N44" t="s">
        <v>3584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3585</v>
      </c>
      <c r="C45" t="s">
        <v>1684</v>
      </c>
      <c r="D45" s="3">
        <v>24857</v>
      </c>
      <c r="E45" t="s">
        <v>1400</v>
      </c>
      <c r="G45" s="3">
        <v>45903</v>
      </c>
      <c r="H45" t="s">
        <v>3586</v>
      </c>
      <c r="J45" t="s">
        <v>1857</v>
      </c>
      <c r="K45" t="s">
        <v>64</v>
      </c>
      <c r="L45" s="3">
        <v>1</v>
      </c>
      <c r="M45" s="3">
        <v>1</v>
      </c>
      <c r="N45" t="s">
        <v>3587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2028</v>
      </c>
      <c r="C46" t="s">
        <v>3588</v>
      </c>
      <c r="D46" s="3">
        <v>37215</v>
      </c>
      <c r="E46" t="s">
        <v>1400</v>
      </c>
      <c r="G46" s="3">
        <v>45903</v>
      </c>
      <c r="H46" t="s">
        <v>3589</v>
      </c>
      <c r="J46" t="s">
        <v>1857</v>
      </c>
      <c r="K46" t="s">
        <v>70</v>
      </c>
      <c r="L46" s="3">
        <v>1</v>
      </c>
      <c r="M46" s="3">
        <v>1</v>
      </c>
      <c r="N46" t="s">
        <v>3590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3591</v>
      </c>
      <c r="C47" t="s">
        <v>3592</v>
      </c>
      <c r="D47" s="3">
        <v>36604</v>
      </c>
      <c r="E47" t="s">
        <v>1400</v>
      </c>
      <c r="G47" s="3">
        <v>45889</v>
      </c>
      <c r="H47" t="s">
        <v>3593</v>
      </c>
      <c r="J47" t="s">
        <v>1857</v>
      </c>
      <c r="K47" t="s">
        <v>64</v>
      </c>
      <c r="L47" s="3">
        <v>1</v>
      </c>
      <c r="M47" s="3">
        <v>1</v>
      </c>
      <c r="N47" t="s">
        <v>3594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3595</v>
      </c>
      <c r="C48" t="s">
        <v>3596</v>
      </c>
      <c r="D48" s="3">
        <v>37251</v>
      </c>
      <c r="E48" t="s">
        <v>1400</v>
      </c>
      <c r="G48" s="3">
        <v>45903</v>
      </c>
      <c r="H48" t="s">
        <v>3597</v>
      </c>
      <c r="J48" t="s">
        <v>1408</v>
      </c>
      <c r="K48" t="s">
        <v>55</v>
      </c>
      <c r="L48" s="3">
        <v>1</v>
      </c>
      <c r="M48" s="3">
        <v>1</v>
      </c>
      <c r="N48" t="s">
        <v>3598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3599</v>
      </c>
      <c r="C49" t="s">
        <v>3600</v>
      </c>
      <c r="D49" s="3">
        <v>33465</v>
      </c>
      <c r="E49" t="s">
        <v>1400</v>
      </c>
      <c r="G49" s="3">
        <v>45889</v>
      </c>
      <c r="H49" t="s">
        <v>3601</v>
      </c>
      <c r="J49" t="s">
        <v>1408</v>
      </c>
      <c r="K49" t="s">
        <v>70</v>
      </c>
      <c r="L49" s="3">
        <v>1</v>
      </c>
      <c r="M49" s="3">
        <v>1</v>
      </c>
      <c r="N49" t="s">
        <v>3602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3603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3604</v>
      </c>
      <c r="C53" t="s">
        <v>3605</v>
      </c>
      <c r="D53" s="3">
        <v>35367</v>
      </c>
      <c r="E53" t="s">
        <v>1400</v>
      </c>
      <c r="G53" s="3">
        <v>45889</v>
      </c>
      <c r="H53" t="s">
        <v>3606</v>
      </c>
      <c r="J53" t="s">
        <v>1408</v>
      </c>
      <c r="K53" t="s">
        <v>58</v>
      </c>
      <c r="L53" s="3">
        <v>1</v>
      </c>
      <c r="M53" s="3">
        <v>1</v>
      </c>
      <c r="N53" t="s">
        <v>3607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3608</v>
      </c>
      <c r="C54" t="s">
        <v>3609</v>
      </c>
      <c r="D54" s="3">
        <v>32154</v>
      </c>
      <c r="E54" t="s">
        <v>1400</v>
      </c>
      <c r="G54" s="3">
        <v>45889</v>
      </c>
      <c r="H54" t="s">
        <v>3610</v>
      </c>
      <c r="J54" t="s">
        <v>1408</v>
      </c>
      <c r="K54" t="s">
        <v>55</v>
      </c>
      <c r="L54" s="3">
        <v>1</v>
      </c>
      <c r="M54" s="3">
        <v>1</v>
      </c>
      <c r="N54" t="s">
        <v>3611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3612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3613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3614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3615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3616</v>
      </c>
      <c r="J151" t="s">
        <v>1857</v>
      </c>
      <c r="K151" t="s">
        <v>55</v>
      </c>
      <c r="L151" s="3">
        <v>47302</v>
      </c>
      <c r="M151" s="3">
        <v>47100</v>
      </c>
      <c r="N151" t="s">
        <v>3617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3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3618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3619</v>
      </c>
      <c r="C270" t="s">
        <v>3620</v>
      </c>
      <c r="D270" s="3">
        <v>36246</v>
      </c>
      <c r="E270" t="s">
        <v>1400</v>
      </c>
      <c r="G270" s="3">
        <v>44312</v>
      </c>
      <c r="H270" t="s">
        <v>3621</v>
      </c>
      <c r="J270" t="s">
        <v>1408</v>
      </c>
      <c r="K270" t="s">
        <v>58</v>
      </c>
      <c r="L270" s="3">
        <v>46152</v>
      </c>
      <c r="M270" s="3">
        <v>46090</v>
      </c>
      <c r="N270" t="s">
        <v>3622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3623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2025-09-18T17:19:16Z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