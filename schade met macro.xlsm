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8" documentId="13_ncr:1_{BC833B0D-2F54-40DF-A6AF-902741D0EBA0}" xr6:coauthVersionLast="47" xr6:coauthVersionMax="47" xr10:uidLastSave="{AA897282-E9D1-4F46-BC25-6B49DD6966D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4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<sst xmlns="http://schemas.openxmlformats.org/spreadsheetml/2006/main" count="7438" uniqueCount="3588">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</sst>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824" activePane="bottomLeft" state="frozen"/>
      <selection activeCell="F1" sqref="F1"/>
      <selection pane="bottomLeft" activeCell="Y856" sqref="Y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A854">
        <v>37222</v>
      </c>
      <c r="B854" t="str">
        <f>_xlfn.CONCAT(bron[[#This Row],[personeelsnr]]," ",bron[[#This Row],[achternaam]]," ",bron[[#This Row],[voornaam]])</f>
        <v>37222 Blondeel Dominique</v>
      </c>
      <c r="C854" t="str">
        <f>VLOOKUP(bron[[#This Row],[personeelsnr]],'data hastus'!$A:$C,2,0)</f>
        <v>Blondeel</v>
      </c>
      <c r="D854" t="str">
        <f>VLOOKUP(bron[[#This Row],[personeelsnr]],'data hastus'!$A:$C,3,0)</f>
        <v>Dominique</v>
      </c>
      <c r="E854" t="str">
        <f>VLOOKUP(bron[[#This Row],[personeelsnr]],'data hastus'!A:K,11,FALSE)</f>
        <v>Lucie Vande Velde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45915</v>
      </c>
      <c r="U854" s="5" t="s">
        <v>3585</v>
      </c>
      <c r="V854" s="24">
        <v>1</v>
      </c>
      <c r="W854" s="24"/>
      <c r="X854" t="s">
        <v>7</v>
      </c>
      <c r="Y854" t="s">
        <v>25</v>
      </c>
    </row>
    <row r="855" spans="1:25" x14ac:dyDescent="0.25">
      <c r="A855">
        <v>42146</v>
      </c>
      <c r="B855" t="str">
        <f>_xlfn.CONCAT(bron[[#This Row],[personeelsnr]]," ",bron[[#This Row],[achternaam]]," ",bron[[#This Row],[voornaam]])</f>
        <v>42146 Cichonski Kamil</v>
      </c>
      <c r="C855" t="str">
        <f>VLOOKUP(bron[[#This Row],[personeelsnr]],'data hastus'!$A:$C,2,0)</f>
        <v>Cichonski</v>
      </c>
      <c r="D855" t="str">
        <f>VLOOKUP(bron[[#This Row],[personeelsnr]],'data hastus'!$A:$C,3,0)</f>
        <v>Kamil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45915</v>
      </c>
      <c r="U855" s="5" t="s">
        <v>3586</v>
      </c>
      <c r="V855" s="24">
        <v>1</v>
      </c>
      <c r="W855" s="24"/>
      <c r="X855" t="s">
        <v>7</v>
      </c>
      <c r="Y855" t="s">
        <v>3584</v>
      </c>
    </row>
    <row r="856" spans="1:25" x14ac:dyDescent="0.25">
      <c r="A856">
        <v>40645</v>
      </c>
      <c r="B856" t="str">
        <f>_xlfn.CONCAT(bron[[#This Row],[personeelsnr]]," ",bron[[#This Row],[achternaam]]," ",bron[[#This Row],[voornaam]])</f>
        <v>40645 Bytebier Jason</v>
      </c>
      <c r="C856" t="str">
        <f>VLOOKUP(bron[[#This Row],[personeelsnr]],'data hastus'!$A:$C,2,0)</f>
        <v>Bytebier</v>
      </c>
      <c r="D856" t="str">
        <f>VLOOKUP(bron[[#This Row],[personeelsnr]],'data hastus'!$A:$C,3,0)</f>
        <v>Jason</v>
      </c>
      <c r="E856" t="str">
        <f>VLOOKUP(bron[[#This Row],[personeelsnr]],'data hastus'!A:K,11,FALSE)</f>
        <v>Els Dewulf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3587</v>
      </c>
      <c r="V856" s="24">
        <v>1</v>
      </c>
      <c r="W856" s="24"/>
      <c r="X856" t="s">
        <v>3546</v>
      </c>
      <c r="Y856" t="s">
        <v>51</v>
      </c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2025-09-15T13:08:00Z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