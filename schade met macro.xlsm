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88" documentId="13_ncr:1_{10FCACA5-8197-478D-90D3-5F83063FB753}" xr6:coauthVersionLast="47" xr6:coauthVersionMax="47" xr10:uidLastSave="{E56F2D1F-D1B9-4CF3-95EE-783F56D32847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8" i="1"/>
  <c r="B968" i="1" s="1"/>
  <c r="D968" i="1"/>
  <c r="E968" i="1"/>
  <c r="S968" i="1"/>
  <c r="C967" i="1"/>
  <c r="D967" i="1"/>
  <c r="E967" i="1"/>
  <c r="S967" i="1"/>
  <c r="C966" i="1"/>
  <c r="B966" i="1" s="1"/>
  <c r="D966" i="1"/>
  <c r="E966" i="1"/>
  <c r="S966" i="1"/>
  <c r="C965" i="1"/>
  <c r="D965" i="1"/>
  <c r="E965" i="1"/>
  <c r="S965" i="1"/>
  <c r="C964" i="1"/>
  <c r="B964" i="1" s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1" i="1" l="1"/>
  <c r="B963" i="1"/>
  <c r="B965" i="1"/>
  <c r="B967" i="1"/>
  <c r="B970" i="1"/>
  <c r="B969" i="1"/>
  <c r="B962" i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<sst xmlns="http://schemas.openxmlformats.org/spreadsheetml/2006/main" count="8928" uniqueCount="3818">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</sst>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790" activePane="bottomLeft" state="frozen"/>
      <selection activeCell="F1" sqref="F1"/>
      <selection pane="bottomLeft" activeCell="A971" sqref="A97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x14ac:dyDescent="0.25">
      <c r="A970">
        <v>39558</v>
      </c>
      <c r="B970" t="str">
        <f>_xlfn.CONCAT(bron[[#This Row],[personeelsnr]]," ",bron[[#This Row],[achternaam]]," ",bron[[#This Row],[voornaam]])</f>
        <v>39558 De Groote Cedric</v>
      </c>
      <c r="C970" t="str">
        <f>VLOOKUP(bron[[#This Row],[personeelsnr]],'data hastus'!$A:$C,2,0)</f>
        <v>De Groote</v>
      </c>
      <c r="D970" t="str">
        <f>VLOOKUP(bron[[#This Row],[personeelsnr]],'data hastus'!$A:$C,3,0)</f>
        <v>Cedric</v>
      </c>
      <c r="E970" s="2" t="str">
        <f>VLOOKUP(bron[[#This Row],[personeelsnr]],'data hastus'!A:K,11,FALSE)</f>
        <v>Steven Storm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3817</v>
      </c>
      <c r="V970" s="37"/>
      <c r="W970" s="37"/>
      <c r="X970" t="s">
        <v>3513</v>
      </c>
      <c r="Y970" t="s">
        <v>285</v>
      </c>
      <c r="Z970" s="2">
        <v>5047</v>
      </c>
      <c r="AA970" s="43" t="s">
        <v>3558</v>
      </c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2025-11-24T09:28:47Z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