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54" documentId="8_{21511603-A870-4D4C-809B-4C28D285AF8F}" xr6:coauthVersionLast="47" xr6:coauthVersionMax="47" xr10:uidLastSave="{591394D3-090D-4600-B5F8-655E5C441F6B}"/>
  <bookViews>
    <workbookView xWindow="-28920" yWindow="-7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D897" i="1"/>
  <c r="E897" i="1"/>
  <c r="S897" i="1"/>
  <c r="C896" i="1"/>
  <c r="B896" i="1" s="1"/>
  <c r="D896" i="1"/>
  <c r="E896" i="1"/>
  <c r="S896" i="1"/>
  <c r="C895" i="1"/>
  <c r="D895" i="1"/>
  <c r="E895" i="1"/>
  <c r="S895" i="1"/>
  <c r="C894" i="1"/>
  <c r="D894" i="1"/>
  <c r="E894" i="1"/>
  <c r="S894" i="1"/>
  <c r="C893" i="1"/>
  <c r="D893" i="1"/>
  <c r="E893" i="1"/>
  <c r="S893" i="1"/>
  <c r="C892" i="1"/>
  <c r="B892" i="1" s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B888" i="1" s="1"/>
  <c r="D888" i="1"/>
  <c r="E888" i="1"/>
  <c r="S888" i="1"/>
  <c r="C887" i="1"/>
  <c r="D887" i="1"/>
  <c r="E887" i="1"/>
  <c r="S887" i="1"/>
  <c r="C886" i="1"/>
  <c r="B886" i="1" s="1"/>
  <c r="D886" i="1"/>
  <c r="E886" i="1"/>
  <c r="S886" i="1"/>
  <c r="C885" i="1"/>
  <c r="D885" i="1"/>
  <c r="E885" i="1"/>
  <c r="S885" i="1"/>
  <c r="C884" i="1"/>
  <c r="B884" i="1" s="1"/>
  <c r="D884" i="1"/>
  <c r="E884" i="1"/>
  <c r="S884" i="1"/>
  <c r="C883" i="1"/>
  <c r="D883" i="1"/>
  <c r="E883" i="1"/>
  <c r="S883" i="1"/>
  <c r="C882" i="1"/>
  <c r="B882" i="1" s="1"/>
  <c r="D882" i="1"/>
  <c r="E882" i="1"/>
  <c r="S882" i="1"/>
  <c r="C881" i="1"/>
  <c r="D881" i="1"/>
  <c r="E881" i="1"/>
  <c r="S881" i="1"/>
  <c r="C880" i="1"/>
  <c r="D880" i="1"/>
  <c r="E880" i="1"/>
  <c r="S880" i="1"/>
  <c r="C879" i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900" i="1" l="1"/>
  <c r="B881" i="1"/>
  <c r="B883" i="1"/>
  <c r="B885" i="1"/>
  <c r="B887" i="1"/>
  <c r="B889" i="1"/>
  <c r="B891" i="1"/>
  <c r="B893" i="1"/>
  <c r="B895" i="1"/>
  <c r="B897" i="1"/>
  <c r="B878" i="1"/>
  <c r="B879" i="1"/>
  <c r="B880" i="1"/>
  <c r="B894" i="1"/>
  <c r="B890" i="1"/>
  <c r="B877" i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<sst xmlns="http://schemas.openxmlformats.org/spreadsheetml/2006/main" count="8622" uniqueCount="3714">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</sst>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11</v>
          </cell>
          <cell r="B3" t="str">
            <v>Bart Van der Beken</v>
          </cell>
          <cell r="D3">
            <v>25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22</v>
          </cell>
        </row>
        <row r="6">
          <cell r="A6">
            <v>7</v>
          </cell>
          <cell r="B6" t="str">
            <v>Dominique De Clercq</v>
          </cell>
          <cell r="D6">
            <v>36</v>
          </cell>
        </row>
        <row r="7">
          <cell r="A7">
            <v>8</v>
          </cell>
          <cell r="B7" t="str">
            <v>Steven Storm</v>
          </cell>
          <cell r="D7">
            <v>12</v>
          </cell>
        </row>
        <row r="8">
          <cell r="A8">
            <v>10</v>
          </cell>
          <cell r="B8" t="str">
            <v>Lucie Vande Velde</v>
          </cell>
          <cell r="D8">
            <v>22</v>
          </cell>
        </row>
        <row r="9">
          <cell r="A9">
            <v>11</v>
          </cell>
          <cell r="B9" t="str">
            <v>Kenneth De Rick</v>
          </cell>
          <cell r="D9">
            <v>23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printerSettings" Target="../printerSettings/printerSettings2.bin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table" Target="../tables/table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drawing" Target="../drawings/drawing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11</v>
      </c>
      <c r="J43" s="13" t="str">
        <f>'[1]Ingeplande per TC'!$B$3</f>
        <v>Bart Van der Beken</v>
      </c>
      <c r="K43" s="13"/>
      <c r="L43" s="25"/>
      <c r="M43" s="13">
        <f>'[1]Ingeplande per TC'!$D$3</f>
        <v>25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22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12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22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23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80</v>
      </c>
      <c r="J50" s="14" t="s">
        <v>109</v>
      </c>
      <c r="K50" s="14"/>
      <c r="L50" s="25"/>
      <c r="M50" s="14">
        <f>SUM(M42:M49)</f>
        <v>187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54" activePane="bottomLeft" state="frozen"/>
      <selection activeCell="F1" sqref="F1"/>
      <selection pane="bottomLeft" activeCell="AA902" sqref="AA902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3561</v>
      </c>
      <c r="V855" s="37">
        <v>1</v>
      </c>
      <c r="W855" s="37"/>
      <c r="X855" t="s">
        <v>3513</v>
      </c>
      <c r="Y855" t="s">
        <v>48</v>
      </c>
      <c r="Z855" s="2">
        <v>5265</v>
      </c>
      <c r="AA855" s="43" t="s">
        <v>3558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3566</v>
      </c>
      <c r="V856" s="37">
        <v>1</v>
      </c>
      <c r="W856" s="37"/>
      <c r="X856" t="s">
        <v>3513</v>
      </c>
      <c r="Y856" t="s">
        <v>100</v>
      </c>
      <c r="Z856" s="2">
        <v>2193</v>
      </c>
      <c r="AA856" s="43" t="s">
        <v>3558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3549</v>
      </c>
      <c r="V857" s="37"/>
      <c r="W857" s="37">
        <v>1</v>
      </c>
      <c r="X857" t="s">
        <v>3548</v>
      </c>
      <c r="Y857" t="s">
        <v>3550</v>
      </c>
      <c r="Z857" s="2">
        <v>6374</v>
      </c>
      <c r="AA857" s="43" t="s">
        <v>3559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3551</v>
      </c>
      <c r="V858" s="37">
        <v>1</v>
      </c>
      <c r="W858" s="37"/>
      <c r="X858" t="s">
        <v>3511</v>
      </c>
      <c r="Y858" t="s">
        <v>25</v>
      </c>
      <c r="Z858" s="2">
        <v>5237</v>
      </c>
      <c r="AA858" s="42" t="s">
        <v>3558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3553</v>
      </c>
      <c r="V859" s="37">
        <v>1</v>
      </c>
      <c r="W859" s="37"/>
      <c r="X859" t="s">
        <v>3512</v>
      </c>
      <c r="Y859" t="s">
        <v>51</v>
      </c>
      <c r="Z859" s="2">
        <v>5763</v>
      </c>
      <c r="AA859" s="42" t="s">
        <v>3558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3552</v>
      </c>
      <c r="V860" s="37">
        <v>1</v>
      </c>
      <c r="W860" s="37"/>
      <c r="X860" t="s">
        <v>3512</v>
      </c>
      <c r="Y860" t="s">
        <v>3550</v>
      </c>
      <c r="Z860" s="2">
        <v>5488</v>
      </c>
      <c r="AA860" s="42" t="s">
        <v>3558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3555</v>
      </c>
      <c r="V861" s="37"/>
      <c r="W861" s="37">
        <v>1</v>
      </c>
      <c r="X861" t="s">
        <v>3547</v>
      </c>
      <c r="Y861" t="s">
        <v>1312</v>
      </c>
      <c r="Z861" s="2">
        <v>6334</v>
      </c>
      <c r="AA861" s="42" t="s">
        <v>3559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3562</v>
      </c>
      <c r="V862" s="37"/>
      <c r="W862" s="37"/>
      <c r="X862" t="s">
        <v>3512</v>
      </c>
      <c r="Y862" t="s">
        <v>3563</v>
      </c>
      <c r="Z862" s="2">
        <v>5913</v>
      </c>
      <c r="AA862" s="43" t="s">
        <v>3558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3624</v>
      </c>
      <c r="V863" s="37"/>
      <c r="W863" s="37"/>
      <c r="X863" t="s">
        <v>3512</v>
      </c>
      <c r="Y863" t="s">
        <v>28</v>
      </c>
      <c r="Z863" s="2">
        <v>5488</v>
      </c>
      <c r="AA863" s="43" t="s">
        <v>3558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3623</v>
      </c>
      <c r="V864" s="37">
        <v>1</v>
      </c>
      <c r="W864" s="37"/>
      <c r="X864" t="s">
        <v>3512</v>
      </c>
      <c r="Y864" t="s">
        <v>533</v>
      </c>
      <c r="Z864" s="2">
        <v>5488</v>
      </c>
      <c r="AA864" s="43" t="s">
        <v>3559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3628</v>
      </c>
      <c r="V865" s="37"/>
      <c r="W865" s="37"/>
      <c r="X865" t="s">
        <v>3512</v>
      </c>
      <c r="Y865" t="s">
        <v>84</v>
      </c>
      <c r="Z865" s="2">
        <v>5923</v>
      </c>
      <c r="AA865" s="43" t="s">
        <v>3558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3625</v>
      </c>
      <c r="V866" s="37"/>
      <c r="W866" s="37"/>
      <c r="X866" t="s">
        <v>3512</v>
      </c>
      <c r="Y866" t="s">
        <v>3626</v>
      </c>
      <c r="Z866" s="2">
        <v>2047</v>
      </c>
      <c r="AA866" s="43" t="s">
        <v>3558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3627</v>
      </c>
      <c r="V867" s="37"/>
      <c r="W867" s="37"/>
      <c r="X867" t="s">
        <v>3548</v>
      </c>
      <c r="Y867" t="s">
        <v>5</v>
      </c>
      <c r="Z867" s="2">
        <v>6375</v>
      </c>
      <c r="AA867" s="43" t="s">
        <v>3558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3629</v>
      </c>
      <c r="V868" s="37"/>
      <c r="W868" s="37"/>
      <c r="X868" t="s">
        <v>3513</v>
      </c>
      <c r="Y868" t="s">
        <v>3630</v>
      </c>
      <c r="Z868" s="2">
        <v>5225</v>
      </c>
      <c r="AA868" s="43" t="s">
        <v>3631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3632</v>
      </c>
      <c r="V869" s="37"/>
      <c r="W869" s="37"/>
      <c r="X869" t="s">
        <v>3512</v>
      </c>
      <c r="Y869" t="s">
        <v>40</v>
      </c>
      <c r="Z869" s="2">
        <v>2047</v>
      </c>
      <c r="AA869" s="43" t="s">
        <v>3558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3634</v>
      </c>
      <c r="V870" s="37"/>
      <c r="W870" s="37"/>
      <c r="X870" t="s">
        <v>3547</v>
      </c>
      <c r="Y870" t="s">
        <v>75</v>
      </c>
      <c r="Z870" s="2">
        <v>6328</v>
      </c>
      <c r="AA870" s="43" t="s">
        <v>3559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3633</v>
      </c>
      <c r="V871" s="37"/>
      <c r="W871" s="37"/>
      <c r="X871" t="s">
        <v>3512</v>
      </c>
      <c r="Y871" t="s">
        <v>3626</v>
      </c>
      <c r="Z871" s="2">
        <v>2085</v>
      </c>
      <c r="AA871" s="43" t="s">
        <v>3558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3635</v>
      </c>
      <c r="V872" s="37"/>
      <c r="W872" s="37"/>
      <c r="X872" t="s">
        <v>3512</v>
      </c>
      <c r="Y872" t="s">
        <v>3636</v>
      </c>
      <c r="Z872" s="2">
        <v>5922</v>
      </c>
      <c r="AA872" s="43" t="s">
        <v>3559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3637</v>
      </c>
      <c r="V873" s="37"/>
      <c r="W873" s="37"/>
      <c r="X873" t="s">
        <v>3512</v>
      </c>
      <c r="Y873" t="s">
        <v>1323</v>
      </c>
      <c r="Z873" s="2">
        <v>5938</v>
      </c>
      <c r="AA873" s="43" t="s">
        <v>3559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3638</v>
      </c>
      <c r="V874" s="37"/>
      <c r="W874" s="37"/>
      <c r="X874" t="s">
        <v>3512</v>
      </c>
      <c r="Y874" t="s">
        <v>16</v>
      </c>
      <c r="Z874" s="2">
        <v>5773</v>
      </c>
      <c r="AA874" s="43" t="s">
        <v>3558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3639</v>
      </c>
      <c r="V875" s="37"/>
      <c r="W875" s="37"/>
      <c r="X875" t="s">
        <v>3513</v>
      </c>
      <c r="Y875" t="s">
        <v>113</v>
      </c>
      <c r="Z875" s="2">
        <v>2190</v>
      </c>
      <c r="AA875" s="43" t="s">
        <v>3558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3640</v>
      </c>
      <c r="V876" s="37"/>
      <c r="W876" s="37"/>
      <c r="X876" t="s">
        <v>3512</v>
      </c>
      <c r="Y876" t="s">
        <v>31</v>
      </c>
      <c r="Z876" s="2">
        <v>5910</v>
      </c>
      <c r="AA876" s="43" t="s">
        <v>3558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3641</v>
      </c>
      <c r="V877" s="37"/>
      <c r="W877" s="37"/>
      <c r="X877" t="s">
        <v>3512</v>
      </c>
      <c r="Y877" t="s">
        <v>1289</v>
      </c>
      <c r="Z877" s="2">
        <v>5917</v>
      </c>
      <c r="AA877" s="43" t="s">
        <v>3558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3642</v>
      </c>
      <c r="V878" s="37"/>
      <c r="W878" s="37"/>
      <c r="X878" t="s">
        <v>3512</v>
      </c>
      <c r="Y878" t="s">
        <v>608</v>
      </c>
      <c r="Z878" s="2">
        <v>5768</v>
      </c>
      <c r="AA878" s="43" t="s">
        <v>3558</v>
      </c>
    </row>
    <row r="879" spans="1:27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3643</v>
      </c>
      <c r="V879" s="37"/>
      <c r="W879" s="37"/>
      <c r="X879" t="s">
        <v>3512</v>
      </c>
      <c r="Y879" t="s">
        <v>3502</v>
      </c>
      <c r="Z879" s="2">
        <v>5913</v>
      </c>
      <c r="AA879" s="43" t="s">
        <v>3558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3644</v>
      </c>
      <c r="V880" s="37"/>
      <c r="W880" s="37"/>
      <c r="X880" t="s">
        <v>3513</v>
      </c>
      <c r="Y880" t="s">
        <v>100</v>
      </c>
      <c r="Z880" s="2">
        <v>2201</v>
      </c>
      <c r="AA880" s="43" t="s">
        <v>3559</v>
      </c>
    </row>
    <row r="881" spans="1:27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3645</v>
      </c>
      <c r="V881" s="37"/>
      <c r="W881" s="37"/>
      <c r="X881" t="s">
        <v>3512</v>
      </c>
      <c r="Y881" t="s">
        <v>242</v>
      </c>
      <c r="Z881" s="2">
        <v>550822</v>
      </c>
      <c r="AA881" s="43" t="s">
        <v>3558</v>
      </c>
    </row>
    <row r="882" spans="1:27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3646</v>
      </c>
      <c r="V882" s="37"/>
      <c r="W882" s="37"/>
      <c r="X882" t="s">
        <v>3547</v>
      </c>
      <c r="Y882" t="s">
        <v>623</v>
      </c>
      <c r="Z882" s="2">
        <v>6312</v>
      </c>
      <c r="AA882" s="43" t="s">
        <v>3558</v>
      </c>
    </row>
    <row r="883" spans="1:27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3647</v>
      </c>
      <c r="V883" s="37"/>
      <c r="W883" s="37"/>
      <c r="X883" t="s">
        <v>3513</v>
      </c>
      <c r="Y883" t="s">
        <v>3648</v>
      </c>
      <c r="Z883" s="2">
        <v>2191</v>
      </c>
      <c r="AA883" s="43" t="s">
        <v>3558</v>
      </c>
    </row>
    <row r="884" spans="1:27" hidden="1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hidden="1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hidden="1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hidden="1" x14ac:dyDescent="0.25">
      <c r="A887">
        <v>41948</v>
      </c>
      <c r="B887" t="str">
        <f>_xlfn.CONCAT(bron[[#This Row],[personeelsnr]]," ",bron[[#This Row],[achternaam]]," ",bron[[#This Row],[voornaam]])</f>
        <v>41948 Vervaecke Wim</v>
      </c>
      <c r="C887" t="str">
        <f>VLOOKUP(bron[[#This Row],[personeelsnr]],'data hastus'!$A:$C,2,0)</f>
        <v>Vervaecke</v>
      </c>
      <c r="D887" t="str">
        <f>VLOOKUP(bron[[#This Row],[personeelsnr]],'data hastus'!$A:$C,3,0)</f>
        <v>Wim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45934</v>
      </c>
      <c r="U887" s="5" t="s">
        <v>3655</v>
      </c>
      <c r="V887" s="37"/>
      <c r="W887" s="37"/>
      <c r="X887" t="s">
        <v>3512</v>
      </c>
      <c r="Y887" t="s">
        <v>578</v>
      </c>
      <c r="Z887" s="2">
        <v>2548</v>
      </c>
      <c r="AA887" s="43" t="s">
        <v>3558</v>
      </c>
    </row>
    <row r="888" spans="1:27" hidden="1" x14ac:dyDescent="0.25">
      <c r="A888">
        <v>29271</v>
      </c>
      <c r="B888" t="str">
        <f>_xlfn.CONCAT(bron[[#This Row],[personeelsnr]]," ",bron[[#This Row],[achternaam]]," ",bron[[#This Row],[voornaam]])</f>
        <v>29271 Maes Filip</v>
      </c>
      <c r="C888" t="str">
        <f>VLOOKUP(bron[[#This Row],[personeelsnr]],'data hastus'!$A:$C,2,0)</f>
        <v>Maes</v>
      </c>
      <c r="D888" t="str">
        <f>VLOOKUP(bron[[#This Row],[personeelsnr]],'data hastus'!$A:$C,3,0)</f>
        <v>Filip</v>
      </c>
      <c r="E888" s="2" t="str">
        <f>VLOOKUP(bron[[#This Row],[personeelsnr]],'data hastus'!A:K,11,FALSE)</f>
        <v>Els Dewulf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3656</v>
      </c>
      <c r="V888" s="37"/>
      <c r="W888" s="37"/>
      <c r="X888" t="s">
        <v>3513</v>
      </c>
      <c r="Y888" t="s">
        <v>5</v>
      </c>
      <c r="Z888" s="2">
        <v>5273</v>
      </c>
      <c r="AA888" s="43" t="s">
        <v>3558</v>
      </c>
    </row>
    <row r="889" spans="1:27" hidden="1" x14ac:dyDescent="0.25">
      <c r="A889">
        <v>38555</v>
      </c>
      <c r="B889" t="str">
        <f>_xlfn.CONCAT(bron[[#This Row],[personeelsnr]]," ",bron[[#This Row],[achternaam]]," ",bron[[#This Row],[voornaam]])</f>
        <v>38555 Almohammad Malek</v>
      </c>
      <c r="C889" t="str">
        <f>VLOOKUP(bron[[#This Row],[personeelsnr]],'data hastus'!$A:$C,2,0)</f>
        <v>Almohammad</v>
      </c>
      <c r="D889" t="str">
        <f>VLOOKUP(bron[[#This Row],[personeelsnr]],'data hastus'!$A:$C,3,0)</f>
        <v>Malek</v>
      </c>
      <c r="E889" s="2" t="str">
        <f>VLOOKUP(bron[[#This Row],[personeelsnr]],'data hastus'!A:K,11,FALSE)</f>
        <v>Els Vanhoe</v>
      </c>
      <c r="G889" s="39"/>
      <c r="H889" s="39"/>
      <c r="I889" s="39"/>
      <c r="S889" s="36">
        <f>SUM(bron[[#This Row],[Januari]:[December]])</f>
        <v>0</v>
      </c>
      <c r="T889" s="41">
        <v>45934</v>
      </c>
      <c r="U889" s="5" t="s">
        <v>3657</v>
      </c>
      <c r="V889" s="37"/>
      <c r="W889" s="37"/>
      <c r="X889" t="s">
        <v>3513</v>
      </c>
      <c r="Y889" t="s">
        <v>3658</v>
      </c>
      <c r="Z889" s="2">
        <v>5044</v>
      </c>
      <c r="AA889" s="43" t="s">
        <v>3558</v>
      </c>
    </row>
    <row r="890" spans="1:27" hidden="1" x14ac:dyDescent="0.25">
      <c r="A890">
        <v>42044</v>
      </c>
      <c r="B890" t="str">
        <f>_xlfn.CONCAT(bron[[#This Row],[personeelsnr]]," ",bron[[#This Row],[achternaam]]," ",bron[[#This Row],[voornaam]])</f>
        <v>42044 El Gana Karim</v>
      </c>
      <c r="C890" t="str">
        <f>VLOOKUP(bron[[#This Row],[personeelsnr]],'data hastus'!$A:$C,2,0)</f>
        <v>El Gana</v>
      </c>
      <c r="D890" t="str">
        <f>VLOOKUP(bron[[#This Row],[personeelsnr]],'data hastus'!$A:$C,3,0)</f>
        <v>Karim</v>
      </c>
      <c r="E890" s="2" t="str">
        <f>VLOOKUP(bron[[#This Row],[personeelsnr]],'data hastus'!A:K,11,FALSE)</f>
        <v>Dominique De Clercq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3700</v>
      </c>
      <c r="V890" s="37"/>
      <c r="W890" s="37"/>
      <c r="X890" t="s">
        <v>3512</v>
      </c>
      <c r="Y890" t="s">
        <v>10</v>
      </c>
      <c r="Z890" s="2">
        <v>5765</v>
      </c>
      <c r="AA890" s="43" t="s">
        <v>3558</v>
      </c>
    </row>
    <row r="891" spans="1:27" hidden="1" x14ac:dyDescent="0.25">
      <c r="A891">
        <v>40058</v>
      </c>
      <c r="B891" t="str">
        <f>_xlfn.CONCAT(bron[[#This Row],[personeelsnr]]," ",bron[[#This Row],[achternaam]]," ",bron[[#This Row],[voornaam]])</f>
        <v>40058 Sögüt Can</v>
      </c>
      <c r="C891" t="str">
        <f>VLOOKUP(bron[[#This Row],[personeelsnr]],'data hastus'!$A:$C,2,0)</f>
        <v>Sögüt</v>
      </c>
      <c r="D891" t="str">
        <f>VLOOKUP(bron[[#This Row],[personeelsnr]],'data hastus'!$A:$C,3,0)</f>
        <v>Can</v>
      </c>
      <c r="E891" s="2" t="str">
        <f>VLOOKUP(bron[[#This Row],[personeelsnr]],'data hastus'!A:K,11,FALSE)</f>
        <v>Christoff Rotty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8" t="s">
        <v>3701</v>
      </c>
      <c r="V891" s="37"/>
      <c r="W891" s="37"/>
      <c r="X891" t="s">
        <v>3513</v>
      </c>
      <c r="Y891" t="s">
        <v>163</v>
      </c>
      <c r="Z891" s="2">
        <v>5265</v>
      </c>
      <c r="AA891" s="43" t="s">
        <v>3558</v>
      </c>
    </row>
    <row r="892" spans="1:27" hidden="1" x14ac:dyDescent="0.25">
      <c r="A892">
        <v>28910</v>
      </c>
      <c r="B892" t="str">
        <f>_xlfn.CONCAT(bron[[#This Row],[personeelsnr]]," ",bron[[#This Row],[achternaam]]," ",bron[[#This Row],[voornaam]])</f>
        <v>28910 Gassa Osmane</v>
      </c>
      <c r="C892" t="str">
        <f>VLOOKUP(bron[[#This Row],[personeelsnr]],'data hastus'!$A:$C,2,0)</f>
        <v>Gassa</v>
      </c>
      <c r="D892" t="str">
        <f>VLOOKUP(bron[[#This Row],[personeelsnr]],'data hastus'!$A:$C,3,0)</f>
        <v>Osmane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3701</v>
      </c>
      <c r="V892" s="37"/>
      <c r="W892" s="37"/>
      <c r="X892" t="s">
        <v>3513</v>
      </c>
      <c r="Y892" t="s">
        <v>163</v>
      </c>
      <c r="Z892" s="2">
        <v>5263</v>
      </c>
      <c r="AA892" s="43" t="s">
        <v>3558</v>
      </c>
    </row>
    <row r="893" spans="1:27" hidden="1" x14ac:dyDescent="0.25">
      <c r="A893">
        <v>41619</v>
      </c>
      <c r="B893" t="str">
        <f>_xlfn.CONCAT(bron[[#This Row],[personeelsnr]]," ",bron[[#This Row],[achternaam]]," ",bron[[#This Row],[voornaam]])</f>
        <v>41619 Bachiri Ousama</v>
      </c>
      <c r="C893" t="str">
        <f>VLOOKUP(bron[[#This Row],[personeelsnr]],'data hastus'!$A:$C,2,0)</f>
        <v>Bachiri</v>
      </c>
      <c r="D893" t="str">
        <f>VLOOKUP(bron[[#This Row],[personeelsnr]],'data hastus'!$A:$C,3,0)</f>
        <v>Ousama</v>
      </c>
      <c r="E893" s="2" t="str">
        <f>VLOOKUP(bron[[#This Row],[personeelsnr]],'data hastus'!A:K,11,FALSE)</f>
        <v>Bart Van Der Beken</v>
      </c>
      <c r="G893" s="39"/>
      <c r="H893" s="39"/>
      <c r="I893" s="39"/>
      <c r="S893" s="36">
        <f>SUM(bron[[#This Row],[Januari]:[December]])</f>
        <v>0</v>
      </c>
      <c r="T893" s="41">
        <v>45933</v>
      </c>
      <c r="U893" s="5" t="s">
        <v>3702</v>
      </c>
      <c r="V893" s="37"/>
      <c r="W893" s="37"/>
      <c r="X893" t="s">
        <v>3513</v>
      </c>
      <c r="Y893" t="s">
        <v>51</v>
      </c>
      <c r="Z893" s="2">
        <v>5042</v>
      </c>
      <c r="AA893" s="43" t="s">
        <v>3558</v>
      </c>
    </row>
    <row r="894" spans="1:27" hidden="1" x14ac:dyDescent="0.25">
      <c r="A894">
        <v>41619</v>
      </c>
      <c r="B894" t="str">
        <f>_xlfn.CONCAT(bron[[#This Row],[personeelsnr]]," ",bron[[#This Row],[achternaam]]," ",bron[[#This Row],[voornaam]])</f>
        <v>41619 Bachiri Ousama</v>
      </c>
      <c r="C894" t="str">
        <f>VLOOKUP(bron[[#This Row],[personeelsnr]],'data hastus'!$A:$C,2,0)</f>
        <v>Bachiri</v>
      </c>
      <c r="D894" t="str">
        <f>VLOOKUP(bron[[#This Row],[personeelsnr]],'data hastus'!$A:$C,3,0)</f>
        <v>Ousama</v>
      </c>
      <c r="E894" s="2" t="str">
        <f>VLOOKUP(bron[[#This Row],[personeelsnr]],'data hastus'!A:K,11,FALSE)</f>
        <v>Bart Van Der Beken</v>
      </c>
      <c r="G894" s="39"/>
      <c r="H894" s="39"/>
      <c r="I894" s="39"/>
      <c r="S894" s="36">
        <f>SUM(bron[[#This Row],[Januari]:[December]])</f>
        <v>0</v>
      </c>
      <c r="T894" s="41">
        <v>45933</v>
      </c>
      <c r="U894" s="5" t="s">
        <v>3703</v>
      </c>
      <c r="V894" s="37"/>
      <c r="W894" s="37"/>
      <c r="X894" t="s">
        <v>3513</v>
      </c>
      <c r="Y894" t="s">
        <v>51</v>
      </c>
      <c r="Z894" s="2">
        <v>5042</v>
      </c>
      <c r="AA894" s="43" t="s">
        <v>3558</v>
      </c>
    </row>
    <row r="895" spans="1:27" hidden="1" x14ac:dyDescent="0.25">
      <c r="A895">
        <v>42015</v>
      </c>
      <c r="B895" t="str">
        <f>_xlfn.CONCAT(bron[[#This Row],[personeelsnr]]," ",bron[[#This Row],[achternaam]]," ",bron[[#This Row],[voornaam]])</f>
        <v>42015 Crop Alexander</v>
      </c>
      <c r="C895" t="str">
        <f>VLOOKUP(bron[[#This Row],[personeelsnr]],'data hastus'!$A:$C,2,0)</f>
        <v>Crop</v>
      </c>
      <c r="D895" t="str">
        <f>VLOOKUP(bron[[#This Row],[personeelsnr]],'data hastus'!$A:$C,3,0)</f>
        <v>Alexander</v>
      </c>
      <c r="E895" s="2" t="str">
        <f>VLOOKUP(bron[[#This Row],[personeelsnr]],'data hastus'!A:K,11,FALSE)</f>
        <v>Els Vanhoe</v>
      </c>
      <c r="G895" s="39"/>
      <c r="H895" s="39"/>
      <c r="I895" s="39"/>
      <c r="S895" s="36">
        <f>SUM(bron[[#This Row],[Januari]:[December]])</f>
        <v>0</v>
      </c>
      <c r="T895" s="41">
        <v>45938</v>
      </c>
      <c r="U895" s="5" t="s">
        <v>3705</v>
      </c>
      <c r="V895" s="37"/>
      <c r="W895" s="37"/>
      <c r="X895" t="s">
        <v>3512</v>
      </c>
      <c r="Y895" t="s">
        <v>54</v>
      </c>
      <c r="Z895" s="2">
        <v>5771</v>
      </c>
      <c r="AA895" s="43" t="s">
        <v>3558</v>
      </c>
    </row>
    <row r="896" spans="1:27" hidden="1" x14ac:dyDescent="0.25">
      <c r="A896">
        <v>32611</v>
      </c>
      <c r="B896" t="str">
        <f>_xlfn.CONCAT(bron[[#This Row],[personeelsnr]]," ",bron[[#This Row],[achternaam]]," ",bron[[#This Row],[voornaam]])</f>
        <v>32611 Özer Özgur</v>
      </c>
      <c r="C896" t="str">
        <f>VLOOKUP(bron[[#This Row],[personeelsnr]],'data hastus'!$A:$C,2,0)</f>
        <v>Özer</v>
      </c>
      <c r="D896" t="str">
        <f>VLOOKUP(bron[[#This Row],[personeelsnr]],'data hastus'!$A:$C,3,0)</f>
        <v>Özgur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3706</v>
      </c>
      <c r="V896" s="37"/>
      <c r="W896" s="37"/>
      <c r="X896" t="s">
        <v>3547</v>
      </c>
      <c r="Y896" t="s">
        <v>169</v>
      </c>
      <c r="Z896" s="2">
        <v>6315</v>
      </c>
      <c r="AA896" s="43" t="s">
        <v>3558</v>
      </c>
    </row>
    <row r="897" spans="1:27" hidden="1" x14ac:dyDescent="0.25">
      <c r="A897">
        <v>12024</v>
      </c>
      <c r="B897" t="str">
        <f>_xlfn.CONCAT(bron[[#This Row],[personeelsnr]]," ",bron[[#This Row],[achternaam]]," ",bron[[#This Row],[voornaam]])</f>
        <v>12024 De Cooman Kurt</v>
      </c>
      <c r="C897" t="str">
        <f>VLOOKUP(bron[[#This Row],[personeelsnr]],'data hastus'!$A:$C,2,0)</f>
        <v>De Cooman</v>
      </c>
      <c r="D897" t="str">
        <f>VLOOKUP(bron[[#This Row],[personeelsnr]],'data hastus'!$A:$C,3,0)</f>
        <v>Kurt</v>
      </c>
      <c r="E897" s="2" t="str">
        <f>VLOOKUP(bron[[#This Row],[personeelsnr]],'data hastus'!A:K,11,FALSE)</f>
        <v>Lucie Vande Velde</v>
      </c>
      <c r="G897" s="39"/>
      <c r="H897" s="39"/>
      <c r="I897" s="39"/>
      <c r="S897" s="36">
        <f>SUM(bron[[#This Row],[Januari]:[December]])</f>
        <v>0</v>
      </c>
      <c r="T897" s="41">
        <v>45938</v>
      </c>
      <c r="U897" s="5" t="s">
        <v>3707</v>
      </c>
      <c r="V897" s="37"/>
      <c r="W897" s="37"/>
      <c r="X897" t="s">
        <v>3513</v>
      </c>
      <c r="Y897" t="s">
        <v>3708</v>
      </c>
      <c r="Z897" s="2">
        <v>5328</v>
      </c>
      <c r="AA897" s="43" t="s">
        <v>3558</v>
      </c>
    </row>
    <row r="898" spans="1:27" x14ac:dyDescent="0.25">
      <c r="A898">
        <v>41520</v>
      </c>
      <c r="B898" t="str">
        <f>_xlfn.CONCAT(bron[[#This Row],[personeelsnr]]," ",bron[[#This Row],[achternaam]]," ",bron[[#This Row],[voornaam]])</f>
        <v>41520 Smets Avery</v>
      </c>
      <c r="C898" t="str">
        <f>VLOOKUP(bron[[#This Row],[personeelsnr]],'data hastus'!$A:$C,2,0)</f>
        <v>Smets</v>
      </c>
      <c r="D898" t="str">
        <f>VLOOKUP(bron[[#This Row],[personeelsnr]],'data hastus'!$A:$C,3,0)</f>
        <v>Avery</v>
      </c>
      <c r="E898" s="2" t="str">
        <f>VLOOKUP(bron[[#This Row],[personeelsnr]],'data hastus'!A:K,11,FALSE)</f>
        <v>Christoff Rotty</v>
      </c>
      <c r="G898" s="39"/>
      <c r="H898" s="39"/>
      <c r="I898" s="39"/>
      <c r="S898" s="36">
        <f>SUM(bron[[#This Row],[Januari]:[December]])</f>
        <v>0</v>
      </c>
      <c r="T898" s="41">
        <v>45934</v>
      </c>
      <c r="U898" s="5" t="s">
        <v>3709</v>
      </c>
      <c r="V898" s="37"/>
      <c r="W898" s="37"/>
      <c r="X898" t="s">
        <v>3513</v>
      </c>
      <c r="Y898" t="s">
        <v>40</v>
      </c>
      <c r="Z898" s="2">
        <v>2196</v>
      </c>
      <c r="AA898" s="43" t="s">
        <v>3558</v>
      </c>
    </row>
    <row r="899" spans="1:27" x14ac:dyDescent="0.25">
      <c r="A899">
        <v>41482</v>
      </c>
      <c r="B899" t="str">
        <f>_xlfn.CONCAT(bron[[#This Row],[personeelsnr]]," ",bron[[#This Row],[achternaam]]," ",bron[[#This Row],[voornaam]])</f>
        <v>41482 Özdemir Osman</v>
      </c>
      <c r="C899" t="str">
        <f>VLOOKUP(bron[[#This Row],[personeelsnr]],'data hastus'!$A:$C,2,0)</f>
        <v>Özdemir</v>
      </c>
      <c r="D899" t="str">
        <f>VLOOKUP(bron[[#This Row],[personeelsnr]],'data hastus'!$A:$C,3,0)</f>
        <v>Osman</v>
      </c>
      <c r="E899" s="2" t="str">
        <f>VLOOKUP(bron[[#This Row],[personeelsnr]],'data hastus'!A:K,11,FALSE)</f>
        <v>Bart Van Der Beken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24" t="s">
        <v>3710</v>
      </c>
      <c r="V899" s="37"/>
      <c r="W899" s="37"/>
      <c r="X899" t="s">
        <v>3513</v>
      </c>
      <c r="Y899" t="s">
        <v>240</v>
      </c>
      <c r="Z899" s="2">
        <v>2189</v>
      </c>
      <c r="AA899" s="43" t="s">
        <v>3558</v>
      </c>
    </row>
    <row r="900" spans="1:27" x14ac:dyDescent="0.25">
      <c r="A900">
        <v>39856</v>
      </c>
      <c r="B900" t="str">
        <f>_xlfn.CONCAT(bron[[#This Row],[personeelsnr]]," ",bron[[#This Row],[achternaam]]," ",bron[[#This Row],[voornaam]])</f>
        <v>39856 Curukcu Bayram</v>
      </c>
      <c r="C900" t="str">
        <f>VLOOKUP(bron[[#This Row],[personeelsnr]],'data hastus'!$A:$C,2,0)</f>
        <v>Curukcu</v>
      </c>
      <c r="D900" t="str">
        <f>VLOOKUP(bron[[#This Row],[personeelsnr]],'data hastus'!$A:$C,3,0)</f>
        <v>Bayram</v>
      </c>
      <c r="E900" s="2" t="str">
        <f>VLOOKUP(bron[[#This Row],[personeelsnr]],'data hastus'!A:K,11,FALSE)</f>
        <v>Kenneth De Rick</v>
      </c>
      <c r="G900" s="39"/>
      <c r="H900" s="39"/>
      <c r="I900" s="39"/>
      <c r="S900" s="36">
        <f>SUM(bron[[#This Row],[Januari]:[December]])</f>
        <v>0</v>
      </c>
      <c r="T900" s="41">
        <v>45936</v>
      </c>
      <c r="U900" s="5" t="s">
        <v>3711</v>
      </c>
      <c r="V900" s="37"/>
      <c r="W900" s="37"/>
      <c r="X900" t="s">
        <v>3513</v>
      </c>
      <c r="Y900" t="s">
        <v>25</v>
      </c>
      <c r="Z900" s="2">
        <v>5052</v>
      </c>
      <c r="AA900" s="43" t="s">
        <v>3558</v>
      </c>
    </row>
    <row r="901" spans="1:27" x14ac:dyDescent="0.25">
      <c r="A901">
        <v>35430</v>
      </c>
      <c r="B901" t="str">
        <f>_xlfn.CONCAT(bron[[#This Row],[personeelsnr]]," ",bron[[#This Row],[achternaam]]," ",bron[[#This Row],[voornaam]])</f>
        <v>35430 Vlaminck Dirk</v>
      </c>
      <c r="C901" t="str">
        <f>VLOOKUP(bron[[#This Row],[personeelsnr]],'data hastus'!$A:$C,2,0)</f>
        <v>Vlaminck</v>
      </c>
      <c r="D901" t="str">
        <f>VLOOKUP(bron[[#This Row],[personeelsnr]],'data hastus'!$A:$C,3,0)</f>
        <v>Dirk</v>
      </c>
      <c r="E901" s="2" t="str">
        <f>VLOOKUP(bron[[#This Row],[personeelsnr]],'data hastus'!A:K,11,FALSE)</f>
        <v>Els Vanhoe</v>
      </c>
      <c r="G901" s="39"/>
      <c r="H901" s="39"/>
      <c r="I901" s="39"/>
      <c r="S901" s="36">
        <f>SUM(bron[[#This Row],[Januari]:[December]])</f>
        <v>0</v>
      </c>
      <c r="T901" s="41">
        <v>45941</v>
      </c>
      <c r="U901" s="5" t="s">
        <v>3712</v>
      </c>
      <c r="V901" s="37"/>
      <c r="W901" s="37"/>
      <c r="X901" t="s">
        <v>3513</v>
      </c>
      <c r="Y901" t="s">
        <v>3658</v>
      </c>
      <c r="Z901" s="2">
        <v>5237</v>
      </c>
      <c r="AA901" s="43" t="s">
        <v>3631</v>
      </c>
    </row>
    <row r="902" spans="1:27" x14ac:dyDescent="0.25">
      <c r="A902">
        <v>41871</v>
      </c>
      <c r="B902" t="str">
        <f>_xlfn.CONCAT(bron[[#This Row],[personeelsnr]]," ",bron[[#This Row],[achternaam]]," ",bron[[#This Row],[voornaam]])</f>
        <v>41871 Karanfil Ibrahim</v>
      </c>
      <c r="C902" t="str">
        <f>VLOOKUP(bron[[#This Row],[personeelsnr]],'data hastus'!$A:$C,2,0)</f>
        <v>Karanfil</v>
      </c>
      <c r="D902" t="str">
        <f>VLOOKUP(bron[[#This Row],[personeelsnr]],'data hastus'!$A:$C,3,0)</f>
        <v>Ibrahim</v>
      </c>
      <c r="E902" s="2" t="str">
        <f>VLOOKUP(bron[[#This Row],[personeelsnr]],'data hastus'!A:K,11,FALSE)</f>
        <v>Dominique De Clercq</v>
      </c>
      <c r="G902" s="39"/>
      <c r="H902" s="39"/>
      <c r="I902" s="39"/>
      <c r="S902" s="36">
        <f>SUM(bron[[#This Row],[Januari]:[December]])</f>
        <v>0</v>
      </c>
      <c r="T902" s="41">
        <v>45936</v>
      </c>
      <c r="U902" s="5" t="s">
        <v>3713</v>
      </c>
      <c r="V902" s="37"/>
      <c r="W902" s="37"/>
      <c r="X902" t="s">
        <v>3512</v>
      </c>
      <c r="Y902" t="s">
        <v>46</v>
      </c>
      <c r="Z902" s="2">
        <v>5487</v>
      </c>
      <c r="AA902" s="43" t="s">
        <v>3558</v>
      </c>
    </row>
    <row r="903" spans="1:27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1:27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1:27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1:27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1:27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1:27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1:27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1:27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91" r:id="rId818" display="../../../../../../:b:/r/teams/CTM-OTGentStad/Shared Documents/General/EAF/CSI(nieuwe sharepoint) 2025/10. Oktober/EAF 5265 Gent 30102025.pdf?csf=1&amp;web=1&amp;e=NaWAmZ" xr:uid="{6175BD97-45D3-4C4B-89F5-1EBC00B4F100}"/>
    <hyperlink ref="U899" r:id="rId819" xr:uid="{7FC56684-76EF-413B-A479-630E352B6909}"/>
  </hyperlinks>
  <pageMargins left="0.7" right="0.7" top="0.75" bottom="0.75" header="0.3" footer="0.3"/>
  <pageSetup paperSize="9" orientation="portrait" r:id="rId820"/>
  <drawing r:id="rId821"/>
  <tableParts count="1">
    <tablePart r:id="rId82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2025-10-13T07:29:19Z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