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90" documentId="13_ncr:1_{10FCACA5-8197-478D-90D3-5F83063FB753}" xr6:coauthVersionLast="47" xr6:coauthVersionMax="47" xr10:uidLastSave="{5610C973-772B-4000-8E82-E1A31D990E4F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8" i="1"/>
  <c r="B968" i="1" s="1"/>
  <c r="D968" i="1"/>
  <c r="E968" i="1"/>
  <c r="S968" i="1"/>
  <c r="C967" i="1"/>
  <c r="D967" i="1"/>
  <c r="E967" i="1"/>
  <c r="S967" i="1"/>
  <c r="C966" i="1"/>
  <c r="B966" i="1" s="1"/>
  <c r="D966" i="1"/>
  <c r="E966" i="1"/>
  <c r="S966" i="1"/>
  <c r="C965" i="1"/>
  <c r="D965" i="1"/>
  <c r="E965" i="1"/>
  <c r="S965" i="1"/>
  <c r="C964" i="1"/>
  <c r="B964" i="1" s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1" i="1" l="1"/>
  <c r="B963" i="1"/>
  <c r="B965" i="1"/>
  <c r="B967" i="1"/>
  <c r="B970" i="1"/>
  <c r="B969" i="1"/>
  <c r="B962" i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<sst xmlns="http://schemas.openxmlformats.org/spreadsheetml/2006/main" count="8928" uniqueCount="3818">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</sst>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49" activePane="bottomLeft" state="frozen"/>
      <selection activeCell="F1" sqref="F1"/>
      <selection pane="bottomLeft" activeCell="U971" sqref="U97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x14ac:dyDescent="0.25">
      <c r="A967">
        <v>36021</v>
      </c>
      <c r="B967" t="str">
        <f>_xlfn.CONCAT(bron[[#This Row],[personeelsnr]]," ",bron[[#This Row],[achternaam]]," ",bron[[#This Row],[voornaam]])</f>
        <v>36021 Boelaert Frederik</v>
      </c>
      <c r="C967" t="str">
        <f>VLOOKUP(bron[[#This Row],[personeelsnr]],'data hastus'!$A:$C,2,0)</f>
        <v>Boelaert</v>
      </c>
      <c r="D967" t="str">
        <f>VLOOKUP(bron[[#This Row],[personeelsnr]],'data hastus'!$A:$C,3,0)</f>
        <v>Frederik</v>
      </c>
      <c r="E967" s="2" t="str">
        <f>VLOOKUP(bron[[#This Row],[personeelsnr]],'data hastus'!A:K,11,FALSE)</f>
        <v>Lucie Vande Velde</v>
      </c>
      <c r="F967" s="10"/>
      <c r="G967" s="39"/>
      <c r="H967" s="39"/>
      <c r="I967" s="39"/>
      <c r="S967" s="44">
        <f>SUM(bron[[#This Row],[Januari]:[December]])</f>
        <v>0</v>
      </c>
      <c r="T967" s="41">
        <v>45968</v>
      </c>
      <c r="U967" s="5" t="s">
        <v>3814</v>
      </c>
      <c r="V967" s="37"/>
      <c r="W967" s="37"/>
      <c r="X967" t="s">
        <v>3513</v>
      </c>
      <c r="Y967" t="s">
        <v>663</v>
      </c>
      <c r="Z967" s="2">
        <v>5042</v>
      </c>
      <c r="AA967" s="43" t="s">
        <v>3558</v>
      </c>
    </row>
    <row r="968" spans="1:27" x14ac:dyDescent="0.25">
      <c r="A968">
        <v>39901</v>
      </c>
      <c r="B968" t="str">
        <f>_xlfn.CONCAT(bron[[#This Row],[personeelsnr]]," ",bron[[#This Row],[achternaam]]," ",bron[[#This Row],[voornaam]])</f>
        <v>39901 Basha Izmir</v>
      </c>
      <c r="C968" t="str">
        <f>VLOOKUP(bron[[#This Row],[personeelsnr]],'data hastus'!$A:$C,2,0)</f>
        <v>Basha</v>
      </c>
      <c r="D968" t="str">
        <f>VLOOKUP(bron[[#This Row],[personeelsnr]],'data hastus'!$A:$C,3,0)</f>
        <v>Izmir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45975</v>
      </c>
      <c r="U968" s="8" t="s">
        <v>3815</v>
      </c>
      <c r="V968" s="37"/>
      <c r="W968" s="37"/>
      <c r="X968" t="s">
        <v>3513</v>
      </c>
      <c r="Y968" t="s">
        <v>669</v>
      </c>
      <c r="Z968" s="2">
        <v>5043</v>
      </c>
      <c r="AA968" s="43" t="s">
        <v>3559</v>
      </c>
    </row>
    <row r="969" spans="1:27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39"/>
      <c r="H969" s="39"/>
      <c r="I969" s="39"/>
      <c r="S969" s="44">
        <f>SUM(bron[[#This Row],[Januari]:[December]])</f>
        <v>0</v>
      </c>
      <c r="T969" s="41">
        <v>45979</v>
      </c>
      <c r="U969" s="5" t="s">
        <v>3816</v>
      </c>
      <c r="V969" s="37"/>
      <c r="W969" s="37"/>
      <c r="X969" t="s">
        <v>3512</v>
      </c>
      <c r="Y969" t="s">
        <v>218</v>
      </c>
      <c r="Z969" s="2">
        <v>5936</v>
      </c>
      <c r="AA969" s="43" t="s">
        <v>3558</v>
      </c>
    </row>
    <row r="970" spans="1:27" x14ac:dyDescent="0.25">
      <c r="A970">
        <v>39558</v>
      </c>
      <c r="B970" t="str">
        <f>_xlfn.CONCAT(bron[[#This Row],[personeelsnr]]," ",bron[[#This Row],[achternaam]]," ",bron[[#This Row],[voornaam]])</f>
        <v>39558 De Groote Cedric</v>
      </c>
      <c r="C970" t="str">
        <f>VLOOKUP(bron[[#This Row],[personeelsnr]],'data hastus'!$A:$C,2,0)</f>
        <v>De Groote</v>
      </c>
      <c r="D970" t="str">
        <f>VLOOKUP(bron[[#This Row],[personeelsnr]],'data hastus'!$A:$C,3,0)</f>
        <v>Cedric</v>
      </c>
      <c r="E970" s="2" t="str">
        <f>VLOOKUP(bron[[#This Row],[personeelsnr]],'data hastus'!A:K,11,FALSE)</f>
        <v>Steven Storm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3817</v>
      </c>
      <c r="V970" s="37"/>
      <c r="W970" s="37"/>
      <c r="X970" t="s">
        <v>3513</v>
      </c>
      <c r="Y970" t="s">
        <v>285</v>
      </c>
      <c r="Z970" s="2">
        <v>5047</v>
      </c>
      <c r="AA970" s="43" t="s">
        <v>3558</v>
      </c>
    </row>
    <row r="971" spans="1:27" x14ac:dyDescent="0.25">
      <c r="A971">
        <v>38807</v>
      </c>
      <c r="B971" t="str">
        <f>_xlfn.CONCAT(bron[[#This Row],[personeelsnr]]," ",bron[[#This Row],[achternaam]]," ",bron[[#This Row],[voornaam]])</f>
        <v>38807 Dossche Caroline</v>
      </c>
      <c r="C971" t="str">
        <f>VLOOKUP(bron[[#This Row],[personeelsnr]],'data hastus'!$A:$C,2,0)</f>
        <v>Dossche</v>
      </c>
      <c r="D971" t="str">
        <f>VLOOKUP(bron[[#This Row],[personeelsnr]],'data hastus'!$A:$C,3,0)</f>
        <v>Caroline</v>
      </c>
      <c r="E971" s="2" t="str">
        <f>VLOOKUP(bron[[#This Row],[personeelsnr]],'data hastus'!A:K,11,FALSE)</f>
        <v>Christoff Rotty</v>
      </c>
      <c r="F971" s="10"/>
      <c r="G971" s="39"/>
      <c r="H971" s="39"/>
      <c r="I971" s="39"/>
      <c r="S971" s="44">
        <f>SUM(bron[[#This Row],[Januari]:[December]])</f>
        <v>0</v>
      </c>
      <c r="T971" s="41">
        <v>45976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2025-11-24T11:05:31Z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