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41" documentId="13_ncr:1_{10FCACA5-8197-478D-90D3-5F83063FB753}" xr6:coauthVersionLast="47" xr6:coauthVersionMax="47" xr10:uidLastSave="{E92CCABD-0B8A-4241-92E0-B287C0FD0400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B939" i="1" s="1"/>
  <c r="D939" i="1"/>
  <c r="E939" i="1"/>
  <c r="S939" i="1"/>
  <c r="C938" i="1"/>
  <c r="B938" i="1" s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5" i="1" l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<sst xmlns="http://schemas.openxmlformats.org/spreadsheetml/2006/main" count="8754" uniqueCount="3754">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</sst>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  <xf numFmtId="0" fontId="0" fillId="8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9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29</v>
          </cell>
        </row>
        <row r="3">
          <cell r="A3">
            <v>14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94">
      <pivotArea dataOnly="0" labelOnly="1" fieldPosition="0">
        <references count="1">
          <reference field="1" count="1">
            <x v="511"/>
          </reference>
        </references>
      </pivotArea>
    </format>
    <format dxfId="93">
      <pivotArea dataOnly="0" labelOnly="1" fieldPosition="0">
        <references count="1">
          <reference field="1" count="1">
            <x v="473"/>
          </reference>
        </references>
      </pivotArea>
    </format>
    <format dxfId="92">
      <pivotArea dataOnly="0" labelOnly="1" fieldPosition="0">
        <references count="1">
          <reference field="1" count="1">
            <x v="497"/>
          </reference>
        </references>
      </pivotArea>
    </format>
    <format dxfId="91">
      <pivotArea dataOnly="0" labelOnly="1" fieldPosition="0">
        <references count="1">
          <reference field="1" count="1">
            <x v="512"/>
          </reference>
        </references>
      </pivotArea>
    </format>
    <format dxfId="90">
      <pivotArea dataOnly="0" labelOnly="1" fieldPosition="0">
        <references count="1">
          <reference field="1" count="1">
            <x v="504"/>
          </reference>
        </references>
      </pivotArea>
    </format>
    <format dxfId="89">
      <pivotArea dataOnly="0" labelOnly="1" fieldPosition="0">
        <references count="1">
          <reference field="1" count="1">
            <x v="90"/>
          </reference>
        </references>
      </pivotArea>
    </format>
    <format dxfId="88">
      <pivotArea dataOnly="0" labelOnly="1" fieldPosition="0">
        <references count="1">
          <reference field="1" count="1">
            <x v="280"/>
          </reference>
        </references>
      </pivotArea>
    </format>
    <format dxfId="87">
      <pivotArea dataOnly="0" labelOnly="1" fieldPosition="0">
        <references count="1">
          <reference field="1" count="1">
            <x v="514"/>
          </reference>
        </references>
      </pivotArea>
    </format>
    <format dxfId="86">
      <pivotArea dataOnly="0" labelOnly="1" fieldPosition="0">
        <references count="1">
          <reference field="1" count="1">
            <x v="478"/>
          </reference>
        </references>
      </pivotArea>
    </format>
    <format dxfId="85">
      <pivotArea dataOnly="0" labelOnly="1" fieldPosition="0">
        <references count="1">
          <reference field="1" count="1">
            <x v="510"/>
          </reference>
        </references>
      </pivotArea>
    </format>
    <format dxfId="84">
      <pivotArea dataOnly="0" labelOnly="1" fieldPosition="0">
        <references count="1">
          <reference field="1" count="1">
            <x v="481"/>
          </reference>
        </references>
      </pivotArea>
    </format>
    <format dxfId="83">
      <pivotArea dataOnly="0" labelOnly="1" fieldPosition="0">
        <references count="1">
          <reference field="1" count="1">
            <x v="435"/>
          </reference>
        </references>
      </pivotArea>
    </format>
    <format dxfId="82">
      <pivotArea dataOnly="0" labelOnly="1" fieldPosition="0">
        <references count="1">
          <reference field="1" count="1">
            <x v="112"/>
          </reference>
        </references>
      </pivotArea>
    </format>
    <format dxfId="81">
      <pivotArea dataOnly="0" labelOnly="1" fieldPosition="0">
        <references count="1">
          <reference field="1" count="1">
            <x v="157"/>
          </reference>
        </references>
      </pivotArea>
    </format>
    <format dxfId="80">
      <pivotArea dataOnly="0" labelOnly="1" fieldPosition="0">
        <references count="1">
          <reference field="1" count="1">
            <x v="490"/>
          </reference>
        </references>
      </pivotArea>
    </format>
    <format dxfId="79">
      <pivotArea dataOnly="0" labelOnly="1" fieldPosition="0">
        <references count="1">
          <reference field="1" count="1">
            <x v="506"/>
          </reference>
        </references>
      </pivotArea>
    </format>
    <format dxfId="78">
      <pivotArea dataOnly="0" labelOnly="1" fieldPosition="0">
        <references count="1">
          <reference field="1" count="1">
            <x v="520"/>
          </reference>
        </references>
      </pivotArea>
    </format>
    <format dxfId="77">
      <pivotArea dataOnly="0" labelOnly="1" fieldPosition="0">
        <references count="1">
          <reference field="1" count="1">
            <x v="250"/>
          </reference>
        </references>
      </pivotArea>
    </format>
    <format dxfId="76">
      <pivotArea dataOnly="0" labelOnly="1" fieldPosition="0">
        <references count="1">
          <reference field="1" count="1">
            <x v="432"/>
          </reference>
        </references>
      </pivotArea>
    </format>
    <format dxfId="75">
      <pivotArea dataOnly="0" labelOnly="1" fieldPosition="0">
        <references count="1">
          <reference field="1" count="1">
            <x v="440"/>
          </reference>
        </references>
      </pivotArea>
    </format>
    <format dxfId="7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73">
      <pivotArea dataOnly="0" labelOnly="1" fieldPosition="0">
        <references count="1">
          <reference field="1" count="1">
            <x v="348"/>
          </reference>
        </references>
      </pivotArea>
    </format>
    <format dxfId="72">
      <pivotArea dataOnly="0" labelOnly="1" fieldPosition="0">
        <references count="1">
          <reference field="1" count="1">
            <x v="355"/>
          </reference>
        </references>
      </pivotArea>
    </format>
    <format dxfId="71">
      <pivotArea dataOnly="0" labelOnly="1" fieldPosition="0">
        <references count="1">
          <reference field="1" count="1">
            <x v="498"/>
          </reference>
        </references>
      </pivotArea>
    </format>
    <format dxfId="70">
      <pivotArea dataOnly="0" labelOnly="1" fieldPosition="0">
        <references count="1">
          <reference field="1" count="1">
            <x v="508"/>
          </reference>
        </references>
      </pivotArea>
    </format>
    <format dxfId="69">
      <pivotArea dataOnly="0" labelOnly="1" fieldPosition="0">
        <references count="1">
          <reference field="1" count="1">
            <x v="397"/>
          </reference>
        </references>
      </pivotArea>
    </format>
    <format dxfId="68">
      <pivotArea dataOnly="0" labelOnly="1" fieldPosition="0">
        <references count="1">
          <reference field="1" count="1">
            <x v="513"/>
          </reference>
        </references>
      </pivotArea>
    </format>
    <format dxfId="67">
      <pivotArea dataOnly="0" labelOnly="1" fieldPosition="0">
        <references count="1">
          <reference field="1" count="1">
            <x v="412"/>
          </reference>
        </references>
      </pivotArea>
    </format>
    <format dxfId="66">
      <pivotArea dataOnly="0" labelOnly="1" fieldPosition="0">
        <references count="1">
          <reference field="1" count="1">
            <x v="507"/>
          </reference>
        </references>
      </pivotArea>
    </format>
    <format dxfId="65">
      <pivotArea dataOnly="0" labelOnly="1" fieldPosition="0">
        <references count="1">
          <reference field="1" count="1">
            <x v="507"/>
          </reference>
        </references>
      </pivotArea>
    </format>
    <format dxfId="64">
      <pivotArea dataOnly="0" labelOnly="1" fieldPosition="0">
        <references count="1">
          <reference field="1" count="1">
            <x v="342"/>
          </reference>
        </references>
      </pivotArea>
    </format>
    <format dxfId="63">
      <pivotArea dataOnly="0" labelOnly="1" fieldPosition="0">
        <references count="1">
          <reference field="1" count="1">
            <x v="501"/>
          </reference>
        </references>
      </pivotArea>
    </format>
    <format dxfId="62">
      <pivotArea dataOnly="0" labelOnly="1" fieldPosition="0">
        <references count="1">
          <reference field="1" count="1">
            <x v="351"/>
          </reference>
        </references>
      </pivotArea>
    </format>
    <format dxfId="61">
      <pivotArea dataOnly="0" labelOnly="1" fieldPosition="0">
        <references count="1">
          <reference field="1" count="1">
            <x v="156"/>
          </reference>
        </references>
      </pivotArea>
    </format>
    <format dxfId="60">
      <pivotArea dataOnly="0" labelOnly="1" fieldPosition="0">
        <references count="1">
          <reference field="1" count="1">
            <x v="358"/>
          </reference>
        </references>
      </pivotArea>
    </format>
    <format dxfId="5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58">
      <pivotArea dataOnly="0" labelOnly="1" fieldPosition="0">
        <references count="1">
          <reference field="1" count="1">
            <x v="438"/>
          </reference>
        </references>
      </pivotArea>
    </format>
    <format dxfId="5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56">
      <pivotArea dataOnly="0" labelOnly="1" fieldPosition="0">
        <references count="1">
          <reference field="1" count="1">
            <x v="309"/>
          </reference>
        </references>
      </pivotArea>
    </format>
    <format dxfId="5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54">
      <pivotArea dataOnly="0" labelOnly="1" fieldPosition="0">
        <references count="1">
          <reference field="1" count="1">
            <x v="374"/>
          </reference>
        </references>
      </pivotArea>
    </format>
    <format dxfId="5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52">
      <pivotArea dataOnly="0" labelOnly="1" fieldPosition="0">
        <references count="1">
          <reference field="1" count="1">
            <x v="407"/>
          </reference>
        </references>
      </pivotArea>
    </format>
    <format dxfId="5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9"/>
    <tableColumn id="5" xr3:uid="{DF37AD45-FC5C-478A-989D-9143E744CEEA}" name="voornaam" dataDxfId="48">
      <calculatedColumnFormula>VLOOKUP(Tabel2[[#This Row],[nr]],'data hastus'!A:C,3,FALSE)</calculatedColumnFormula>
    </tableColumn>
    <tableColumn id="6" xr3:uid="{4098FAFB-9B09-4A81-8B22-18CC90B5F979}" name="achternaam" dataDxfId="4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4" totalsRowShown="0" headerRowDxfId="43">
  <autoFilter ref="A1:AA94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4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1"/>
    <tableColumn id="11" xr3:uid="{97ECF1D5-48DC-4487-B3C2-17232CC8E19E}" name="Januari" dataDxfId="40"/>
    <tableColumn id="12" xr3:uid="{7B2FF520-A575-45C0-BB5A-19B87DDB4EA0}" name="Februari" dataDxfId="39"/>
    <tableColumn id="13" xr3:uid="{4E6C30D1-FB72-4AB2-900F-14A3D53F34DE}" name="Maart" dataDxfId="3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7">
      <calculatedColumnFormula>SUM(bron[[#This Row],[Januari]:[December]])</calculatedColumnFormula>
    </tableColumn>
    <tableColumn id="10" xr3:uid="{8D9646BD-38B6-4F4D-9859-B3933369346B}" name="Datum" dataDxfId="3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5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4"/>
  <sheetViews>
    <sheetView tabSelected="1" zoomScale="85" zoomScaleNormal="85" workbookViewId="0">
      <pane ySplit="1" topLeftCell="A909" activePane="bottomLeft" state="frozen"/>
      <selection activeCell="F1" sqref="F1"/>
      <selection pane="bottomLeft" activeCell="B921" sqref="B92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45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45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B936" t="e">
        <f>_xlfn.CONCAT(bron[[#This Row],[personeelsnr]]," ",bron[[#This Row],[achternaam]]," ",bron[[#This Row],[voornaam]])</f>
        <v>#N/A</v>
      </c>
      <c r="C936" t="e">
        <f>VLOOKUP(bron[[#This Row],[personeelsnr]],'data hastus'!$A:$C,2,0)</f>
        <v>#N/A</v>
      </c>
      <c r="D936" t="e">
        <f>VLOOKUP(bron[[#This Row],[personeelsnr]],'data hastus'!$A:$C,3,0)</f>
        <v>#N/A</v>
      </c>
      <c r="E936" s="2" t="e">
        <f>VLOOKUP(bron[[#This Row],[personeelsnr]],'data hastus'!A:K,11,FALSE)</f>
        <v>#N/A</v>
      </c>
      <c r="F936" s="10"/>
      <c r="G936" s="39"/>
      <c r="H936" s="39"/>
      <c r="I936" s="39"/>
      <c r="S936" s="45">
        <f>SUM(bron[[#This Row],[Januari]:[December]])</f>
        <v>0</v>
      </c>
      <c r="V936" s="37"/>
      <c r="W936" s="37"/>
    </row>
    <row r="937" spans="1:27" x14ac:dyDescent="0.25">
      <c r="B937" t="e">
        <f>_xlfn.CONCAT(bron[[#This Row],[personeelsnr]]," ",bron[[#This Row],[achternaam]]," ",bron[[#This Row],[voornaam]])</f>
        <v>#N/A</v>
      </c>
      <c r="C937" t="e">
        <f>VLOOKUP(bron[[#This Row],[personeelsnr]],'data hastus'!$A:$C,2,0)</f>
        <v>#N/A</v>
      </c>
      <c r="D937" t="e">
        <f>VLOOKUP(bron[[#This Row],[personeelsnr]],'data hastus'!$A:$C,3,0)</f>
        <v>#N/A</v>
      </c>
      <c r="E937" s="2" t="e">
        <f>VLOOKUP(bron[[#This Row],[personeelsnr]],'data hastus'!A:K,11,FALSE)</f>
        <v>#N/A</v>
      </c>
      <c r="F937" s="10"/>
      <c r="G937" s="39"/>
      <c r="H937" s="39"/>
      <c r="I937" s="39"/>
      <c r="S937" s="45">
        <f>SUM(bron[[#This Row],[Januari]:[December]])</f>
        <v>0</v>
      </c>
      <c r="V937" s="37"/>
      <c r="W937" s="37"/>
    </row>
    <row r="938" spans="1:27" x14ac:dyDescent="0.25">
      <c r="B938" t="e">
        <f>_xlfn.CONCAT(bron[[#This Row],[personeelsnr]]," ",bron[[#This Row],[achternaam]]," ",bron[[#This Row],[voornaam]])</f>
        <v>#N/A</v>
      </c>
      <c r="C938" t="e">
        <f>VLOOKUP(bron[[#This Row],[personeelsnr]],'data hastus'!$A:$C,2,0)</f>
        <v>#N/A</v>
      </c>
      <c r="D938" t="e">
        <f>VLOOKUP(bron[[#This Row],[personeelsnr]],'data hastus'!$A:$C,3,0)</f>
        <v>#N/A</v>
      </c>
      <c r="E938" s="2" t="e">
        <f>VLOOKUP(bron[[#This Row],[personeelsnr]],'data hastus'!A:K,11,FALSE)</f>
        <v>#N/A</v>
      </c>
      <c r="F938" s="10"/>
      <c r="G938" s="39"/>
      <c r="H938" s="39"/>
      <c r="I938" s="39"/>
      <c r="S938" s="45">
        <f>SUM(bron[[#This Row],[Januari]:[December]])</f>
        <v>0</v>
      </c>
      <c r="V938" s="37"/>
      <c r="W938" s="37"/>
    </row>
    <row r="939" spans="1:27" x14ac:dyDescent="0.25">
      <c r="B939" t="e">
        <f>_xlfn.CONCAT(bron[[#This Row],[personeelsnr]]," ",bron[[#This Row],[achternaam]]," ",bron[[#This Row],[voornaam]])</f>
        <v>#N/A</v>
      </c>
      <c r="C939" t="e">
        <f>VLOOKUP(bron[[#This Row],[personeelsnr]],'data hastus'!$A:$C,2,0)</f>
        <v>#N/A</v>
      </c>
      <c r="D939" t="e">
        <f>VLOOKUP(bron[[#This Row],[personeelsnr]],'data hastus'!$A:$C,3,0)</f>
        <v>#N/A</v>
      </c>
      <c r="E939" s="2" t="e">
        <f>VLOOKUP(bron[[#This Row],[personeelsnr]],'data hastus'!A:K,11,FALSE)</f>
        <v>#N/A</v>
      </c>
      <c r="F939" s="10"/>
      <c r="G939" s="39"/>
      <c r="H939" s="39"/>
      <c r="I939" s="39"/>
      <c r="S939" s="45">
        <f>SUM(bron[[#This Row],[Januari]:[December]])</f>
        <v>0</v>
      </c>
      <c r="V939" s="37"/>
      <c r="W939" s="37"/>
    </row>
    <row r="940" spans="1:27" x14ac:dyDescent="0.25">
      <c r="B940" t="e">
        <f>_xlfn.CONCAT(bron[[#This Row],[personeelsnr]]," ",bron[[#This Row],[achternaam]]," ",bron[[#This Row],[voornaam]])</f>
        <v>#N/A</v>
      </c>
      <c r="C940" t="e">
        <f>VLOOKUP(bron[[#This Row],[personeelsnr]],'data hastus'!$A:$C,2,0)</f>
        <v>#N/A</v>
      </c>
      <c r="D940" t="e">
        <f>VLOOKUP(bron[[#This Row],[personeelsnr]],'data hastus'!$A:$C,3,0)</f>
        <v>#N/A</v>
      </c>
      <c r="E940" s="2" t="e">
        <f>VLOOKUP(bron[[#This Row],[personeelsnr]],'data hastus'!A:K,11,FALSE)</f>
        <v>#N/A</v>
      </c>
      <c r="F940" s="10"/>
      <c r="G940" s="39"/>
      <c r="H940" s="39"/>
      <c r="I940" s="39"/>
      <c r="S940" s="45">
        <f>SUM(bron[[#This Row],[Januari]:[December]])</f>
        <v>0</v>
      </c>
      <c r="V940" s="37"/>
      <c r="W940" s="37"/>
    </row>
    <row r="941" spans="1:27" x14ac:dyDescent="0.25">
      <c r="B941" t="e">
        <f>_xlfn.CONCAT(bron[[#This Row],[personeelsnr]]," ",bron[[#This Row],[achternaam]]," ",bron[[#This Row],[voornaam]])</f>
        <v>#N/A</v>
      </c>
      <c r="C941" t="e">
        <f>VLOOKUP(bron[[#This Row],[personeelsnr]],'data hastus'!$A:$C,2,0)</f>
        <v>#N/A</v>
      </c>
      <c r="D941" t="e">
        <f>VLOOKUP(bron[[#This Row],[personeelsnr]],'data hastus'!$A:$C,3,0)</f>
        <v>#N/A</v>
      </c>
      <c r="E941" s="2" t="e">
        <f>VLOOKUP(bron[[#This Row],[personeelsnr]],'data hastus'!A:K,11,FALSE)</f>
        <v>#N/A</v>
      </c>
      <c r="F941" s="10"/>
      <c r="G941" s="39"/>
      <c r="H941" s="39"/>
      <c r="I941" s="39"/>
      <c r="S941" s="45">
        <f>SUM(bron[[#This Row],[Januari]:[December]])</f>
        <v>0</v>
      </c>
      <c r="V941" s="37"/>
      <c r="W941" s="37"/>
    </row>
    <row r="942" spans="1:27" x14ac:dyDescent="0.25">
      <c r="B942" t="e">
        <f>_xlfn.CONCAT(bron[[#This Row],[personeelsnr]]," ",bron[[#This Row],[achternaam]]," ",bron[[#This Row],[voornaam]])</f>
        <v>#N/A</v>
      </c>
      <c r="C942" t="e">
        <f>VLOOKUP(bron[[#This Row],[personeelsnr]],'data hastus'!$A:$C,2,0)</f>
        <v>#N/A</v>
      </c>
      <c r="D942" t="e">
        <f>VLOOKUP(bron[[#This Row],[personeelsnr]],'data hastus'!$A:$C,3,0)</f>
        <v>#N/A</v>
      </c>
      <c r="E942" s="2" t="e">
        <f>VLOOKUP(bron[[#This Row],[personeelsnr]],'data hastus'!A:K,11,FALSE)</f>
        <v>#N/A</v>
      </c>
      <c r="F942" s="10"/>
      <c r="G942" s="39"/>
      <c r="H942" s="39"/>
      <c r="I942" s="39"/>
      <c r="S942" s="45">
        <f>SUM(bron[[#This Row],[Januari]:[December]])</f>
        <v>0</v>
      </c>
      <c r="V942" s="37"/>
      <c r="W942" s="37"/>
    </row>
    <row r="943" spans="1:27" x14ac:dyDescent="0.25">
      <c r="B943" t="e">
        <f>_xlfn.CONCAT(bron[[#This Row],[personeelsnr]]," ",bron[[#This Row],[achternaam]]," ",bron[[#This Row],[voornaam]])</f>
        <v>#N/A</v>
      </c>
      <c r="C943" t="e">
        <f>VLOOKUP(bron[[#This Row],[personeelsnr]],'data hastus'!$A:$C,2,0)</f>
        <v>#N/A</v>
      </c>
      <c r="D943" t="e">
        <f>VLOOKUP(bron[[#This Row],[personeelsnr]],'data hastus'!$A:$C,3,0)</f>
        <v>#N/A</v>
      </c>
      <c r="E943" s="2" t="e">
        <f>VLOOKUP(bron[[#This Row],[personeelsnr]],'data hastus'!A:K,11,FALSE)</f>
        <v>#N/A</v>
      </c>
      <c r="F943" s="10"/>
      <c r="G943" s="39"/>
      <c r="H943" s="39"/>
      <c r="I943" s="39"/>
      <c r="S943" s="45">
        <f>SUM(bron[[#This Row],[Januari]:[December]])</f>
        <v>0</v>
      </c>
      <c r="V943" s="37"/>
      <c r="W943" s="37"/>
    </row>
    <row r="944" spans="1:27" x14ac:dyDescent="0.25">
      <c r="B944" t="e">
        <f>_xlfn.CONCAT(bron[[#This Row],[personeelsnr]]," ",bron[[#This Row],[achternaam]]," ",bron[[#This Row],[voornaam]])</f>
        <v>#N/A</v>
      </c>
      <c r="C944" t="e">
        <f>VLOOKUP(bron[[#This Row],[personeelsnr]],'data hastus'!$A:$C,2,0)</f>
        <v>#N/A</v>
      </c>
      <c r="D944" t="e">
        <f>VLOOKUP(bron[[#This Row],[personeelsnr]],'data hastus'!$A:$C,3,0)</f>
        <v>#N/A</v>
      </c>
      <c r="E944" s="2" t="e">
        <f>VLOOKUP(bron[[#This Row],[personeelsnr]],'data hastus'!A:K,11,FALSE)</f>
        <v>#N/A</v>
      </c>
      <c r="F944" s="10"/>
      <c r="G944" s="39"/>
      <c r="H944" s="39"/>
      <c r="I944" s="39"/>
      <c r="S944" s="45">
        <f>SUM(bron[[#This Row],[Januari]:[December]])</f>
        <v>0</v>
      </c>
      <c r="V944" s="37"/>
      <c r="W944" s="37"/>
    </row>
  </sheetData>
  <sheetProtection sort="0" autoFilter="0"/>
  <phoneticPr fontId="1" type="noConversion"/>
  <conditionalFormatting sqref="F2:F944">
    <cfRule type="cellIs" dxfId="46" priority="5" operator="equal">
      <formula>0</formula>
    </cfRule>
    <cfRule type="cellIs" dxfId="45" priority="7" operator="between">
      <formula>1</formula>
      <formula>4</formula>
    </cfRule>
    <cfRule type="cellIs" dxfId="4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5" priority="1" operator="equal">
      <formula>0</formula>
    </cfRule>
    <cfRule type="cellIs" dxfId="34" priority="2" operator="between">
      <formula>1</formula>
      <formula>4</formula>
    </cfRule>
    <cfRule type="cellIs" dxfId="3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2025-11-03T08:31:56Z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