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4" documentId="8_{21511603-A870-4D4C-809B-4C28D285AF8F}" xr6:coauthVersionLast="47" xr6:coauthVersionMax="47" xr10:uidLastSave="{A993D212-C15C-47ED-AEC4-18C832CAFAEB}"/>
  <bookViews>
    <workbookView xWindow="-120" yWindow="-12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<sst xmlns="http://schemas.openxmlformats.org/spreadsheetml/2006/main" count="8471" uniqueCount="3655">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</sst>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25</v>
          </cell>
        </row>
        <row r="3">
          <cell r="A3">
            <v>14</v>
          </cell>
          <cell r="B3" t="str">
            <v>Bart Van der Beken</v>
          </cell>
          <cell r="D3">
            <v>20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19</v>
          </cell>
        </row>
        <row r="6">
          <cell r="A6">
            <v>11</v>
          </cell>
          <cell r="B6" t="str">
            <v>Dominique De Clercq</v>
          </cell>
          <cell r="D6">
            <v>32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1" totalsRowShown="0">
  <autoFilter ref="A1:C41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table" Target="../tables/table3.xm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14</v>
      </c>
      <c r="J43" s="13" t="str">
        <f>'[1]Ingeplande per TC'!$B$3</f>
        <v>Bart Van der Beken</v>
      </c>
      <c r="K43" s="13"/>
      <c r="L43" s="25"/>
      <c r="M43" s="13">
        <f>'[1]Ingeplande per TC'!$D$3</f>
        <v>20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11</v>
      </c>
      <c r="J46" s="13" t="str">
        <f>'[1]Ingeplande per TC'!$B$6</f>
        <v>Dominique De Clercq</v>
      </c>
      <c r="K46" s="13"/>
      <c r="L46" s="25"/>
      <c r="M46" s="13">
        <f>'[1]Ingeplande per TC'!$D$6</f>
        <v>32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88</v>
      </c>
      <c r="J50" s="14" t="s">
        <v>109</v>
      </c>
      <c r="K50" s="14"/>
      <c r="L50" s="25"/>
      <c r="M50" s="14">
        <f>SUM(M42:M49)</f>
        <v>172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886" sqref="A88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3647</v>
      </c>
      <c r="V881" s="37"/>
      <c r="W881" s="37"/>
      <c r="X881" t="s">
        <v>3514</v>
      </c>
      <c r="Y881" t="s">
        <v>243</v>
      </c>
      <c r="Z881" s="2">
        <v>550822</v>
      </c>
      <c r="AA881" s="43" t="s">
        <v>3560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3648</v>
      </c>
      <c r="V882" s="37"/>
      <c r="W882" s="37"/>
      <c r="X882" t="s">
        <v>3549</v>
      </c>
      <c r="Y882" t="s">
        <v>625</v>
      </c>
      <c r="Z882" s="2">
        <v>6312</v>
      </c>
      <c r="AA882" s="43" t="s">
        <v>3560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3649</v>
      </c>
      <c r="V883" s="37"/>
      <c r="W883" s="37"/>
      <c r="X883" t="s">
        <v>3515</v>
      </c>
      <c r="Y883" t="s">
        <v>3650</v>
      </c>
      <c r="Z883" s="2">
        <v>2191</v>
      </c>
      <c r="AA883" s="43" t="s">
        <v>3560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3651</v>
      </c>
      <c r="V884" s="37"/>
      <c r="W884" s="37"/>
      <c r="X884" t="s">
        <v>3514</v>
      </c>
      <c r="Y884" t="s">
        <v>46</v>
      </c>
      <c r="Z884" s="2">
        <v>5486</v>
      </c>
      <c r="AA884" s="43" t="s">
        <v>3560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3654</v>
      </c>
      <c r="V885" s="37"/>
      <c r="W885" s="37"/>
      <c r="X885" t="s">
        <v>3515</v>
      </c>
      <c r="Y885" t="s">
        <v>51</v>
      </c>
      <c r="Z885" s="2">
        <v>5048</v>
      </c>
      <c r="AA885" s="43" t="s">
        <v>3560</v>
      </c>
    </row>
    <row r="886" spans="1:27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1:27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1:27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1:27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1:27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1:27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1:27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1:27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1:27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1:27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1:27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1"/>
  <sheetViews>
    <sheetView topLeftCell="A17" workbookViewId="0">
      <selection activeCell="C47" sqref="C4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  <row r="41" spans="1:3" x14ac:dyDescent="0.25">
      <c r="A41">
        <v>10865</v>
      </c>
      <c r="B41" t="s">
        <v>3652</v>
      </c>
      <c r="C41" s="8" t="s">
        <v>3653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</hyperlinks>
  <pageMargins left="0.7" right="0.7" top="0.75" bottom="0.75" header="0.3" footer="0.3"/>
  <tableParts count="1">
    <tablePart r:id="rId40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2025-10-06T07:33:46Z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