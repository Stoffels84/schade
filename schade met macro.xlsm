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86" documentId="13_ncr:1_{10FCACA5-8197-478D-90D3-5F83063FB753}" xr6:coauthVersionLast="47" xr6:coauthVersionMax="47" xr10:uidLastSave="{653F0F91-7F7D-494A-A7AB-37034A304799}"/>
  <bookViews>
    <workbookView xWindow="-108" yWindow="-108" windowWidth="30936" windowHeight="18816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<sst xmlns="http://schemas.openxmlformats.org/spreadsheetml/2006/main" count="10661" uniqueCount="3887">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</sst>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</cellXfs>
  <cellStyles count="2">
    <cellStyle name="Hyperlink" xfId="1" builtinId="8"/>
    <cellStyle name="Standaard" xfId="0" builtinId="0"/>
  </cellStyles>
  <dxfs count="43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1.7428571428571429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0.93333333333333335</c:v>
                </c:pt>
                <c:pt idx="4">
                  <c:v>1.5217391304347827</c:v>
                </c:pt>
                <c:pt idx="5">
                  <c:v>0.91666666666666663</c:v>
                </c:pt>
                <c:pt idx="6">
                  <c:v>0.84615384615384615</c:v>
                </c:pt>
                <c:pt idx="7">
                  <c:v>1.25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0.73333333333333328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1.375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6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7" subtotal="average" baseField="6" baseItem="0"/>
  </dataFields>
  <formats count="5">
    <format dxfId="22">
      <pivotArea field="6" type="button" dataOnly="0" labelOnly="1" outline="0" axis="axisRow" fieldPosition="0"/>
    </format>
    <format dxfId="21">
      <pivotArea dataOnly="0" labelOnly="1" fieldPosition="0">
        <references count="1">
          <reference field="6" count="0"/>
        </references>
      </pivotArea>
    </format>
    <format dxfId="20">
      <pivotArea dataOnly="0" labelOnly="1" grandRow="1" outline="0" fieldPosition="0"/>
    </format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1"/>
    <tableColumn id="5" xr3:uid="{DF37AD45-FC5C-478A-989D-9143E744CEEA}" name="voornaam" dataDxfId="40">
      <calculatedColumnFormula>VLOOKUP(Tabel2[[#This Row],[nr]],'data hastus'!A:C,3,FALSE)</calculatedColumnFormula>
    </tableColumn>
    <tableColumn id="6" xr3:uid="{4098FAFB-9B09-4A81-8B22-18CC90B5F979}" name="achternaam" dataDxfId="3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5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3"/>
    <tableColumn id="11" xr3:uid="{97ECF1D5-48DC-4487-B3C2-17232CC8E19E}" name="Januari" dataDxfId="32"/>
    <tableColumn id="12" xr3:uid="{7B2FF520-A575-45C0-BB5A-19B87DDB4EA0}" name="Februari" dataDxfId="31"/>
    <tableColumn id="13" xr3:uid="{4E6C30D1-FB72-4AB2-900F-14A3D53F34DE}" name="Maart" dataDxfId="30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9">
      <calculatedColumnFormula>SUM(bron[[#This Row],[Januari]:[December]])</calculatedColumnFormula>
    </tableColumn>
    <tableColumn id="10" xr3:uid="{8D9646BD-38B6-4F4D-9859-B3933369346B}" name="Datum" dataDxfId="28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7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6">
      <calculatedColumnFormula>YEAR(TODAY()) - YEAR(F2) - (IF(DATE(YEAR(TODAY()), MONTH(F2), DAY(F2)) &gt; TODAY(), 1, 0))</calculatedColumnFormula>
    </tableColumn>
    <tableColumn id="5" xr3:uid="{4C697650-E57C-44EB-9139-9D19E4E44782}" name="aantal schades" dataDxfId="1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42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3879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3880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3881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3882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25">
        <f>SUM(bron[[#This Row],[Januari]:[December]])</f>
        <v>0</v>
      </c>
      <c r="V987" s="26"/>
      <c r="W987" s="26"/>
      <c r="AB987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25">
        <f>SUM(bron[[#This Row],[Januari]:[December]])</f>
        <v>0</v>
      </c>
      <c r="V988" s="26"/>
      <c r="W988" s="26"/>
      <c r="AB988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24</v>
      </c>
    </row>
    <row r="992" spans="1:28" x14ac:dyDescent="0.3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38" priority="5" operator="equal">
      <formula>0</formula>
    </cfRule>
    <cfRule type="cellIs" dxfId="37" priority="7" operator="between">
      <formula>1</formula>
      <formula>4</formula>
    </cfRule>
    <cfRule type="cellIs" dxfId="36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3876</v>
      </c>
      <c r="J23" t="s">
        <v>3878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3884</v>
      </c>
    </row>
    <row r="2" spans="1:4" x14ac:dyDescent="0.3">
      <c r="A2">
        <v>29076</v>
      </c>
      <c r="B2" t="s">
        <v>1324</v>
      </c>
      <c r="C2" s="8" t="s">
        <v>1325</v>
      </c>
      <c r="D2" t="s">
        <v>3883</v>
      </c>
    </row>
    <row r="3" spans="1:4" x14ac:dyDescent="0.3">
      <c r="A3">
        <v>35348</v>
      </c>
      <c r="B3" t="s">
        <v>1326</v>
      </c>
      <c r="C3" s="8" t="s">
        <v>1327</v>
      </c>
      <c r="D3" t="s">
        <v>3885</v>
      </c>
    </row>
    <row r="4" spans="1:4" x14ac:dyDescent="0.3">
      <c r="A4">
        <v>10170</v>
      </c>
      <c r="B4" t="s">
        <v>1328</v>
      </c>
      <c r="C4" s="8" t="s">
        <v>1329</v>
      </c>
      <c r="D4" t="s">
        <v>3885</v>
      </c>
    </row>
    <row r="5" spans="1:4" x14ac:dyDescent="0.3">
      <c r="A5">
        <v>5579</v>
      </c>
      <c r="B5" t="s">
        <v>1330</v>
      </c>
      <c r="C5" s="8" t="s">
        <v>1331</v>
      </c>
      <c r="D5" t="s">
        <v>3885</v>
      </c>
    </row>
    <row r="6" spans="1:4" x14ac:dyDescent="0.3">
      <c r="A6">
        <v>4597</v>
      </c>
      <c r="B6" t="s">
        <v>1332</v>
      </c>
      <c r="C6" s="8" t="s">
        <v>1333</v>
      </c>
      <c r="D6" t="s">
        <v>3885</v>
      </c>
    </row>
    <row r="7" spans="1:4" x14ac:dyDescent="0.3">
      <c r="A7">
        <v>26268</v>
      </c>
      <c r="B7" t="s">
        <v>1334</v>
      </c>
      <c r="C7" s="8" t="s">
        <v>1335</v>
      </c>
      <c r="D7" t="s">
        <v>3885</v>
      </c>
    </row>
    <row r="8" spans="1:4" x14ac:dyDescent="0.3">
      <c r="A8">
        <v>23897</v>
      </c>
      <c r="B8" t="s">
        <v>1336</v>
      </c>
      <c r="C8" s="8" t="s">
        <v>1337</v>
      </c>
      <c r="D8" t="s">
        <v>3885</v>
      </c>
    </row>
    <row r="9" spans="1:4" x14ac:dyDescent="0.3">
      <c r="A9">
        <v>30456</v>
      </c>
      <c r="B9" t="s">
        <v>1338</v>
      </c>
      <c r="C9" s="8" t="s">
        <v>1339</v>
      </c>
      <c r="D9" t="s">
        <v>3885</v>
      </c>
    </row>
    <row r="10" spans="1:4" x14ac:dyDescent="0.3">
      <c r="A10">
        <v>7839</v>
      </c>
      <c r="B10" t="s">
        <v>1330</v>
      </c>
      <c r="C10" s="8" t="s">
        <v>1340</v>
      </c>
      <c r="D10" t="s">
        <v>3885</v>
      </c>
    </row>
    <row r="11" spans="1:4" x14ac:dyDescent="0.3">
      <c r="A11">
        <v>28740</v>
      </c>
      <c r="B11" t="s">
        <v>1341</v>
      </c>
      <c r="C11" s="8" t="s">
        <v>1342</v>
      </c>
      <c r="D11" t="s">
        <v>3885</v>
      </c>
    </row>
    <row r="12" spans="1:4" x14ac:dyDescent="0.3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3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3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3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3">
      <c r="A16">
        <v>15673</v>
      </c>
      <c r="B16" t="s">
        <v>1351</v>
      </c>
      <c r="C16" s="8" t="s">
        <v>1352</v>
      </c>
      <c r="D16" t="s">
        <v>3885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5" priority="1" operator="equal">
      <formula>0</formula>
    </cfRule>
    <cfRule type="cellIs" dxfId="24" priority="2" operator="between">
      <formula>1</formula>
      <formula>4</formula>
    </cfRule>
    <cfRule type="cellIs" dxfId="2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abSelected="1" topLeftCell="E1" zoomScale="90" zoomScaleNormal="90" workbookViewId="0">
      <selection activeCell="AI39" sqref="AI39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9.2187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3886</v>
      </c>
      <c r="N2" t="s">
        <v>3877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1.7428571428571429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1.8688524590163935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1.2558139534883721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0.93333333333333335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1.5217391304347827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0.91666666666666663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0.84615384615384615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1.25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0.83333333333333337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0.88888888888888884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1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1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0.83333333333333337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0.73333333333333328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1.8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0.83333333333333337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0.81818181818181823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0.83333333333333337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1.375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1.25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2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0.66666666666666663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0.625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0.6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0.8571428571428571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1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0.33333333333333331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0.75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0.6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0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0.5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1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4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1.2114427860696517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03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2025-12-01T20:07:20Z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