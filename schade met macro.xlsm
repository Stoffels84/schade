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04" documentId="13_ncr:1_{10FCACA5-8197-478D-90D3-5F83063FB753}" xr6:coauthVersionLast="47" xr6:coauthVersionMax="47" xr10:uidLastSave="{0506A121-B4BD-4E56-BFA7-C6C16C84B29E}"/>
  <bookViews>
    <workbookView xWindow="-14040" yWindow="-16320" windowWidth="29040" windowHeight="15720" tabRatio="656" firstSheet="1" activeTab="7" xr2:uid="{D7AB5F58-0F25-45E4-9869-1B2DB4C7BDA0}"/>
  </bookViews>
  <sheets>
    <sheet name="naar word" sheetId="12" state="hidden" r:id="rId1"/>
    <sheet name="Dashboard" sheetId="14" r:id="rId2"/>
    <sheet name="BRON" sheetId="1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2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3" r:id="rId11"/>
    <pivotCache cacheId="22" r:id="rId12"/>
    <pivotCache cacheId="42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18" l="1"/>
  <c r="H2" i="18"/>
  <c r="H3" i="18"/>
  <c r="H4" i="18"/>
  <c r="H5" i="18"/>
  <c r="H6" i="18"/>
  <c r="H7" i="18"/>
  <c r="H8" i="18"/>
  <c r="H9" i="18"/>
  <c r="H10" i="18"/>
  <c r="H11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C992" i="1" l="1"/>
  <c r="B992" i="1" s="1"/>
  <c r="D992" i="1"/>
  <c r="E992" i="1"/>
  <c r="S992" i="1"/>
  <c r="G33" i="18"/>
  <c r="G154" i="18"/>
  <c r="G220" i="18"/>
  <c r="G360" i="18"/>
  <c r="G265" i="18"/>
  <c r="G393" i="18"/>
  <c r="G431" i="18"/>
  <c r="G555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394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432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1" i="18"/>
  <c r="G433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486" i="18"/>
  <c r="G256" i="18"/>
  <c r="G257" i="18"/>
  <c r="G258" i="18"/>
  <c r="G259" i="18"/>
  <c r="G260" i="18"/>
  <c r="G261" i="18"/>
  <c r="G262" i="18"/>
  <c r="G263" i="18"/>
  <c r="G264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556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487" i="18"/>
  <c r="G305" i="18"/>
  <c r="G306" i="18"/>
  <c r="G307" i="18"/>
  <c r="G488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434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61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2" i="18"/>
  <c r="G363" i="18"/>
  <c r="G395" i="18"/>
  <c r="G364" i="18"/>
  <c r="G365" i="18"/>
  <c r="G366" i="18"/>
  <c r="G367" i="18"/>
  <c r="G368" i="18"/>
  <c r="G369" i="18"/>
  <c r="G370" i="18"/>
  <c r="G371" i="18"/>
  <c r="G557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558" i="18"/>
  <c r="G390" i="18"/>
  <c r="G391" i="18"/>
  <c r="G392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5" i="18"/>
  <c r="G430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89" i="18"/>
  <c r="G457" i="18"/>
  <c r="G458" i="18"/>
  <c r="G459" i="18"/>
  <c r="G460" i="18"/>
  <c r="G461" i="18"/>
  <c r="G462" i="18"/>
  <c r="G463" i="18"/>
  <c r="G464" i="18"/>
  <c r="G465" i="18"/>
  <c r="G466" i="18"/>
  <c r="G490" i="18"/>
  <c r="G467" i="18"/>
  <c r="G468" i="18"/>
  <c r="G469" i="18"/>
  <c r="G470" i="18"/>
  <c r="G471" i="18"/>
  <c r="G472" i="18"/>
  <c r="G473" i="18"/>
  <c r="G474" i="18"/>
  <c r="G475" i="18"/>
  <c r="G476" i="18"/>
  <c r="G477" i="18"/>
  <c r="G491" i="18"/>
  <c r="G478" i="18"/>
  <c r="G479" i="18"/>
  <c r="G480" i="18"/>
  <c r="G481" i="18"/>
  <c r="G482" i="18"/>
  <c r="G483" i="18"/>
  <c r="G484" i="18"/>
  <c r="G485" i="18"/>
  <c r="G492" i="18"/>
  <c r="G493" i="18"/>
  <c r="G494" i="18"/>
  <c r="G495" i="18"/>
  <c r="G496" i="18"/>
  <c r="G559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60" i="18"/>
  <c r="G554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1" i="1"/>
  <c r="D991" i="1"/>
  <c r="E991" i="1"/>
  <c r="S991" i="1"/>
  <c r="C990" i="1"/>
  <c r="D990" i="1"/>
  <c r="E990" i="1"/>
  <c r="S990" i="1"/>
  <c r="C989" i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0" i="1" l="1"/>
  <c r="B991" i="1"/>
  <c r="B989" i="1"/>
  <c r="B987" i="1"/>
  <c r="B988" i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<sst xmlns="http://schemas.openxmlformats.org/spreadsheetml/2006/main" count="13951" uniqueCount="4541">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</sst>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45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2.2857142857142856</c:v>
                </c:pt>
                <c:pt idx="3">
                  <c:v>0.5</c:v>
                </c:pt>
                <c:pt idx="4">
                  <c:v>0.83333333333333337</c:v>
                </c:pt>
                <c:pt idx="5">
                  <c:v>2.2857142857142856</c:v>
                </c:pt>
                <c:pt idx="6">
                  <c:v>1.8823529411764706</c:v>
                </c:pt>
                <c:pt idx="7">
                  <c:v>1.8461538461538463</c:v>
                </c:pt>
                <c:pt idx="8">
                  <c:v>2.2000000000000002</c:v>
                </c:pt>
                <c:pt idx="9">
                  <c:v>1.1111111111111112</c:v>
                </c:pt>
                <c:pt idx="10">
                  <c:v>2.4615384615384617</c:v>
                </c:pt>
                <c:pt idx="11">
                  <c:v>2.1666666666666665</c:v>
                </c:pt>
                <c:pt idx="12">
                  <c:v>1.6875</c:v>
                </c:pt>
                <c:pt idx="13">
                  <c:v>2.1111111111111112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</c:v>
                </c:pt>
                <c:pt idx="17">
                  <c:v>2</c:v>
                </c:pt>
                <c:pt idx="18">
                  <c:v>1.7</c:v>
                </c:pt>
                <c:pt idx="19">
                  <c:v>1.2307692307692308</c:v>
                </c:pt>
                <c:pt idx="20">
                  <c:v>1.8571428571428572</c:v>
                </c:pt>
                <c:pt idx="21">
                  <c:v>1.7058823529411764</c:v>
                </c:pt>
                <c:pt idx="22">
                  <c:v>1.9473684210526316</c:v>
                </c:pt>
                <c:pt idx="23">
                  <c:v>2</c:v>
                </c:pt>
                <c:pt idx="24">
                  <c:v>0.63636363636363635</c:v>
                </c:pt>
                <c:pt idx="25">
                  <c:v>0.84615384615384615</c:v>
                </c:pt>
                <c:pt idx="26">
                  <c:v>1.7857142857142858</c:v>
                </c:pt>
                <c:pt idx="27">
                  <c:v>1.9166666666666667</c:v>
                </c:pt>
                <c:pt idx="28">
                  <c:v>1.65</c:v>
                </c:pt>
                <c:pt idx="29">
                  <c:v>0.95454545454545459</c:v>
                </c:pt>
                <c:pt idx="30">
                  <c:v>1.5454545454545454</c:v>
                </c:pt>
                <c:pt idx="31">
                  <c:v>1.2941176470588236</c:v>
                </c:pt>
                <c:pt idx="32">
                  <c:v>1.4666666666666666</c:v>
                </c:pt>
                <c:pt idx="33">
                  <c:v>0.83333333333333337</c:v>
                </c:pt>
                <c:pt idx="34">
                  <c:v>1.5714285714285714</c:v>
                </c:pt>
                <c:pt idx="35">
                  <c:v>0.58823529411764708</c:v>
                </c:pt>
                <c:pt idx="36">
                  <c:v>1.1666666666666667</c:v>
                </c:pt>
                <c:pt idx="37">
                  <c:v>1.4</c:v>
                </c:pt>
                <c:pt idx="38">
                  <c:v>0.5625</c:v>
                </c:pt>
                <c:pt idx="39">
                  <c:v>1.9090909090909092</c:v>
                </c:pt>
                <c:pt idx="40">
                  <c:v>1.3181818181818181</c:v>
                </c:pt>
                <c:pt idx="41">
                  <c:v>1.2</c:v>
                </c:pt>
                <c:pt idx="42">
                  <c:v>1.5</c:v>
                </c:pt>
                <c:pt idx="43">
                  <c:v>0.9</c:v>
                </c:pt>
                <c:pt idx="44">
                  <c:v>0.7142857142857143</c:v>
                </c:pt>
                <c:pt idx="45">
                  <c:v>1</c:v>
                </c:pt>
                <c:pt idx="46">
                  <c:v>1</c:v>
                </c:pt>
                <c:pt idx="47">
                  <c:v>0.33333333333333331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2.7272727272727271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1.1818181818181819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7508101849" createdVersion="8" refreshedVersion="8" minRefreshableVersion="3" recordCount="991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m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2T00:00:00" count="50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3T00:00:00"/>
        <d v="2025-11-24T00:00:00"/>
        <d v="2025-11-25T00:00:00"/>
        <d v="2025-11-27T00:00:00"/>
        <d v="2025-11-29T00:00:00"/>
        <d v="2025-11-28T00:00:00"/>
        <d v="2025-12-01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0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2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/12/2025"/>
        </groupItems>
      </fieldGroup>
    </cacheField>
    <cacheField name="Kwartalen (Datum)" numFmtId="0" databaseField="0">
      <fieldGroup base="19">
        <rangePr groupBy="quarters" startDate="2024-01-05T00:00:00" endDate="2025-12-02T00:00:00"/>
        <groupItems count="6">
          <s v="&lt;5/01/2024"/>
          <s v="Kwrt1"/>
          <s v="Kwrt2"/>
          <s v="Kwrt3"/>
          <s v="Kwrt4"/>
          <s v="&gt;2/12/2025"/>
        </groupItems>
      </fieldGroup>
    </cacheField>
    <cacheField name="Jaren (Datum)" numFmtId="0" databaseField="0">
      <fieldGroup base="19">
        <rangePr groupBy="years" startDate="2024-01-05T00:00:00" endDate="2025-12-02T00:00:00"/>
        <groupItems count="4">
          <s v="&lt;5/01/2024"/>
          <s v="2024"/>
          <s v="2025"/>
          <s v="&gt;2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415115740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726644675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8-25T02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8-01-07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8-20T02:00:00"/>
        <d v="2012-02-13T01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2-29T01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18-12-10T01:00:00"/>
        <d v="2019-01-07T01:00:00"/>
        <d v="2019-01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6-01T02:00:00"/>
        <d v="2021-01-11T01:00:00"/>
        <d v="2021-01-18T01:00:00"/>
        <d v="2021-03-01T01:00:00"/>
        <d v="2021-03-29T02:00:00"/>
        <d v="2021-04-12T02:00:00"/>
        <d v="2021-03-15T01:00:00"/>
        <d v="2021-05-20T02:00:00"/>
        <d v="2021-05-17T02:00:00"/>
        <d v="2021-04-19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1-10-04T02:00:00"/>
        <d v="2021-10-11T02:00:00"/>
        <d v="2021-09-01T02:00:00"/>
        <d v="2022-09-14T02:00:00"/>
        <d v="2022-07-19T02:00:00"/>
        <d v="2022-05-06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2-11-28T01:00:00"/>
        <d v="2023-02-13T01:00:00"/>
        <d v="2023-09-12T02:00:00"/>
        <d v="2023-08-01T02:00:00"/>
        <d v="2023-02-14T01:00:00"/>
        <d v="2023-08-31T02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0-09T02:00:00"/>
        <d v="2023-10-23T02:00:00"/>
        <d v="2023-11-20T01:00:00"/>
        <d v="2023-12-04T01:00:00"/>
        <d v="2024-02-19T01:00:00"/>
        <d v="2024-06-17T02:00:00"/>
        <d v="2024-03-21T01:00:00"/>
        <d v="2024-05-13T02:00:00"/>
        <d v="2023-12-26T01:00:00"/>
        <d v="2024-01-22T01:00:00"/>
        <d v="2024-01-02T01:00:00"/>
        <d v="2024-01-24T01:00:00"/>
        <d v="2024-01-16T01:00:00"/>
        <d v="2024-01-08T01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9-03T02:00:00"/>
        <d v="2025-08-04T02:00:00"/>
        <d v="2025-08-14T02:00:00"/>
        <d v="2025-11-18T01:00:00"/>
        <d v="2025-08-27T02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44"/>
        <n v="37"/>
        <n v="36"/>
        <n v="35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1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1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1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1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4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1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1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1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4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1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1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1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1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1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1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1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1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1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1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1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6627"/>
    <x v="19"/>
    <s v="Dobbelaere"/>
    <s v="David"/>
    <x v="2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4"/>
  </r>
  <r>
    <n v="41482"/>
    <x v="329"/>
    <s v="Özdemir"/>
    <s v="Osman"/>
    <x v="4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1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2245"/>
    <x v="312"/>
    <s v="Verlinden"/>
    <s v="Bianca"/>
    <x v="3"/>
    <x v="0"/>
    <m/>
    <m/>
    <m/>
    <m/>
    <m/>
    <m/>
    <m/>
    <m/>
    <m/>
    <m/>
    <m/>
    <m/>
    <n v="0"/>
    <x v="504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36627"/>
    <x v="19"/>
    <s v="Dobbelaere"/>
    <s v="David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16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1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0"/>
  </r>
  <r>
    <n v="10782"/>
    <s v="De Kee"/>
    <s v="Ina"/>
    <d v="1974-12-21T00:00:00"/>
    <n v="1974"/>
    <x v="3"/>
    <n v="1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4"/>
  </r>
  <r>
    <n v="11508"/>
    <s v="Beeckman"/>
    <s v="Nico"/>
    <d v="1976-08-19T00:00:00"/>
    <n v="1976"/>
    <x v="2"/>
    <n v="1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5"/>
  </r>
  <r>
    <n v="12173"/>
    <s v="De Feyter"/>
    <s v="David"/>
    <d v="1970-09-28T00:00:00"/>
    <n v="1970"/>
    <x v="8"/>
    <n v="1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3"/>
  </r>
  <r>
    <n v="12819"/>
    <s v="Van Eenaeme"/>
    <s v="David"/>
    <d v="1975-05-26T00:00:00"/>
    <n v="1975"/>
    <x v="10"/>
    <n v="1"/>
  </r>
  <r>
    <n v="13017"/>
    <s v="Riobello-Olalla"/>
    <s v="Wesley"/>
    <d v="1977-06-18T00:00:00"/>
    <n v="1977"/>
    <x v="11"/>
    <n v="0"/>
  </r>
  <r>
    <n v="13088"/>
    <s v="De Geyter"/>
    <s v="Claudine"/>
    <d v="1969-12-11T00:00:00"/>
    <n v="1969"/>
    <x v="1"/>
    <n v="1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0"/>
  </r>
  <r>
    <n v="13345"/>
    <s v="Schijvens"/>
    <s v="Ronny"/>
    <d v="1970-09-18T00:00:00"/>
    <n v="1970"/>
    <x v="8"/>
    <n v="1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0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1"/>
  </r>
  <r>
    <n v="14261"/>
    <s v="Vandaele"/>
    <s v="Sofie"/>
    <d v="1972-06-16T00:00:00"/>
    <n v="1972"/>
    <x v="13"/>
    <n v="2"/>
  </r>
  <r>
    <n v="14425"/>
    <s v="Vandaele"/>
    <s v="Thibaut"/>
    <d v="1976-04-01T00:00:00"/>
    <n v="1976"/>
    <x v="2"/>
    <n v="0"/>
  </r>
  <r>
    <n v="14625"/>
    <s v="Rodrigue"/>
    <s v="Vincent"/>
    <d v="1964-09-01T00:00:00"/>
    <n v="1964"/>
    <x v="9"/>
    <n v="1"/>
  </r>
  <r>
    <n v="14665"/>
    <s v="De Mulder"/>
    <s v="Philip"/>
    <d v="1980-09-26T00:00:00"/>
    <n v="1980"/>
    <x v="15"/>
    <n v="2"/>
  </r>
  <r>
    <n v="14667"/>
    <s v="De paepe"/>
    <s v="Hilde"/>
    <d v="1972-12-15T00:00:00"/>
    <n v="1972"/>
    <x v="13"/>
    <n v="0"/>
  </r>
  <r>
    <n v="15088"/>
    <s v="Laute"/>
    <s v="Dirk"/>
    <d v="1966-07-12T00:00:00"/>
    <n v="1966"/>
    <x v="0"/>
    <n v="2"/>
  </r>
  <r>
    <n v="15218"/>
    <s v="Ackermans"/>
    <s v="Christian"/>
    <d v="1968-12-20T00:00:00"/>
    <n v="1968"/>
    <x v="16"/>
    <n v="0"/>
  </r>
  <r>
    <n v="15219"/>
    <s v="De Mey"/>
    <s v="Peter"/>
    <d v="1981-01-21T00:00:00"/>
    <n v="1981"/>
    <x v="14"/>
    <n v="1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2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2"/>
  </r>
  <r>
    <n v="15626"/>
    <s v="Tondeleir"/>
    <s v="Ron"/>
    <d v="1981-11-27T00:00:00"/>
    <n v="1981"/>
    <x v="14"/>
    <n v="0"/>
  </r>
  <r>
    <n v="15628"/>
    <s v="Wulfranck"/>
    <s v="Dominique"/>
    <d v="1971-08-21T00:00:00"/>
    <n v="1971"/>
    <x v="17"/>
    <n v="3"/>
  </r>
  <r>
    <n v="15676"/>
    <s v="Mestdagh"/>
    <s v="Tony"/>
    <d v="1977-08-01T00:00:00"/>
    <n v="1977"/>
    <x v="11"/>
    <n v="1"/>
  </r>
  <r>
    <n v="15726"/>
    <s v="Van Wezemael"/>
    <s v="Patrick"/>
    <d v="1980-07-03T00:00:00"/>
    <n v="1980"/>
    <x v="15"/>
    <n v="0"/>
  </r>
  <r>
    <n v="15852"/>
    <s v="Petereyns"/>
    <s v="Vanessa"/>
    <d v="1981-12-28T00:00:00"/>
    <n v="1981"/>
    <x v="14"/>
    <n v="1"/>
  </r>
  <r>
    <n v="16094"/>
    <s v="Bracke"/>
    <s v="Peter"/>
    <d v="1968-02-27T00:00:00"/>
    <n v="1968"/>
    <x v="16"/>
    <n v="0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1"/>
  </r>
  <r>
    <n v="16279"/>
    <s v="Vermaete"/>
    <s v="Cynthia"/>
    <d v="1977-07-25T00:00:00"/>
    <n v="1977"/>
    <x v="11"/>
    <n v="0"/>
  </r>
  <r>
    <n v="16280"/>
    <s v="Bouckhout"/>
    <s v="Ingeborg"/>
    <d v="1976-03-23T00:00:00"/>
    <n v="1976"/>
    <x v="2"/>
    <n v="1"/>
  </r>
  <r>
    <n v="16282"/>
    <s v="Vandecasteele"/>
    <s v="Ruth"/>
    <d v="1971-07-23T00:00:00"/>
    <n v="1971"/>
    <x v="17"/>
    <n v="1"/>
  </r>
  <r>
    <n v="16545"/>
    <s v="Toch"/>
    <s v="Erwin"/>
    <d v="1968-01-11T00:00:00"/>
    <n v="1968"/>
    <x v="16"/>
    <n v="2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0"/>
  </r>
  <r>
    <n v="16895"/>
    <s v="Van Lauwe"/>
    <s v="Freddy"/>
    <d v="1966-03-28T00:00:00"/>
    <n v="1966"/>
    <x v="0"/>
    <n v="6"/>
  </r>
  <r>
    <n v="16897"/>
    <s v="VandenDaele"/>
    <s v="Andy"/>
    <d v="1983-03-20T00:00:00"/>
    <n v="1983"/>
    <x v="20"/>
    <n v="2"/>
  </r>
  <r>
    <n v="16899"/>
    <s v="Devriese"/>
    <s v="Luc"/>
    <d v="1963-02-15T00:00:00"/>
    <n v="1963"/>
    <x v="6"/>
    <n v="0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1"/>
  </r>
  <r>
    <n v="17566"/>
    <s v="Praet"/>
    <s v="Reginald"/>
    <d v="1962-08-31T00:00:00"/>
    <n v="1962"/>
    <x v="21"/>
    <n v="2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1"/>
  </r>
  <r>
    <n v="17954"/>
    <s v="Vanlerberghe"/>
    <s v="Rudy"/>
    <d v="1967-08-10T00:00:00"/>
    <n v="1967"/>
    <x v="18"/>
    <n v="0"/>
  </r>
  <r>
    <n v="18051"/>
    <s v="Van Wittenberge"/>
    <s v="Filip"/>
    <d v="1965-11-12T00:00:00"/>
    <n v="1965"/>
    <x v="4"/>
    <n v="3"/>
  </r>
  <r>
    <n v="18139"/>
    <s v="David"/>
    <s v="Kurt"/>
    <d v="1967-04-13T00:00:00"/>
    <n v="1967"/>
    <x v="18"/>
    <n v="0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1"/>
  </r>
  <r>
    <n v="18624"/>
    <s v="Azahaf"/>
    <s v="M'Hamed"/>
    <d v="1962-08-26T00:00:00"/>
    <n v="1962"/>
    <x v="21"/>
    <n v="0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1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0"/>
  </r>
  <r>
    <n v="19219"/>
    <s v="Aspeslagh"/>
    <s v="Geert"/>
    <d v="1965-02-20T00:00:00"/>
    <n v="1965"/>
    <x v="4"/>
    <n v="1"/>
  </r>
  <r>
    <n v="19249"/>
    <s v="Odaci"/>
    <s v="Kadir"/>
    <d v="1984-05-07T00:00:00"/>
    <n v="1984"/>
    <x v="23"/>
    <n v="4"/>
  </r>
  <r>
    <n v="19251"/>
    <s v="Vanooteghem"/>
    <s v="Johnny"/>
    <d v="1966-06-03T00:00:00"/>
    <n v="1966"/>
    <x v="0"/>
    <n v="0"/>
  </r>
  <r>
    <n v="19520"/>
    <s v="Van Steenbergen"/>
    <s v="Kris"/>
    <d v="1981-05-15T00:00:00"/>
    <n v="1981"/>
    <x v="14"/>
    <n v="1"/>
  </r>
  <r>
    <n v="19675"/>
    <s v="Arampatzis"/>
    <s v="Stavros"/>
    <d v="1968-06-11T00:00:00"/>
    <n v="1968"/>
    <x v="16"/>
    <n v="0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1"/>
  </r>
  <r>
    <n v="19917"/>
    <s v="Vandevyvere"/>
    <s v="Frank"/>
    <d v="1966-01-28T00:00:00"/>
    <n v="1966"/>
    <x v="0"/>
    <n v="10"/>
  </r>
  <r>
    <n v="20375"/>
    <s v="Verlaeckt"/>
    <s v="Lincey"/>
    <d v="1974-12-28T00:00:00"/>
    <n v="1974"/>
    <x v="3"/>
    <n v="1"/>
  </r>
  <r>
    <n v="20376"/>
    <s v="Delamper"/>
    <s v="Mario"/>
    <d v="1973-08-16T00:00:00"/>
    <n v="1973"/>
    <x v="5"/>
    <n v="0"/>
  </r>
  <r>
    <n v="20400"/>
    <s v="Allan"/>
    <s v="Kenneth"/>
    <d v="1965-02-06T00:00:00"/>
    <n v="1965"/>
    <x v="4"/>
    <n v="1"/>
  </r>
  <r>
    <n v="20402"/>
    <s v="Van Grootenbrulle"/>
    <s v="Kurt"/>
    <d v="1965-05-27T00:00:00"/>
    <n v="1965"/>
    <x v="4"/>
    <n v="0"/>
  </r>
  <r>
    <n v="20404"/>
    <s v="Vranken"/>
    <s v="Kenneth"/>
    <d v="1971-11-10T00:00:00"/>
    <n v="1971"/>
    <x v="17"/>
    <n v="2"/>
  </r>
  <r>
    <n v="20476"/>
    <s v="Ghysels"/>
    <s v="Erik"/>
    <d v="1982-07-21T00:00:00"/>
    <n v="1982"/>
    <x v="24"/>
    <n v="0"/>
  </r>
  <r>
    <n v="20542"/>
    <s v="Kizilmese"/>
    <s v="Emra"/>
    <d v="1985-06-17T00:00:00"/>
    <n v="1985"/>
    <x v="25"/>
    <n v="1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0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3"/>
  </r>
  <r>
    <n v="20655"/>
    <s v="Rivière"/>
    <s v="Andy"/>
    <d v="1982-05-11T00:00:00"/>
    <n v="1982"/>
    <x v="24"/>
    <n v="0"/>
  </r>
  <r>
    <n v="20656"/>
    <s v="Vonck"/>
    <s v="Bart"/>
    <d v="1969-02-22T00:00:00"/>
    <n v="1969"/>
    <x v="1"/>
    <n v="1"/>
  </r>
  <r>
    <n v="20705"/>
    <s v="Van Den Neste"/>
    <s v="Diederik"/>
    <d v="1985-12-13T00:00:00"/>
    <n v="1985"/>
    <x v="25"/>
    <n v="0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2"/>
  </r>
  <r>
    <n v="21124"/>
    <s v="De Ridder"/>
    <s v="Danny"/>
    <d v="1977-04-18T00:00:00"/>
    <n v="1977"/>
    <x v="11"/>
    <n v="1"/>
  </r>
  <r>
    <n v="21160"/>
    <s v="Alkanat"/>
    <s v="Metin"/>
    <d v="1967-06-07T00:00:00"/>
    <n v="1967"/>
    <x v="18"/>
    <n v="0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1"/>
  </r>
  <r>
    <n v="21383"/>
    <s v="De Moor"/>
    <s v="Ronny"/>
    <d v="1972-10-18T00:00:00"/>
    <n v="1972"/>
    <x v="13"/>
    <n v="0"/>
  </r>
  <r>
    <n v="21424"/>
    <s v="Verstichel"/>
    <s v="Jethro"/>
    <d v="1975-01-13T00:00:00"/>
    <n v="1975"/>
    <x v="10"/>
    <n v="2"/>
  </r>
  <r>
    <n v="21428"/>
    <s v="Anjuijn"/>
    <s v="Vanessa"/>
    <d v="1970-04-13T00:00:00"/>
    <n v="1970"/>
    <x v="8"/>
    <n v="0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6"/>
  </r>
  <r>
    <n v="21581"/>
    <s v="Vanderstraeten"/>
    <s v="Franky"/>
    <d v="1971-06-16T00:00:00"/>
    <n v="1971"/>
    <x v="17"/>
    <n v="2"/>
  </r>
  <r>
    <n v="21662"/>
    <s v="Van Hulle"/>
    <s v="Werner"/>
    <d v="1962-04-25T00:00:00"/>
    <n v="1962"/>
    <x v="21"/>
    <n v="0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1"/>
  </r>
  <r>
    <n v="21845"/>
    <s v="Vanooteghem"/>
    <s v="Davey"/>
    <d v="1979-04-23T00:00:00"/>
    <n v="1979"/>
    <x v="12"/>
    <n v="0"/>
  </r>
  <r>
    <n v="21892"/>
    <s v="Dierick"/>
    <s v="Steve"/>
    <d v="1980-09-06T00:00:00"/>
    <n v="1980"/>
    <x v="15"/>
    <n v="2"/>
  </r>
  <r>
    <n v="22042"/>
    <s v="La Fontaine"/>
    <s v="Bart"/>
    <d v="1986-05-30T00:00:00"/>
    <n v="1986"/>
    <x v="26"/>
    <n v="0"/>
  </r>
  <r>
    <n v="22052"/>
    <s v="Meyvaert"/>
    <s v="Peter"/>
    <d v="1964-01-11T00:00:00"/>
    <n v="1964"/>
    <x v="9"/>
    <n v="1"/>
  </r>
  <r>
    <n v="22143"/>
    <s v="De Boever"/>
    <s v="Maarten"/>
    <d v="1980-12-31T00:00:00"/>
    <n v="1980"/>
    <x v="15"/>
    <n v="0"/>
  </r>
  <r>
    <n v="22202"/>
    <s v="Pluym"/>
    <s v="Pascal"/>
    <d v="1976-11-04T00:00:00"/>
    <n v="1976"/>
    <x v="2"/>
    <n v="1"/>
  </r>
  <r>
    <n v="22240"/>
    <s v="Delahaye"/>
    <s v="Karina"/>
    <d v="1971-10-29T00:00:00"/>
    <n v="1971"/>
    <x v="17"/>
    <n v="2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0"/>
  </r>
  <r>
    <n v="22416"/>
    <s v="Bicici"/>
    <s v="Abdul Kadir"/>
    <d v="1986-10-11T00:00:00"/>
    <n v="1986"/>
    <x v="26"/>
    <n v="1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0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2"/>
  </r>
  <r>
    <n v="23790"/>
    <s v="Adiyil"/>
    <s v="Attila"/>
    <d v="1972-08-17T00:00:00"/>
    <n v="1972"/>
    <x v="13"/>
    <n v="1"/>
  </r>
  <r>
    <n v="23791"/>
    <s v="Baetens"/>
    <s v="Christine"/>
    <d v="1966-09-23T00:00:00"/>
    <n v="1966"/>
    <x v="0"/>
    <n v="0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1"/>
  </r>
  <r>
    <n v="23918"/>
    <s v="D'Haeyere"/>
    <s v="Bernard"/>
    <d v="1971-03-13T00:00:00"/>
    <n v="1971"/>
    <x v="17"/>
    <n v="3"/>
  </r>
  <r>
    <n v="23924"/>
    <s v="Planckaert"/>
    <s v="Jurgen"/>
    <d v="1972-09-30T00:00:00"/>
    <n v="1972"/>
    <x v="13"/>
    <n v="0"/>
  </r>
  <r>
    <n v="24155"/>
    <s v="Luttens"/>
    <s v="Koen"/>
    <d v="1973-03-05T00:00:00"/>
    <n v="1973"/>
    <x v="5"/>
    <n v="1"/>
  </r>
  <r>
    <n v="24156"/>
    <s v="Kaya"/>
    <s v="Aydin"/>
    <d v="1988-04-08T00:00:00"/>
    <n v="1988"/>
    <x v="27"/>
    <n v="0"/>
  </r>
  <r>
    <n v="24367"/>
    <s v="Tayefeh Arbab"/>
    <s v="Ali"/>
    <d v="1973-10-11T00:00:00"/>
    <n v="1973"/>
    <x v="5"/>
    <n v="3"/>
  </r>
  <r>
    <n v="24472"/>
    <s v="Gök"/>
    <s v="Davut"/>
    <d v="1984-03-21T00:00:00"/>
    <n v="1984"/>
    <x v="23"/>
    <n v="1"/>
  </r>
  <r>
    <n v="25234"/>
    <s v="Haelterman"/>
    <s v="Geert"/>
    <d v="1965-07-08T00:00:00"/>
    <n v="1965"/>
    <x v="4"/>
    <n v="0"/>
  </r>
  <r>
    <n v="25486"/>
    <s v="Goethals"/>
    <s v="Bart"/>
    <d v="1971-01-09T00:00:00"/>
    <n v="1971"/>
    <x v="17"/>
    <n v="1"/>
  </r>
  <r>
    <n v="25487"/>
    <s v="Devos"/>
    <s v="Stefaan"/>
    <d v="1966-09-16T00:00:00"/>
    <n v="1966"/>
    <x v="0"/>
    <n v="4"/>
  </r>
  <r>
    <n v="25679"/>
    <s v="Vanrenterghem"/>
    <s v="Serge"/>
    <d v="1966-09-30T00:00:00"/>
    <n v="1966"/>
    <x v="0"/>
    <n v="2"/>
  </r>
  <r>
    <n v="25680"/>
    <s v="Cetinkaya"/>
    <s v="Veysel"/>
    <d v="1981-07-08T00:00:00"/>
    <n v="1981"/>
    <x v="14"/>
    <n v="0"/>
  </r>
  <r>
    <n v="25733"/>
    <s v="Simsek"/>
    <s v="Abdullah"/>
    <d v="1983-06-13T00:00:00"/>
    <n v="1983"/>
    <x v="20"/>
    <n v="2"/>
  </r>
  <r>
    <n v="25829"/>
    <s v="Kayim"/>
    <s v="Akin"/>
    <d v="1976-12-26T00:00:00"/>
    <n v="1976"/>
    <x v="2"/>
    <n v="1"/>
  </r>
  <r>
    <n v="25871"/>
    <s v="Fasseur"/>
    <s v="Frederic"/>
    <d v="1981-06-14T00:00:00"/>
    <n v="1981"/>
    <x v="14"/>
    <n v="0"/>
  </r>
  <r>
    <n v="25873"/>
    <s v="Kazakbiyev"/>
    <s v="Osman"/>
    <d v="1979-12-13T00:00:00"/>
    <n v="1979"/>
    <x v="12"/>
    <n v="1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4"/>
  </r>
  <r>
    <n v="26197"/>
    <s v="Van Puyenbroeck"/>
    <s v="Pascale"/>
    <d v="1970-09-04T00:00:00"/>
    <n v="1970"/>
    <x v="8"/>
    <n v="0"/>
  </r>
  <r>
    <n v="26198"/>
    <s v="Justé"/>
    <s v="Steven"/>
    <d v="1977-03-15T00:00:00"/>
    <n v="1977"/>
    <x v="11"/>
    <n v="3"/>
  </r>
  <r>
    <n v="26199"/>
    <s v="Wauters"/>
    <s v="Franky"/>
    <d v="1965-01-07T00:00:00"/>
    <n v="1965"/>
    <x v="4"/>
    <n v="1"/>
  </r>
  <r>
    <n v="26265"/>
    <s v="Van Vlem"/>
    <s v="Danny"/>
    <d v="1966-08-22T00:00:00"/>
    <n v="1966"/>
    <x v="0"/>
    <n v="0"/>
  </r>
  <r>
    <n v="26266"/>
    <s v="Gök"/>
    <s v="Murat"/>
    <d v="1986-10-21T00:00:00"/>
    <n v="1986"/>
    <x v="26"/>
    <n v="1"/>
  </r>
  <r>
    <n v="26331"/>
    <s v="Van Semmertier"/>
    <s v="Pascal"/>
    <d v="1965-04-05T00:00:00"/>
    <n v="1965"/>
    <x v="4"/>
    <n v="3"/>
  </r>
  <r>
    <n v="26334"/>
    <s v="Aelterman"/>
    <s v="Luc"/>
    <d v="1963-10-29T00:00:00"/>
    <n v="1963"/>
    <x v="6"/>
    <n v="0"/>
  </r>
  <r>
    <n v="26384"/>
    <s v="Van Cauwenberg"/>
    <s v="Steven"/>
    <d v="1976-10-12T00:00:00"/>
    <n v="1976"/>
    <x v="2"/>
    <n v="1"/>
  </r>
  <r>
    <n v="26521"/>
    <s v="Siderov"/>
    <s v="Miroslav"/>
    <d v="1987-10-23T00:00:00"/>
    <n v="1987"/>
    <x v="28"/>
    <n v="0"/>
  </r>
  <r>
    <n v="26524"/>
    <s v="Bolle"/>
    <s v="Cynthia"/>
    <d v="1989-02-09T00:00:00"/>
    <n v="1989"/>
    <x v="29"/>
    <n v="1"/>
  </r>
  <r>
    <n v="26638"/>
    <s v="Van de Capelle"/>
    <s v="Geert"/>
    <d v="1973-12-03T00:00:00"/>
    <n v="1973"/>
    <x v="5"/>
    <n v="0"/>
  </r>
  <r>
    <n v="26639"/>
    <s v="Engels"/>
    <s v="Wendy"/>
    <d v="1973-06-16T00:00:00"/>
    <n v="1973"/>
    <x v="5"/>
    <n v="1"/>
  </r>
  <r>
    <n v="26695"/>
    <s v="Lippens"/>
    <s v="Miguel"/>
    <d v="1984-12-19T00:00:00"/>
    <n v="1984"/>
    <x v="23"/>
    <n v="2"/>
  </r>
  <r>
    <n v="26792"/>
    <s v="Ong"/>
    <s v="Geok Hong"/>
    <d v="1965-10-19T00:00:00"/>
    <n v="1965"/>
    <x v="4"/>
    <n v="0"/>
  </r>
  <r>
    <n v="26847"/>
    <s v="De Meester"/>
    <s v="David"/>
    <d v="1969-04-22T00:00:00"/>
    <n v="1969"/>
    <x v="1"/>
    <n v="2"/>
  </r>
  <r>
    <n v="26959"/>
    <s v="Bohez"/>
    <s v="Olivier"/>
    <d v="1969-05-23T00:00:00"/>
    <n v="1969"/>
    <x v="1"/>
    <n v="0"/>
  </r>
  <r>
    <n v="26960"/>
    <s v="Toubadie"/>
    <s v="Mossa"/>
    <d v="1990-04-07T00:00:00"/>
    <n v="1990"/>
    <x v="30"/>
    <n v="3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2"/>
  </r>
  <r>
    <n v="27209"/>
    <s v="Meyvaert"/>
    <s v="Steven"/>
    <d v="1963-02-23T00:00:00"/>
    <n v="1963"/>
    <x v="6"/>
    <n v="3"/>
  </r>
  <r>
    <n v="27577"/>
    <s v="De Meester"/>
    <s v="Johan"/>
    <d v="1970-03-19T00:00:00"/>
    <n v="1970"/>
    <x v="8"/>
    <n v="0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1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0"/>
  </r>
  <r>
    <n v="27713"/>
    <s v="Parmentier"/>
    <s v="Bart"/>
    <d v="1969-09-28T00:00:00"/>
    <n v="1969"/>
    <x v="1"/>
    <n v="1"/>
  </r>
  <r>
    <n v="27786"/>
    <s v="Van Lierde"/>
    <s v="Michel"/>
    <d v="1967-10-12T00:00:00"/>
    <n v="1967"/>
    <x v="18"/>
    <n v="0"/>
  </r>
  <r>
    <n v="27865"/>
    <s v="Olenski"/>
    <s v="Leonard"/>
    <d v="1970-03-21T00:00:00"/>
    <n v="1970"/>
    <x v="8"/>
    <n v="1"/>
  </r>
  <r>
    <n v="28071"/>
    <s v="Omari"/>
    <s v="Said"/>
    <d v="1983-03-24T00:00:00"/>
    <n v="1983"/>
    <x v="20"/>
    <n v="0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1"/>
  </r>
  <r>
    <n v="28737"/>
    <s v="El-Mohamed"/>
    <s v="Mohamed"/>
    <d v="1975-09-05T00:00:00"/>
    <n v="1975"/>
    <x v="10"/>
    <n v="3"/>
  </r>
  <r>
    <n v="28794"/>
    <s v="Van Malderghem"/>
    <s v="Niels"/>
    <d v="1987-02-01T00:00:00"/>
    <n v="1987"/>
    <x v="28"/>
    <n v="1"/>
  </r>
  <r>
    <n v="28821"/>
    <s v="Roels"/>
    <s v="Els"/>
    <d v="1976-08-02T00:00:00"/>
    <n v="1976"/>
    <x v="2"/>
    <n v="0"/>
  </r>
  <r>
    <n v="28830"/>
    <s v="Isiklar"/>
    <s v="Okan"/>
    <d v="1980-09-30T00:00:00"/>
    <n v="1980"/>
    <x v="15"/>
    <n v="1"/>
  </r>
  <r>
    <n v="28835"/>
    <s v="Choaïbi"/>
    <s v="Bilal"/>
    <d v="1990-07-13T00:00:00"/>
    <n v="1990"/>
    <x v="30"/>
    <n v="0"/>
  </r>
  <r>
    <n v="28910"/>
    <s v="Gassa"/>
    <s v="Osmane"/>
    <d v="1982-03-24T00:00:00"/>
    <n v="1982"/>
    <x v="24"/>
    <n v="2"/>
  </r>
  <r>
    <n v="28995"/>
    <s v="Grillaert"/>
    <s v="Lieven"/>
    <d v="1962-03-01T00:00:00"/>
    <n v="1962"/>
    <x v="21"/>
    <n v="0"/>
  </r>
  <r>
    <n v="29179"/>
    <s v="Verwee"/>
    <s v="Dries"/>
    <d v="1987-10-09T00:00:00"/>
    <n v="1987"/>
    <x v="28"/>
    <n v="6"/>
  </r>
  <r>
    <n v="29181"/>
    <s v="Van Turtelboom"/>
    <s v="Franky"/>
    <d v="1969-07-07T00:00:00"/>
    <n v="1969"/>
    <x v="1"/>
    <n v="0"/>
  </r>
  <r>
    <n v="29271"/>
    <s v="Maes"/>
    <s v="Filip"/>
    <d v="1979-05-30T00:00:00"/>
    <n v="1979"/>
    <x v="12"/>
    <n v="1"/>
  </r>
  <r>
    <n v="29370"/>
    <s v="De Weerdt"/>
    <s v="Samuel"/>
    <d v="1981-03-30T00:00:00"/>
    <n v="1981"/>
    <x v="14"/>
    <n v="0"/>
  </r>
  <r>
    <n v="29477"/>
    <s v="De Vuyst"/>
    <s v="Boyke"/>
    <d v="1984-10-13T00:00:00"/>
    <n v="1984"/>
    <x v="23"/>
    <n v="1"/>
  </r>
  <r>
    <n v="29478"/>
    <s v="Priwall"/>
    <s v="Heike"/>
    <d v="1959-12-09T00:00:00"/>
    <n v="1959"/>
    <x v="31"/>
    <n v="3"/>
  </r>
  <r>
    <n v="29539"/>
    <s v="Dullaert"/>
    <s v="Steven"/>
    <d v="1988-05-17T00:00:00"/>
    <n v="1988"/>
    <x v="27"/>
    <n v="0"/>
  </r>
  <r>
    <n v="29540"/>
    <s v="De Keyzer"/>
    <s v="Jan"/>
    <d v="1978-02-11T00:00:00"/>
    <n v="1978"/>
    <x v="7"/>
    <n v="1"/>
  </r>
  <r>
    <n v="29591"/>
    <s v="Celikoz"/>
    <s v="Musa"/>
    <d v="1992-02-09T00:00:00"/>
    <n v="1992"/>
    <x v="32"/>
    <n v="0"/>
  </r>
  <r>
    <n v="29646"/>
    <s v="Özer"/>
    <s v="Mesut"/>
    <d v="1982-12-04T00:00:00"/>
    <n v="1982"/>
    <x v="24"/>
    <n v="1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3"/>
  </r>
  <r>
    <n v="29778"/>
    <s v="Deboosere"/>
    <s v="Kathy"/>
    <d v="1966-10-24T00:00:00"/>
    <n v="1966"/>
    <x v="0"/>
    <n v="0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1"/>
  </r>
  <r>
    <n v="30119"/>
    <s v="Haerens"/>
    <s v="Tom"/>
    <d v="1965-09-23T00:00:00"/>
    <n v="1965"/>
    <x v="4"/>
    <n v="2"/>
  </r>
  <r>
    <n v="30121"/>
    <s v="Simons"/>
    <s v="Andreas"/>
    <d v="1961-05-09T00:00:00"/>
    <n v="1961"/>
    <x v="19"/>
    <n v="3"/>
  </r>
  <r>
    <n v="30271"/>
    <s v="Bracke"/>
    <s v="Jeroen"/>
    <d v="1987-02-28T00:00:00"/>
    <n v="1987"/>
    <x v="28"/>
    <n v="1"/>
  </r>
  <r>
    <n v="30292"/>
    <s v="Verberckmoes"/>
    <s v="Sebastiaan"/>
    <d v="1985-01-18T00:00:00"/>
    <n v="1985"/>
    <x v="25"/>
    <n v="0"/>
  </r>
  <r>
    <n v="30321"/>
    <s v="Unver"/>
    <s v="Ismaïl"/>
    <d v="1993-08-23T00:00:00"/>
    <n v="1993"/>
    <x v="33"/>
    <n v="2"/>
  </r>
  <r>
    <n v="30323"/>
    <s v="Vandersmissen"/>
    <s v="Denis"/>
    <d v="1976-08-04T00:00:00"/>
    <n v="1976"/>
    <x v="2"/>
    <n v="0"/>
  </r>
  <r>
    <n v="30623"/>
    <s v="Gassa"/>
    <s v="Mustafa"/>
    <d v="1970-02-14T00:00:00"/>
    <n v="1970"/>
    <x v="8"/>
    <n v="2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3"/>
  </r>
  <r>
    <n v="30999"/>
    <s v="Biesemans"/>
    <s v="Jasper"/>
    <d v="1989-12-02T00:00:00"/>
    <n v="1989"/>
    <x v="29"/>
    <n v="0"/>
  </r>
  <r>
    <n v="31092"/>
    <s v="De Jaeger"/>
    <s v="Kevin"/>
    <d v="1993-06-29T00:00:00"/>
    <n v="1993"/>
    <x v="33"/>
    <n v="2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1"/>
  </r>
  <r>
    <n v="31165"/>
    <s v="Govaerts"/>
    <s v="Sandro"/>
    <d v="1974-04-26T00:00:00"/>
    <n v="1974"/>
    <x v="3"/>
    <n v="2"/>
  </r>
  <r>
    <n v="31231"/>
    <s v="Colaes"/>
    <s v="Dylan"/>
    <d v="1995-02-17T00:00:00"/>
    <n v="1995"/>
    <x v="34"/>
    <n v="3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0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2"/>
  </r>
  <r>
    <n v="31601"/>
    <s v="Akin"/>
    <s v="Ridvan"/>
    <d v="1990-04-16T00:00:00"/>
    <n v="1990"/>
    <x v="30"/>
    <n v="0"/>
  </r>
  <r>
    <n v="31634"/>
    <s v="Kirsan"/>
    <s v="Ömer"/>
    <d v="1994-05-29T00:00:00"/>
    <n v="1994"/>
    <x v="35"/>
    <n v="1"/>
  </r>
  <r>
    <n v="31635"/>
    <s v="Vaeyens"/>
    <s v="Midas"/>
    <d v="1993-09-07T00:00:00"/>
    <n v="1993"/>
    <x v="33"/>
    <n v="2"/>
  </r>
  <r>
    <n v="31659"/>
    <s v="Grypdonck"/>
    <s v="Kenneth"/>
    <d v="1989-06-18T00:00:00"/>
    <n v="1989"/>
    <x v="29"/>
    <n v="0"/>
  </r>
  <r>
    <n v="31668"/>
    <s v="Weemhof"/>
    <s v="Maurice"/>
    <d v="1968-12-09T00:00:00"/>
    <n v="1968"/>
    <x v="16"/>
    <n v="5"/>
  </r>
  <r>
    <n v="31689"/>
    <s v="Van Achte"/>
    <s v="Jay"/>
    <d v="1991-04-26T00:00:00"/>
    <n v="1991"/>
    <x v="36"/>
    <n v="1"/>
  </r>
  <r>
    <n v="31731"/>
    <s v="Dedapper"/>
    <s v="Marijke"/>
    <d v="1977-06-14T00:00:00"/>
    <n v="1977"/>
    <x v="11"/>
    <n v="2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1"/>
  </r>
  <r>
    <n v="31891"/>
    <s v="De Wilde"/>
    <s v="Dimitry"/>
    <d v="1973-01-21T00:00:00"/>
    <n v="1973"/>
    <x v="5"/>
    <n v="0"/>
  </r>
  <r>
    <n v="32002"/>
    <s v="Hasni"/>
    <s v="Helmi"/>
    <d v="1971-07-16T00:00:00"/>
    <n v="1971"/>
    <x v="17"/>
    <n v="2"/>
  </r>
  <r>
    <n v="32091"/>
    <s v="Köroglu"/>
    <s v="Ercan"/>
    <d v="1980-02-06T00:00:00"/>
    <n v="1980"/>
    <x v="15"/>
    <n v="1"/>
  </r>
  <r>
    <n v="32092"/>
    <s v="Er"/>
    <s v="Tolga"/>
    <d v="1996-09-17T00:00:00"/>
    <n v="1996"/>
    <x v="37"/>
    <n v="0"/>
  </r>
  <r>
    <n v="32168"/>
    <s v="Vranken"/>
    <s v="Zulkifly"/>
    <d v="1977-08-11T00:00:00"/>
    <n v="1977"/>
    <x v="11"/>
    <n v="1"/>
  </r>
  <r>
    <n v="32169"/>
    <s v="Kelchtermans"/>
    <s v="Raf"/>
    <d v="1969-12-17T00:00:00"/>
    <n v="1969"/>
    <x v="1"/>
    <n v="0"/>
  </r>
  <r>
    <n v="32245"/>
    <s v="Verlinden"/>
    <s v="Bianca"/>
    <d v="1977-03-22T00:00:00"/>
    <n v="1977"/>
    <x v="11"/>
    <n v="2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4"/>
  </r>
  <r>
    <n v="32458"/>
    <s v="Cifteoglu"/>
    <s v="Sedat"/>
    <d v="1966-11-29T00:00:00"/>
    <n v="1966"/>
    <x v="0"/>
    <n v="0"/>
  </r>
  <r>
    <n v="32528"/>
    <s v="Benjilali"/>
    <s v="Abdelhak"/>
    <d v="1984-08-20T00:00:00"/>
    <n v="1984"/>
    <x v="23"/>
    <n v="2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3"/>
  </r>
  <r>
    <n v="32951"/>
    <s v="De Bruyne"/>
    <s v="Sonia"/>
    <d v="1971-09-15T00:00:00"/>
    <n v="1971"/>
    <x v="17"/>
    <n v="6"/>
  </r>
  <r>
    <n v="33049"/>
    <s v="Depaepe"/>
    <s v="Dirk"/>
    <d v="1968-03-23T00:00:00"/>
    <n v="1968"/>
    <x v="16"/>
    <n v="0"/>
  </r>
  <r>
    <n v="33085"/>
    <s v="Van Hoe"/>
    <s v="Ivo"/>
    <d v="1990-07-23T00:00:00"/>
    <n v="1990"/>
    <x v="30"/>
    <n v="2"/>
  </r>
  <r>
    <n v="33400"/>
    <s v="Petit"/>
    <s v="Cynthia"/>
    <d v="1994-09-14T00:00:00"/>
    <n v="1994"/>
    <x v="35"/>
    <n v="3"/>
  </r>
  <r>
    <n v="33450"/>
    <s v="Verroeye"/>
    <s v="Chris"/>
    <d v="1971-10-10T00:00:00"/>
    <n v="1971"/>
    <x v="17"/>
    <n v="2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0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1"/>
  </r>
  <r>
    <n v="33698"/>
    <s v="Van Limbergen"/>
    <s v="Danny"/>
    <d v="1984-09-12T00:00:00"/>
    <n v="1984"/>
    <x v="23"/>
    <n v="0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4"/>
  </r>
  <r>
    <n v="34019"/>
    <s v="Hoste"/>
    <s v="Tom"/>
    <d v="1985-11-08T00:00:00"/>
    <n v="1985"/>
    <x v="25"/>
    <n v="1"/>
  </r>
  <r>
    <n v="34044"/>
    <s v="Wieme"/>
    <s v="Kevin"/>
    <d v="1995-09-27T00:00:00"/>
    <n v="1995"/>
    <x v="34"/>
    <n v="2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0"/>
  </r>
  <r>
    <n v="34325"/>
    <s v="Eid"/>
    <s v="Mathyn"/>
    <d v="1984-05-14T00:00:00"/>
    <n v="1984"/>
    <x v="23"/>
    <n v="5"/>
  </r>
  <r>
    <n v="34328"/>
    <s v="Kerremans"/>
    <s v="Jürgen"/>
    <d v="1975-11-09T00:00:00"/>
    <n v="1975"/>
    <x v="10"/>
    <n v="4"/>
  </r>
  <r>
    <n v="34351"/>
    <s v="Callant"/>
    <s v="Dieter"/>
    <d v="1983-04-05T00:00:00"/>
    <n v="1983"/>
    <x v="20"/>
    <n v="3"/>
  </r>
  <r>
    <n v="34445"/>
    <s v="Wulleput"/>
    <s v="Illya"/>
    <d v="1994-11-25T00:00:00"/>
    <n v="1994"/>
    <x v="35"/>
    <n v="5"/>
  </r>
  <r>
    <n v="34664"/>
    <s v="Fiers"/>
    <s v="Kenny"/>
    <d v="1993-11-10T00:00:00"/>
    <n v="1993"/>
    <x v="33"/>
    <n v="0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1"/>
  </r>
  <r>
    <n v="35026"/>
    <s v="Momsen"/>
    <s v="Rory"/>
    <d v="1988-07-03T00:00:00"/>
    <n v="1988"/>
    <x v="27"/>
    <n v="0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2"/>
  </r>
  <r>
    <n v="35107"/>
    <s v="Rotsaert"/>
    <s v="Dominique"/>
    <d v="1971-10-21T00:00:00"/>
    <n v="1971"/>
    <x v="17"/>
    <n v="1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0"/>
  </r>
  <r>
    <n v="35246"/>
    <s v="De Meyer"/>
    <s v="Karel"/>
    <d v="1971-01-05T00:00:00"/>
    <n v="1971"/>
    <x v="17"/>
    <n v="2"/>
  </r>
  <r>
    <n v="35334"/>
    <s v="Dewulf"/>
    <s v="Matthias"/>
    <d v="1991-12-06T00:00:00"/>
    <n v="1991"/>
    <x v="36"/>
    <n v="0"/>
  </r>
  <r>
    <n v="35379"/>
    <s v="Engels"/>
    <s v="Sam"/>
    <d v="1976-07-21T00:00:00"/>
    <n v="1976"/>
    <x v="2"/>
    <n v="2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0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2"/>
  </r>
  <r>
    <n v="35434"/>
    <s v="Kaya"/>
    <s v="Aytekin"/>
    <d v="1979-10-27T00:00:00"/>
    <n v="1979"/>
    <x v="12"/>
    <n v="1"/>
  </r>
  <r>
    <n v="35450"/>
    <s v="Roos"/>
    <s v="Hugo"/>
    <d v="1983-05-22T00:00:00"/>
    <n v="1983"/>
    <x v="20"/>
    <n v="4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0"/>
  </r>
  <r>
    <n v="35490"/>
    <s v="Nguetto"/>
    <s v="Brisco Romeo"/>
    <d v="1996-03-15T00:00:00"/>
    <n v="1996"/>
    <x v="37"/>
    <n v="1"/>
  </r>
  <r>
    <n v="35491"/>
    <s v="Toubadie"/>
    <s v="Zakaria"/>
    <d v="1997-04-05T00:00:00"/>
    <n v="1997"/>
    <x v="41"/>
    <n v="2"/>
  </r>
  <r>
    <n v="35493"/>
    <s v="van Turnhout"/>
    <s v="Mariëlle"/>
    <d v="1976-09-04T00:00:00"/>
    <n v="1976"/>
    <x v="2"/>
    <n v="1"/>
  </r>
  <r>
    <n v="35494"/>
    <s v="Rummens"/>
    <s v="Maarten"/>
    <d v="1980-10-15T00:00:00"/>
    <n v="1980"/>
    <x v="15"/>
    <n v="0"/>
  </r>
  <r>
    <n v="35495"/>
    <s v="Razzaz"/>
    <s v="Mahmoud"/>
    <d v="1993-06-01T00:00:00"/>
    <n v="1993"/>
    <x v="33"/>
    <n v="1"/>
  </r>
  <r>
    <n v="35588"/>
    <s v="Smesman"/>
    <s v="Glenn"/>
    <d v="1992-10-02T00:00:00"/>
    <n v="1992"/>
    <x v="32"/>
    <n v="3"/>
  </r>
  <r>
    <n v="35598"/>
    <s v="Braeckman"/>
    <s v="Wouter"/>
    <d v="1966-08-09T00:00:00"/>
    <n v="1966"/>
    <x v="0"/>
    <n v="1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0"/>
  </r>
  <r>
    <n v="35645"/>
    <s v="Jalili"/>
    <s v="Yaseeb"/>
    <d v="1986-07-18T00:00:00"/>
    <n v="1986"/>
    <x v="26"/>
    <n v="4"/>
  </r>
  <r>
    <n v="35709"/>
    <s v="El Gasmi"/>
    <s v="Sami"/>
    <d v="1966-10-20T00:00:00"/>
    <n v="1966"/>
    <x v="0"/>
    <n v="1"/>
  </r>
  <r>
    <n v="35761"/>
    <s v="Simsek"/>
    <s v="Huseyin"/>
    <d v="1992-09-09T00:00:00"/>
    <n v="1992"/>
    <x v="32"/>
    <n v="0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3"/>
  </r>
  <r>
    <n v="36154"/>
    <s v="De Clercq"/>
    <s v="Sven"/>
    <d v="1997-05-28T00:00:00"/>
    <n v="1997"/>
    <x v="41"/>
    <n v="1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2"/>
  </r>
  <r>
    <n v="36289"/>
    <s v="Van Rentergem"/>
    <s v="Steve"/>
    <d v="1977-03-28T00:00:00"/>
    <n v="1977"/>
    <x v="11"/>
    <n v="3"/>
  </r>
  <r>
    <n v="36336"/>
    <s v="Haenebalcke"/>
    <s v="Peter"/>
    <d v="1981-04-30T00:00:00"/>
    <n v="1981"/>
    <x v="14"/>
    <n v="1"/>
  </r>
  <r>
    <n v="36337"/>
    <s v="Desmadryl"/>
    <s v="Daniel"/>
    <d v="1966-07-16T00:00:00"/>
    <n v="1966"/>
    <x v="0"/>
    <n v="1"/>
  </r>
  <r>
    <n v="36354"/>
    <s v="El Aaddam"/>
    <s v="Hodayfa"/>
    <d v="1997-11-06T00:00:00"/>
    <n v="1997"/>
    <x v="41"/>
    <n v="0"/>
  </r>
  <r>
    <n v="36358"/>
    <s v="De Nys"/>
    <s v="Elise"/>
    <d v="1999-03-17T00:00:00"/>
    <n v="1999"/>
    <x v="38"/>
    <n v="2"/>
  </r>
  <r>
    <n v="36378"/>
    <s v="Opsomer"/>
    <s v="Gerrit"/>
    <d v="1961-10-12T00:00:00"/>
    <n v="1961"/>
    <x v="19"/>
    <n v="0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3"/>
  </r>
  <r>
    <n v="36427"/>
    <s v="Malak"/>
    <s v="Kemal"/>
    <d v="1999-03-27T00:00:00"/>
    <n v="1999"/>
    <x v="38"/>
    <n v="0"/>
  </r>
  <r>
    <n v="36428"/>
    <s v="Abdi Shaiye"/>
    <s v="Rashid"/>
    <d v="1991-09-29T00:00:00"/>
    <n v="1991"/>
    <x v="36"/>
    <n v="5"/>
  </r>
  <r>
    <n v="36429"/>
    <s v="Ahlaloum"/>
    <s v="Khalid"/>
    <d v="1986-12-02T00:00:00"/>
    <n v="1986"/>
    <x v="26"/>
    <n v="1"/>
  </r>
  <r>
    <n v="36438"/>
    <s v="Agil"/>
    <s v="Birol"/>
    <d v="1972-02-19T00:00:00"/>
    <n v="1972"/>
    <x v="13"/>
    <n v="3"/>
  </r>
  <r>
    <n v="36503"/>
    <s v="Callens"/>
    <s v="Dimitri"/>
    <d v="1982-03-25T00:00:00"/>
    <n v="1982"/>
    <x v="24"/>
    <n v="1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0"/>
  </r>
  <r>
    <n v="36512"/>
    <s v="Van Herreweghe"/>
    <s v="Branco"/>
    <d v="1999-08-31T00:00:00"/>
    <n v="1999"/>
    <x v="38"/>
    <n v="3"/>
  </r>
  <r>
    <n v="36513"/>
    <s v="Sogut"/>
    <s v="Rauf"/>
    <d v="1996-12-23T00:00:00"/>
    <n v="1996"/>
    <x v="37"/>
    <n v="1"/>
  </r>
  <r>
    <n v="36543"/>
    <s v="Babaian"/>
    <s v="Sammy"/>
    <d v="1996-10-13T00:00:00"/>
    <n v="1996"/>
    <x v="37"/>
    <n v="0"/>
  </r>
  <r>
    <n v="36559"/>
    <s v="De Staercke"/>
    <s v="Sandra"/>
    <d v="1974-05-27T00:00:00"/>
    <n v="1974"/>
    <x v="3"/>
    <n v="2"/>
  </r>
  <r>
    <n v="36577"/>
    <s v="De Smet"/>
    <s v="Martine"/>
    <d v="1974-04-14T00:00:00"/>
    <n v="1974"/>
    <x v="3"/>
    <n v="1"/>
  </r>
  <r>
    <n v="36624"/>
    <s v="De Meulenaere"/>
    <s v="Kurt"/>
    <d v="1966-05-28T00:00:00"/>
    <n v="1966"/>
    <x v="0"/>
    <n v="3"/>
  </r>
  <r>
    <n v="36625"/>
    <s v="Carion"/>
    <s v="Rojet"/>
    <d v="1983-01-13T00:00:00"/>
    <n v="1983"/>
    <x v="20"/>
    <n v="0"/>
  </r>
  <r>
    <n v="36626"/>
    <s v="Kartal"/>
    <s v="Kadir"/>
    <d v="1997-02-04T00:00:00"/>
    <n v="1997"/>
    <x v="41"/>
    <n v="10"/>
  </r>
  <r>
    <n v="36627"/>
    <s v="Dobbelaere"/>
    <s v="David"/>
    <d v="1977-03-29T00:00:00"/>
    <n v="1977"/>
    <x v="11"/>
    <n v="5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3"/>
  </r>
  <r>
    <n v="36820"/>
    <s v="Haché"/>
    <s v="Philip"/>
    <d v="1961-01-14T00:00:00"/>
    <n v="1961"/>
    <x v="19"/>
    <n v="1"/>
  </r>
  <r>
    <n v="36838"/>
    <s v="De Kesel"/>
    <s v="Milan"/>
    <d v="1999-11-24T00:00:00"/>
    <n v="1999"/>
    <x v="38"/>
    <n v="0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2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1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0"/>
  </r>
  <r>
    <n v="37254"/>
    <s v="Coulon"/>
    <s v="Rayan"/>
    <d v="2000-07-22T00:00:00"/>
    <n v="2000"/>
    <x v="43"/>
    <n v="2"/>
  </r>
  <r>
    <n v="37261"/>
    <s v="Van Wayenbergh"/>
    <s v="Yordi"/>
    <d v="1998-03-18T00:00:00"/>
    <n v="1998"/>
    <x v="42"/>
    <n v="4"/>
  </r>
  <r>
    <n v="37313"/>
    <s v="Dedeci"/>
    <s v="Mecit"/>
    <d v="1975-08-12T00:00:00"/>
    <n v="1975"/>
    <x v="10"/>
    <n v="1"/>
  </r>
  <r>
    <n v="37345"/>
    <s v="Walleyn"/>
    <s v="Renaat"/>
    <d v="1998-04-06T00:00:00"/>
    <n v="1998"/>
    <x v="42"/>
    <n v="3"/>
  </r>
  <r>
    <n v="37439"/>
    <s v="Demirkazik"/>
    <s v="Mustafa"/>
    <d v="1998-01-15T00:00:00"/>
    <n v="1998"/>
    <x v="42"/>
    <n v="4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3"/>
  </r>
  <r>
    <n v="37542"/>
    <s v="De Tandt"/>
    <s v="Hans"/>
    <d v="1968-06-11T00:00:00"/>
    <n v="1968"/>
    <x v="16"/>
    <n v="5"/>
  </r>
  <r>
    <n v="37543"/>
    <s v="Öztürk"/>
    <s v="Bilgehan"/>
    <d v="1969-01-09T00:00:00"/>
    <n v="1969"/>
    <x v="1"/>
    <n v="6"/>
  </r>
  <r>
    <n v="37564"/>
    <s v="Damlakhi"/>
    <s v="Nawras"/>
    <d v="2001-11-05T00:00:00"/>
    <n v="2001"/>
    <x v="44"/>
    <n v="1"/>
  </r>
  <r>
    <n v="37600"/>
    <s v="Smesman"/>
    <s v="Nico"/>
    <d v="1981-04-29T00:00:00"/>
    <n v="1981"/>
    <x v="14"/>
    <n v="0"/>
  </r>
  <r>
    <n v="37609"/>
    <s v="De Groote"/>
    <s v="Dylan"/>
    <d v="1994-03-13T00:00:00"/>
    <n v="1994"/>
    <x v="35"/>
    <n v="2"/>
  </r>
  <r>
    <n v="37662"/>
    <s v="Van den Meerssche"/>
    <s v="Steven"/>
    <d v="1985-06-17T00:00:00"/>
    <n v="1985"/>
    <x v="25"/>
    <n v="8"/>
  </r>
  <r>
    <n v="37683"/>
    <s v="De Boever"/>
    <s v="Charlotte"/>
    <d v="1998-03-09T00:00:00"/>
    <n v="1998"/>
    <x v="42"/>
    <n v="1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3"/>
  </r>
  <r>
    <n v="37907"/>
    <s v="Van Doorselaere"/>
    <s v="Alan"/>
    <d v="1999-11-29T00:00:00"/>
    <n v="1999"/>
    <x v="38"/>
    <n v="0"/>
  </r>
  <r>
    <n v="37908"/>
    <s v="Vandenberghe"/>
    <s v="Michael"/>
    <d v="1990-11-08T00:00:00"/>
    <n v="1990"/>
    <x v="30"/>
    <n v="1"/>
  </r>
  <r>
    <n v="37936"/>
    <s v="Detaeye"/>
    <s v="Alexander"/>
    <d v="1995-07-09T00:00:00"/>
    <n v="1995"/>
    <x v="34"/>
    <n v="2"/>
  </r>
  <r>
    <n v="37950"/>
    <s v="De Naegel"/>
    <s v="Bruno"/>
    <d v="1973-07-13T00:00:00"/>
    <n v="1973"/>
    <x v="5"/>
    <n v="3"/>
  </r>
  <r>
    <n v="37951"/>
    <s v="Van De Voorde"/>
    <s v="Cindy"/>
    <d v="1976-07-20T00:00:00"/>
    <n v="1976"/>
    <x v="2"/>
    <n v="1"/>
  </r>
  <r>
    <n v="37999"/>
    <s v="Dierinck"/>
    <s v="Charles"/>
    <d v="1961-07-25T00:00:00"/>
    <n v="1961"/>
    <x v="19"/>
    <n v="0"/>
  </r>
  <r>
    <n v="38013"/>
    <s v="Mine"/>
    <s v="Akin"/>
    <d v="1989-09-20T00:00:00"/>
    <n v="1989"/>
    <x v="29"/>
    <n v="1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0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4"/>
  </r>
  <r>
    <n v="38481"/>
    <s v="Sari"/>
    <s v="Devrim"/>
    <d v="2000-07-25T00:00:00"/>
    <n v="2000"/>
    <x v="43"/>
    <n v="3"/>
  </r>
  <r>
    <n v="38529"/>
    <s v="Huyghe"/>
    <s v="Jan"/>
    <d v="1982-10-21T00:00:00"/>
    <n v="1982"/>
    <x v="24"/>
    <n v="5"/>
  </r>
  <r>
    <n v="38550"/>
    <s v="Haaze"/>
    <s v="Sarah"/>
    <d v="1981-03-02T00:00:00"/>
    <n v="1981"/>
    <x v="14"/>
    <n v="0"/>
  </r>
  <r>
    <n v="38551"/>
    <s v="Alassad"/>
    <s v="Ahmad"/>
    <d v="1981-01-07T00:00:00"/>
    <n v="1981"/>
    <x v="14"/>
    <n v="1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3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4"/>
  </r>
  <r>
    <n v="38688"/>
    <s v="Basgurboga"/>
    <s v="Selahattin"/>
    <d v="1995-02-19T00:00:00"/>
    <n v="1995"/>
    <x v="34"/>
    <n v="3"/>
  </r>
  <r>
    <n v="38691"/>
    <s v="Muys"/>
    <s v="Aäron"/>
    <d v="2002-01-25T00:00:00"/>
    <n v="2002"/>
    <x v="45"/>
    <n v="0"/>
  </r>
  <r>
    <n v="38731"/>
    <s v="Ben Sidhom"/>
    <s v="Samir"/>
    <d v="1965-05-04T00:00:00"/>
    <n v="1965"/>
    <x v="4"/>
    <n v="1"/>
  </r>
  <r>
    <n v="38740"/>
    <s v="Meskens"/>
    <s v="Anthony"/>
    <d v="1991-05-02T00:00:00"/>
    <n v="1991"/>
    <x v="36"/>
    <n v="2"/>
  </r>
  <r>
    <n v="38807"/>
    <s v="Dossche"/>
    <s v="Caroline"/>
    <d v="1966-01-23T00:00:00"/>
    <n v="1966"/>
    <x v="0"/>
    <n v="4"/>
  </r>
  <r>
    <n v="38808"/>
    <s v="Wasen"/>
    <s v="Jens"/>
    <d v="1984-02-06T00:00:00"/>
    <n v="1984"/>
    <x v="23"/>
    <n v="5"/>
  </r>
  <r>
    <n v="38931"/>
    <s v="Sancak"/>
    <s v="Eyuphan"/>
    <d v="1999-10-05T00:00:00"/>
    <n v="1999"/>
    <x v="38"/>
    <n v="4"/>
  </r>
  <r>
    <n v="38938"/>
    <s v="Sedighi"/>
    <s v="Hamid"/>
    <d v="1991-04-23T00:00:00"/>
    <n v="1991"/>
    <x v="36"/>
    <n v="7"/>
  </r>
  <r>
    <n v="39013"/>
    <s v="Asrih"/>
    <s v="Habib"/>
    <d v="1976-06-26T00:00:00"/>
    <n v="1976"/>
    <x v="2"/>
    <n v="3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2"/>
  </r>
  <r>
    <n v="39101"/>
    <s v="Dalli"/>
    <s v="Mustafa"/>
    <d v="1981-06-26T00:00:00"/>
    <n v="1981"/>
    <x v="14"/>
    <n v="0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1"/>
  </r>
  <r>
    <n v="39146"/>
    <s v="Burrick"/>
    <s v="Alex"/>
    <d v="1978-07-03T00:00:00"/>
    <n v="1978"/>
    <x v="7"/>
    <n v="3"/>
  </r>
  <r>
    <n v="39183"/>
    <s v="Al Masri"/>
    <s v="Anas"/>
    <d v="1988-01-06T00:00:00"/>
    <n v="1988"/>
    <x v="27"/>
    <n v="4"/>
  </r>
  <r>
    <n v="39184"/>
    <s v="Shinwari"/>
    <s v="Yasin"/>
    <d v="1992-11-30T00:00:00"/>
    <n v="1992"/>
    <x v="32"/>
    <n v="3"/>
  </r>
  <r>
    <n v="39251"/>
    <s v="Abdi Ali"/>
    <s v="Ali"/>
    <d v="2000-10-23T00:00:00"/>
    <n v="2000"/>
    <x v="43"/>
    <n v="0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1"/>
  </r>
  <r>
    <n v="39358"/>
    <s v="Weeks Aracena"/>
    <s v="Jimmy Alexander"/>
    <d v="1979-12-06T00:00:00"/>
    <n v="1979"/>
    <x v="12"/>
    <n v="5"/>
  </r>
  <r>
    <n v="39379"/>
    <s v="Bensalah"/>
    <s v="Mohammed"/>
    <d v="1986-12-29T00:00:00"/>
    <n v="1986"/>
    <x v="26"/>
    <n v="2"/>
  </r>
  <r>
    <n v="39528"/>
    <s v="Mihaylov"/>
    <s v="Plamen"/>
    <d v="1988-08-03T00:00:00"/>
    <n v="1988"/>
    <x v="27"/>
    <n v="4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6"/>
  </r>
  <r>
    <n v="39558"/>
    <s v="De Groote"/>
    <s v="Cedric"/>
    <d v="1986-04-17T00:00:00"/>
    <n v="1986"/>
    <x v="26"/>
    <n v="2"/>
  </r>
  <r>
    <n v="39575"/>
    <s v="Nguende Ngatcheu"/>
    <s v="Ivan Belerd"/>
    <d v="1998-06-19T00:00:00"/>
    <n v="1998"/>
    <x v="42"/>
    <n v="0"/>
  </r>
  <r>
    <n v="39581"/>
    <s v="Vandenhaute"/>
    <s v="Linus"/>
    <d v="1999-11-17T00:00:00"/>
    <n v="1999"/>
    <x v="38"/>
    <n v="5"/>
  </r>
  <r>
    <n v="39610"/>
    <s v="Sayin"/>
    <s v="Batuhan"/>
    <d v="1997-07-04T00:00:00"/>
    <n v="1997"/>
    <x v="41"/>
    <n v="1"/>
  </r>
  <r>
    <n v="39651"/>
    <s v="Kallenbach"/>
    <s v="Sunny"/>
    <d v="1988-06-27T00:00:00"/>
    <n v="1988"/>
    <x v="27"/>
    <n v="4"/>
  </r>
  <r>
    <n v="39654"/>
    <s v="Camacho Encarnacion"/>
    <s v="Lisandro Javier"/>
    <d v="1997-05-05T00:00:00"/>
    <n v="1997"/>
    <x v="41"/>
    <n v="2"/>
  </r>
  <r>
    <n v="39660"/>
    <s v="Lloyd"/>
    <s v="Glenn"/>
    <d v="1988-08-13T00:00:00"/>
    <n v="1988"/>
    <x v="27"/>
    <n v="6"/>
  </r>
  <r>
    <n v="39673"/>
    <s v="Steurbaut"/>
    <s v="Henri"/>
    <d v="1969-07-07T00:00:00"/>
    <n v="1969"/>
    <x v="1"/>
    <n v="5"/>
  </r>
  <r>
    <n v="39677"/>
    <s v="Tacq"/>
    <s v="Joey"/>
    <d v="1999-03-03T00:00:00"/>
    <n v="1999"/>
    <x v="38"/>
    <n v="1"/>
  </r>
  <r>
    <n v="39712"/>
    <s v="Repaj"/>
    <s v="Ramazan"/>
    <d v="1997-01-31T00:00:00"/>
    <n v="1997"/>
    <x v="41"/>
    <n v="4"/>
  </r>
  <r>
    <n v="39715"/>
    <s v="El Khayat"/>
    <s v="Jamal"/>
    <d v="1981-01-01T00:00:00"/>
    <n v="1981"/>
    <x v="14"/>
    <n v="0"/>
  </r>
  <r>
    <n v="39728"/>
    <s v="Nohut"/>
    <s v="Baki"/>
    <d v="1999-07-06T00:00:00"/>
    <n v="1999"/>
    <x v="38"/>
    <n v="2"/>
  </r>
  <r>
    <n v="39779"/>
    <s v="Avci"/>
    <s v="Muhammet Abdullah"/>
    <d v="1992-09-08T00:00:00"/>
    <n v="1992"/>
    <x v="32"/>
    <n v="7"/>
  </r>
  <r>
    <n v="39829"/>
    <s v="Demirkaya"/>
    <s v="Serkan"/>
    <d v="1988-06-27T00:00:00"/>
    <n v="1988"/>
    <x v="27"/>
    <n v="2"/>
  </r>
  <r>
    <n v="39831"/>
    <s v="Dolgiev"/>
    <s v="Mukhamed"/>
    <d v="1996-04-03T00:00:00"/>
    <n v="1996"/>
    <x v="37"/>
    <n v="1"/>
  </r>
  <r>
    <n v="39850"/>
    <s v="Helleputte"/>
    <s v="William"/>
    <d v="1972-07-08T00:00:00"/>
    <n v="1972"/>
    <x v="13"/>
    <n v="2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4"/>
  </r>
  <r>
    <n v="39889"/>
    <s v="Stanikazi"/>
    <s v="Roien Sadder"/>
    <d v="1977-07-01T00:00:00"/>
    <n v="1977"/>
    <x v="11"/>
    <n v="1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2"/>
  </r>
  <r>
    <n v="39928"/>
    <s v="Momand"/>
    <s v="Abdullah"/>
    <d v="1998-01-01T00:00:00"/>
    <n v="1998"/>
    <x v="42"/>
    <n v="1"/>
  </r>
  <r>
    <n v="39929"/>
    <s v="Staneva"/>
    <s v="Mariyana"/>
    <d v="1983-08-25T00:00:00"/>
    <n v="1983"/>
    <x v="20"/>
    <n v="9"/>
  </r>
  <r>
    <n v="39930"/>
    <s v="Mirazai"/>
    <s v="Rahmatullah"/>
    <d v="1992-01-01T00:00:00"/>
    <n v="1992"/>
    <x v="32"/>
    <n v="2"/>
  </r>
  <r>
    <n v="39985"/>
    <s v="Mattan"/>
    <s v="Maaren"/>
    <d v="1997-08-28T00:00:00"/>
    <n v="1997"/>
    <x v="41"/>
    <n v="0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2"/>
  </r>
  <r>
    <n v="40006"/>
    <s v="De Ridder"/>
    <s v="Benjamin"/>
    <d v="2004-11-23T00:00:00"/>
    <n v="2004"/>
    <x v="46"/>
    <n v="1"/>
  </r>
  <r>
    <n v="40036"/>
    <s v="Karakaya"/>
    <s v="Oguz"/>
    <d v="1978-08-21T00:00:00"/>
    <n v="1978"/>
    <x v="7"/>
    <n v="2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3"/>
  </r>
  <r>
    <n v="40110"/>
    <s v="Vanlerberghe"/>
    <s v="Sandra"/>
    <d v="1973-07-24T00:00:00"/>
    <n v="1973"/>
    <x v="5"/>
    <n v="7"/>
  </r>
  <r>
    <n v="40134"/>
    <s v="Cardon"/>
    <s v="Sharon"/>
    <d v="1995-08-06T00:00:00"/>
    <n v="1995"/>
    <x v="34"/>
    <n v="4"/>
  </r>
  <r>
    <n v="40138"/>
    <s v="Moerman"/>
    <s v="Tjimmy"/>
    <d v="2003-04-15T00:00:00"/>
    <n v="2003"/>
    <x v="47"/>
    <n v="10"/>
  </r>
  <r>
    <n v="40143"/>
    <s v="De Waegeneer"/>
    <s v="Michael"/>
    <d v="1991-04-05T00:00:00"/>
    <n v="1991"/>
    <x v="36"/>
    <n v="0"/>
  </r>
  <r>
    <n v="40200"/>
    <s v="Shahriyari"/>
    <s v="Khalil"/>
    <d v="1993-01-01T00:00:00"/>
    <n v="1993"/>
    <x v="33"/>
    <n v="2"/>
  </r>
  <r>
    <n v="40201"/>
    <s v="VandenDaele"/>
    <s v="Arne"/>
    <d v="2003-09-15T00:00:00"/>
    <n v="2003"/>
    <x v="47"/>
    <n v="0"/>
  </r>
  <r>
    <n v="40222"/>
    <s v="Van Iterson"/>
    <s v="Sharon"/>
    <d v="1998-06-09T00:00:00"/>
    <n v="1998"/>
    <x v="42"/>
    <n v="2"/>
  </r>
  <r>
    <n v="40264"/>
    <s v="Troch"/>
    <s v="Jorick"/>
    <d v="1989-10-12T00:00:00"/>
    <n v="1989"/>
    <x v="29"/>
    <n v="0"/>
  </r>
  <r>
    <n v="40266"/>
    <s v="Taibi"/>
    <s v="Yassine"/>
    <d v="1998-07-13T00:00:00"/>
    <n v="1998"/>
    <x v="42"/>
    <n v="3"/>
  </r>
  <r>
    <n v="40278"/>
    <s v="Ates"/>
    <s v="Firat"/>
    <d v="1983-02-06T00:00:00"/>
    <n v="1983"/>
    <x v="20"/>
    <n v="4"/>
  </r>
  <r>
    <n v="40294"/>
    <s v="Khder"/>
    <s v="Aram"/>
    <d v="1992-01-01T00:00:00"/>
    <n v="1992"/>
    <x v="32"/>
    <n v="1"/>
  </r>
  <r>
    <n v="40362"/>
    <s v="Kuru"/>
    <s v="Cetin"/>
    <d v="1978-05-03T00:00:00"/>
    <n v="1978"/>
    <x v="7"/>
    <n v="3"/>
  </r>
  <r>
    <n v="40393"/>
    <s v="Salimova"/>
    <s v="Eydzhan"/>
    <d v="1997-12-08T00:00:00"/>
    <n v="1997"/>
    <x v="41"/>
    <n v="1"/>
  </r>
  <r>
    <n v="40400"/>
    <s v="Sherifi"/>
    <s v="Gani"/>
    <d v="1970-03-19T00:00:00"/>
    <n v="1970"/>
    <x v="8"/>
    <n v="0"/>
  </r>
  <r>
    <n v="40403"/>
    <s v="Prové"/>
    <s v="Michaël"/>
    <d v="1979-02-12T00:00:00"/>
    <n v="1979"/>
    <x v="12"/>
    <n v="3"/>
  </r>
  <r>
    <n v="40414"/>
    <s v="Ennakaba"/>
    <s v="Khaoula"/>
    <d v="2002-02-13T00:00:00"/>
    <n v="2002"/>
    <x v="45"/>
    <n v="1"/>
  </r>
  <r>
    <n v="40421"/>
    <s v="Dekeuckelaere"/>
    <s v="Eric"/>
    <d v="1956-03-22T00:00:00"/>
    <n v="1956"/>
    <x v="48"/>
    <n v="0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1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0"/>
  </r>
  <r>
    <n v="40478"/>
    <s v="Hashimi"/>
    <s v="Ali Mir"/>
    <d v="2000-01-22T00:00:00"/>
    <n v="2000"/>
    <x v="43"/>
    <n v="4"/>
  </r>
  <r>
    <n v="40486"/>
    <s v="De Souza"/>
    <s v="Marcos Eduardo"/>
    <d v="2001-01-31T00:00:00"/>
    <n v="2001"/>
    <x v="44"/>
    <n v="1"/>
  </r>
  <r>
    <n v="40521"/>
    <s v="Mekdad"/>
    <s v="Ali"/>
    <d v="1986-02-19T00:00:00"/>
    <n v="1986"/>
    <x v="26"/>
    <n v="2"/>
  </r>
  <r>
    <n v="40590"/>
    <s v="Noppe"/>
    <s v="Lode"/>
    <d v="1985-09-16T00:00:00"/>
    <n v="1985"/>
    <x v="25"/>
    <n v="0"/>
  </r>
  <r>
    <n v="40591"/>
    <s v="Hiloui"/>
    <s v="Mahmoud"/>
    <d v="1974-05-18T00:00:00"/>
    <n v="1974"/>
    <x v="3"/>
    <n v="2"/>
  </r>
  <r>
    <n v="40608"/>
    <s v="Kurti"/>
    <s v="Domeniko"/>
    <d v="1993-11-01T00:00:00"/>
    <n v="1993"/>
    <x v="33"/>
    <n v="1"/>
  </r>
  <r>
    <n v="40645"/>
    <s v="Bytebier"/>
    <s v="Jason"/>
    <d v="1994-02-28T00:00:00"/>
    <n v="1994"/>
    <x v="35"/>
    <n v="2"/>
  </r>
  <r>
    <n v="40652"/>
    <s v="Van Damme"/>
    <s v="Gilyann"/>
    <d v="1999-11-19T00:00:00"/>
    <n v="1999"/>
    <x v="38"/>
    <n v="7"/>
  </r>
  <r>
    <n v="40744"/>
    <s v="Gözüküçük"/>
    <s v="Ugur"/>
    <d v="1995-06-09T00:00:00"/>
    <n v="1995"/>
    <x v="34"/>
    <n v="6"/>
  </r>
  <r>
    <n v="40745"/>
    <s v="Ivanov"/>
    <s v="Ivan"/>
    <d v="1991-10-12T00:00:00"/>
    <n v="1991"/>
    <x v="36"/>
    <n v="1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5"/>
  </r>
  <r>
    <n v="40859"/>
    <s v="Yagoub"/>
    <s v="Abdelali"/>
    <d v="1982-01-10T00:00:00"/>
    <n v="1982"/>
    <x v="24"/>
    <n v="4"/>
  </r>
  <r>
    <n v="40890"/>
    <s v="Hyuseinov"/>
    <s v="Berdan"/>
    <d v="2003-03-25T00:00:00"/>
    <n v="2003"/>
    <x v="47"/>
    <n v="0"/>
  </r>
  <r>
    <n v="40938"/>
    <s v="Hasnaoui"/>
    <s v="Nejmeddine"/>
    <d v="1987-07-03T00:00:00"/>
    <n v="1987"/>
    <x v="28"/>
    <n v="4"/>
  </r>
  <r>
    <n v="40939"/>
    <s v="Cisse"/>
    <s v="Sayon"/>
    <d v="2003-09-02T00:00:00"/>
    <n v="2003"/>
    <x v="47"/>
    <n v="3"/>
  </r>
  <r>
    <n v="41012"/>
    <s v="Natad"/>
    <s v="Younes"/>
    <d v="1974-06-07T00:00:00"/>
    <n v="1974"/>
    <x v="3"/>
    <n v="2"/>
  </r>
  <r>
    <n v="41032"/>
    <s v="Rocabado Hinojosa"/>
    <s v="Lukas"/>
    <d v="2000-07-18T00:00:00"/>
    <n v="2000"/>
    <x v="43"/>
    <n v="4"/>
  </r>
  <r>
    <n v="41064"/>
    <s v="Ardic"/>
    <s v="Atilla"/>
    <d v="2003-01-26T00:00:00"/>
    <n v="2003"/>
    <x v="47"/>
    <n v="2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8"/>
  </r>
  <r>
    <n v="41101"/>
    <s v="Shah"/>
    <s v="Sekandar"/>
    <d v="1996-12-20T00:00:00"/>
    <n v="1996"/>
    <x v="37"/>
    <n v="1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5"/>
  </r>
  <r>
    <n v="41230"/>
    <s v="De Witte"/>
    <s v="Bart"/>
    <d v="1975-01-30T00:00:00"/>
    <n v="1975"/>
    <x v="10"/>
    <n v="2"/>
  </r>
  <r>
    <n v="41246"/>
    <s v="Van Holsbeeck"/>
    <s v="Yana"/>
    <d v="2000-04-07T00:00:00"/>
    <n v="2000"/>
    <x v="43"/>
    <n v="3"/>
  </r>
  <r>
    <n v="41296"/>
    <s v="Abulehia"/>
    <s v="Oday"/>
    <d v="2000-07-12T00:00:00"/>
    <n v="2000"/>
    <x v="43"/>
    <n v="2"/>
  </r>
  <r>
    <n v="41344"/>
    <s v="Frise"/>
    <s v="Jordi"/>
    <d v="1995-10-11T00:00:00"/>
    <n v="1995"/>
    <x v="34"/>
    <n v="0"/>
  </r>
  <r>
    <n v="41348"/>
    <s v="Van Huffel"/>
    <s v="Tim"/>
    <d v="1997-01-13T00:00:00"/>
    <n v="1997"/>
    <x v="41"/>
    <n v="1"/>
  </r>
  <r>
    <n v="41357"/>
    <s v="Inci"/>
    <s v="Ramazan"/>
    <d v="1998-06-01T00:00:00"/>
    <n v="1998"/>
    <x v="42"/>
    <n v="0"/>
  </r>
  <r>
    <n v="41383"/>
    <s v="De Pauw"/>
    <s v="Tony"/>
    <d v="1969-03-10T00:00:00"/>
    <n v="1969"/>
    <x v="1"/>
    <n v="1"/>
  </r>
  <r>
    <n v="41384"/>
    <s v="Hillaert"/>
    <s v="Thimo"/>
    <d v="2003-12-26T00:00:00"/>
    <n v="2003"/>
    <x v="47"/>
    <n v="4"/>
  </r>
  <r>
    <n v="41482"/>
    <s v="Özdemir"/>
    <s v="Osman"/>
    <d v="1978-12-13T00:00:00"/>
    <n v="1978"/>
    <x v="7"/>
    <n v="3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0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2"/>
  </r>
  <r>
    <n v="41619"/>
    <s v="Bachiri"/>
    <s v="Ousama"/>
    <d v="1990-11-27T00:00:00"/>
    <n v="1990"/>
    <x v="30"/>
    <n v="3"/>
  </r>
  <r>
    <n v="41632"/>
    <s v="Van Eeckhaut"/>
    <s v="Rudi"/>
    <d v="1967-10-22T00:00:00"/>
    <n v="1967"/>
    <x v="18"/>
    <n v="0"/>
  </r>
  <r>
    <n v="41671"/>
    <s v="Hasan"/>
    <s v="Salem"/>
    <d v="1988-08-02T00:00:00"/>
    <n v="1988"/>
    <x v="27"/>
    <n v="1"/>
  </r>
  <r>
    <n v="41685"/>
    <s v="Zjarmi"/>
    <s v="Hylgis"/>
    <d v="2003-05-26T00:00:00"/>
    <n v="2003"/>
    <x v="47"/>
    <n v="0"/>
  </r>
  <r>
    <n v="41690"/>
    <s v="Van de Winckel"/>
    <s v="Kelly"/>
    <d v="1986-02-28T00:00:00"/>
    <n v="1986"/>
    <x v="26"/>
    <n v="1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0"/>
  </r>
  <r>
    <n v="41870"/>
    <s v="Goossens"/>
    <s v="Yannick"/>
    <d v="1999-08-18T00:00:00"/>
    <n v="1999"/>
    <x v="38"/>
    <n v="1"/>
  </r>
  <r>
    <n v="41871"/>
    <s v="Karanfil"/>
    <s v="Ibrahim"/>
    <d v="1999-07-16T00:00:00"/>
    <n v="1999"/>
    <x v="38"/>
    <n v="2"/>
  </r>
  <r>
    <n v="41874"/>
    <s v="Dobbeleire"/>
    <s v="Bruno"/>
    <d v="1971-07-29T00:00:00"/>
    <n v="1971"/>
    <x v="17"/>
    <n v="3"/>
  </r>
  <r>
    <n v="41882"/>
    <s v="Van der Bauwhede"/>
    <s v="Ben"/>
    <d v="1988-12-02T00:00:00"/>
    <n v="1988"/>
    <x v="27"/>
    <n v="0"/>
  </r>
  <r>
    <n v="41888"/>
    <s v="De Rammelaere"/>
    <s v="Bjorn"/>
    <d v="1978-03-11T00:00:00"/>
    <n v="1978"/>
    <x v="7"/>
    <n v="1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0"/>
  </r>
  <r>
    <n v="41948"/>
    <s v="Vervaecke"/>
    <s v="Wim"/>
    <d v="1966-05-03T00:00:00"/>
    <n v="1966"/>
    <x v="0"/>
    <n v="2"/>
  </r>
  <r>
    <n v="41949"/>
    <s v="Van Loo"/>
    <s v="Mike"/>
    <d v="1987-09-29T00:00:00"/>
    <n v="1987"/>
    <x v="28"/>
    <n v="0"/>
  </r>
  <r>
    <n v="42002"/>
    <s v="Bogaert"/>
    <s v="Kevin"/>
    <d v="2003-02-18T00:00:00"/>
    <n v="2003"/>
    <x v="47"/>
    <n v="3"/>
  </r>
  <r>
    <n v="42015"/>
    <s v="Crop"/>
    <s v="Alexander"/>
    <d v="1985-10-05T00:00:00"/>
    <n v="1985"/>
    <x v="25"/>
    <n v="1"/>
  </r>
  <r>
    <n v="42022"/>
    <s v="Safi"/>
    <s v="Amrullah"/>
    <d v="1999-03-06T00:00:00"/>
    <n v="1999"/>
    <x v="38"/>
    <n v="0"/>
  </r>
  <r>
    <n v="42044"/>
    <s v="El Gana"/>
    <s v="Karim"/>
    <d v="1991-09-19T00:00:00"/>
    <n v="1991"/>
    <x v="36"/>
    <n v="1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0"/>
  </r>
  <r>
    <n v="42143"/>
    <s v="Rahoens"/>
    <s v="Christ"/>
    <d v="1988-01-12T00:00:00"/>
    <n v="1988"/>
    <x v="27"/>
    <n v="1"/>
  </r>
  <r>
    <n v="42144"/>
    <s v="Coppens"/>
    <s v="Lauwrence"/>
    <d v="1996-10-29T00:00:00"/>
    <n v="1996"/>
    <x v="37"/>
    <n v="0"/>
  </r>
  <r>
    <n v="42145"/>
    <s v="Gys"/>
    <s v="Shayya"/>
    <d v="2001-01-03T00:00:00"/>
    <n v="2001"/>
    <x v="44"/>
    <n v="2"/>
  </r>
  <r>
    <n v="42146"/>
    <s v="Cichonski"/>
    <s v="Kamil"/>
    <d v="1993-10-09T00:00:00"/>
    <n v="1993"/>
    <x v="33"/>
    <n v="3"/>
  </r>
  <r>
    <n v="42164"/>
    <s v="Orozco Camacho"/>
    <s v="Ronald Reynaldo"/>
    <d v="1984-03-26T00:00:00"/>
    <n v="1984"/>
    <x v="23"/>
    <n v="0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1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5"/>
  </r>
  <r>
    <n v="42269"/>
    <s v="Ahmed"/>
    <s v="Abdul"/>
    <d v="2000-04-26T00:00:00"/>
    <n v="2000"/>
    <x v="43"/>
    <n v="0"/>
  </r>
  <r>
    <n v="42277"/>
    <s v="Güler"/>
    <s v="Ender"/>
    <d v="1983-07-21T00:00:00"/>
    <n v="1983"/>
    <x v="20"/>
    <n v="1"/>
  </r>
  <r>
    <n v="42307"/>
    <s v="Helleputte"/>
    <s v="Jens"/>
    <d v="2000-11-16T00:00:00"/>
    <n v="2000"/>
    <x v="43"/>
    <n v="3"/>
  </r>
  <r>
    <n v="42336"/>
    <s v="Camgöz"/>
    <s v="Furkan"/>
    <d v="2004-09-23T00:00:00"/>
    <n v="2004"/>
    <x v="46"/>
    <n v="1"/>
  </r>
  <r>
    <n v="42358"/>
    <s v="Keita"/>
    <s v="Yassin"/>
    <d v="2006-05-03T00:00:00"/>
    <n v="2006"/>
    <x v="49"/>
    <n v="0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4"/>
  </r>
  <r>
    <n v="4525"/>
    <s v="Vanthomme"/>
    <s v="Geert"/>
    <d v="1965-09-16T00:00:00"/>
    <n v="1965"/>
    <x v="4"/>
    <n v="0"/>
  </r>
  <r>
    <n v="4608"/>
    <s v="Steenbrugge"/>
    <s v="Johan"/>
    <d v="1963-01-18T00:00:00"/>
    <n v="1963"/>
    <x v="6"/>
    <n v="1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0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1"/>
  </r>
  <r>
    <n v="5080"/>
    <s v="Van Damme"/>
    <s v="Karin"/>
    <d v="1966-11-09T00:00:00"/>
    <n v="1966"/>
    <x v="0"/>
    <n v="0"/>
  </r>
  <r>
    <n v="5559"/>
    <s v="Hoste"/>
    <s v="Tania"/>
    <d v="1968-02-01T00:00:00"/>
    <n v="1968"/>
    <x v="16"/>
    <n v="2"/>
  </r>
  <r>
    <n v="5599"/>
    <s v="Pretel"/>
    <s v="Philippe"/>
    <d v="1967-03-20T00:00:00"/>
    <n v="1967"/>
    <x v="18"/>
    <n v="1"/>
  </r>
  <r>
    <n v="5718"/>
    <s v="Dejonckheere"/>
    <s v="Inge"/>
    <d v="1968-09-17T00:00:00"/>
    <n v="1968"/>
    <x v="16"/>
    <n v="2"/>
  </r>
  <r>
    <n v="5813"/>
    <s v="Binard"/>
    <s v="Sabine"/>
    <d v="1968-05-03T00:00:00"/>
    <n v="1968"/>
    <x v="16"/>
    <n v="1"/>
  </r>
  <r>
    <n v="6049"/>
    <s v="Jouret"/>
    <s v="Alain"/>
    <d v="1965-07-19T00:00:00"/>
    <n v="1965"/>
    <x v="4"/>
    <n v="0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1"/>
  </r>
  <r>
    <n v="6309"/>
    <s v="Busson"/>
    <s v="Dirk"/>
    <d v="1971-08-02T00:00:00"/>
    <n v="1971"/>
    <x v="17"/>
    <n v="0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1"/>
  </r>
  <r>
    <n v="7748"/>
    <s v="Baetslé"/>
    <s v="Stephen"/>
    <d v="1969-02-28T00:00:00"/>
    <n v="1969"/>
    <x v="1"/>
    <n v="0"/>
  </r>
  <r>
    <n v="8016"/>
    <s v="Vinck"/>
    <s v="Roland"/>
    <d v="1967-03-24T00:00:00"/>
    <n v="1967"/>
    <x v="18"/>
    <n v="2"/>
  </r>
  <r>
    <n v="8196"/>
    <s v="Remue"/>
    <s v="Wim"/>
    <d v="1970-12-20T00:00:00"/>
    <n v="1970"/>
    <x v="8"/>
    <n v="0"/>
  </r>
  <r>
    <n v="8391"/>
    <s v="Lucq"/>
    <s v="Joeri"/>
    <d v="1970-02-28T00:00:00"/>
    <n v="1970"/>
    <x v="8"/>
    <n v="1"/>
  </r>
  <r>
    <n v="8393"/>
    <s v="Priem"/>
    <s v="Sandra"/>
    <d v="1972-03-22T00:00:00"/>
    <n v="1972"/>
    <x v="13"/>
    <n v="0"/>
  </r>
  <r>
    <n v="8394"/>
    <s v="Smet"/>
    <s v="Antoon"/>
    <d v="1973-11-28T00:00:00"/>
    <n v="1973"/>
    <x v="5"/>
    <n v="4"/>
  </r>
  <r>
    <n v="8708"/>
    <s v="Middernacht"/>
    <s v="Andy"/>
    <d v="1975-06-26T00:00:00"/>
    <n v="1975"/>
    <x v="10"/>
    <n v="1"/>
  </r>
  <r>
    <n v="8792"/>
    <s v="VandenDaele"/>
    <s v="Dave"/>
    <d v="1976-05-30T00:00:00"/>
    <n v="1976"/>
    <x v="2"/>
    <n v="0"/>
  </r>
  <r>
    <n v="8918"/>
    <s v="De Graeve"/>
    <s v="Marc"/>
    <d v="1963-06-10T00:00:00"/>
    <n v="1963"/>
    <x v="6"/>
    <n v="1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0"/>
  </r>
  <r>
    <n v="9824"/>
    <s v="De Meulenaere"/>
    <s v="Eric"/>
    <d v="1965-02-11T00:00:00"/>
    <n v="1965"/>
    <x v="4"/>
    <n v="1"/>
  </r>
  <r>
    <n v="9979"/>
    <s v="Loots"/>
    <s v="Wim"/>
    <d v="1976-10-20T00:00:00"/>
    <n v="1976"/>
    <x v="2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e Clercq, Marc"/>
    <s v="Marc"/>
    <s v="De Clercq"/>
    <n v="3926"/>
    <s v="Van Der Beken, Bart"/>
    <x v="0"/>
    <x v="0"/>
    <n v="0"/>
  </r>
  <r>
    <s v="Maelbrancke, Eddy"/>
    <s v="Eddy"/>
    <s v="Maelbrancke"/>
    <n v="4419"/>
    <s v="Vande Velde, Lucie"/>
    <x v="1"/>
    <x v="1"/>
    <n v="4"/>
  </r>
  <r>
    <s v="Vanthomme, Geert"/>
    <s v="Geert"/>
    <s v="Vanthomme"/>
    <n v="4525"/>
    <s v="De Rick, Kenneth"/>
    <x v="2"/>
    <x v="2"/>
    <n v="0"/>
  </r>
  <r>
    <s v="Steenbrugge, Johan"/>
    <s v="Johan"/>
    <s v="Steenbrugge"/>
    <n v="4608"/>
    <s v="Vande Velde, Lucie"/>
    <x v="3"/>
    <x v="2"/>
    <n v="1"/>
  </r>
  <r>
    <s v="De Roo, Jo"/>
    <s v="Jo"/>
    <s v="De Roo"/>
    <n v="4720"/>
    <s v="Vanhoe, Els"/>
    <x v="4"/>
    <x v="2"/>
    <n v="1"/>
  </r>
  <r>
    <s v="Beke, Erik"/>
    <s v="Erik"/>
    <s v="Beke"/>
    <n v="4764"/>
    <s v="Van Der Beken, Bart"/>
    <x v="5"/>
    <x v="3"/>
    <n v="0"/>
  </r>
  <r>
    <s v="De Fré, Sandra"/>
    <s v="Sandra"/>
    <s v="De Fré"/>
    <n v="4793"/>
    <s v="Vande Velde, Lucie"/>
    <x v="6"/>
    <x v="3"/>
    <n v="0"/>
  </r>
  <r>
    <s v="Vervust, Guido"/>
    <s v="Guido"/>
    <s v="Vervust"/>
    <n v="4943"/>
    <s v="Dewulf, Els"/>
    <x v="7"/>
    <x v="3"/>
    <n v="0"/>
  </r>
  <r>
    <s v="De Clercq, Peter"/>
    <s v="Peter"/>
    <s v="De Clercq"/>
    <n v="5061"/>
    <s v="De Rick, Kenneth"/>
    <x v="8"/>
    <x v="4"/>
    <n v="0"/>
  </r>
  <r>
    <s v="Merre, Bart"/>
    <s v="Bart"/>
    <s v="Merre"/>
    <n v="5063"/>
    <s v="Vande Velde, Lucie"/>
    <x v="8"/>
    <x v="4"/>
    <n v="1"/>
  </r>
  <r>
    <s v="Van Damme, Karin"/>
    <s v="Karin"/>
    <s v="Van Damme"/>
    <n v="5080"/>
    <s v="Vanhoe, Els"/>
    <x v="9"/>
    <x v="4"/>
    <n v="0"/>
  </r>
  <r>
    <s v="Hoste, Tania"/>
    <s v="Tania"/>
    <s v="Hoste"/>
    <n v="5559"/>
    <s v="Storm, Steven"/>
    <x v="10"/>
    <x v="4"/>
    <n v="2"/>
  </r>
  <r>
    <s v="Pretel, Philippe"/>
    <s v="Philippe"/>
    <s v="Pretel"/>
    <n v="5599"/>
    <s v="Storm, Steven"/>
    <x v="11"/>
    <x v="5"/>
    <n v="1"/>
  </r>
  <r>
    <s v="Dejonckheere, Inge"/>
    <s v="Inge"/>
    <s v="Dejonckheere"/>
    <n v="5718"/>
    <s v="De Rick, Kenneth"/>
    <x v="12"/>
    <x v="5"/>
    <n v="2"/>
  </r>
  <r>
    <s v="Binard, Sabine"/>
    <s v="Sabine"/>
    <s v="Binard"/>
    <n v="5813"/>
    <s v="Vande Velde, Lucie"/>
    <x v="13"/>
    <x v="5"/>
    <n v="1"/>
  </r>
  <r>
    <s v="Jouret, Alain"/>
    <s v="Alain"/>
    <s v="Jouret"/>
    <n v="6049"/>
    <s v="Vande Velde, Lucie"/>
    <x v="14"/>
    <x v="5"/>
    <n v="0"/>
  </r>
  <r>
    <s v="Vantilcke, Fabien"/>
    <s v="Fabien"/>
    <s v="Vantilcke"/>
    <n v="6067"/>
    <s v="Vande Velde, Lucie"/>
    <x v="15"/>
    <x v="5"/>
    <n v="0"/>
  </r>
  <r>
    <s v="Boone, Pascal"/>
    <s v="Pascal"/>
    <s v="Boone"/>
    <n v="6092"/>
    <s v="Storm, Steven"/>
    <x v="16"/>
    <x v="5"/>
    <n v="0"/>
  </r>
  <r>
    <s v="De Meyer, Antoon"/>
    <s v="Antoon"/>
    <s v="De Meyer"/>
    <n v="6229"/>
    <s v="Vanhoe, Els"/>
    <x v="17"/>
    <x v="6"/>
    <n v="1"/>
  </r>
  <r>
    <s v="Busson, Dirk"/>
    <s v="Dirk"/>
    <s v="Busson"/>
    <n v="6309"/>
    <s v="De Rick, Kenneth"/>
    <x v="18"/>
    <x v="6"/>
    <n v="0"/>
  </r>
  <r>
    <s v="Martens, Dominique"/>
    <s v="Dominique"/>
    <s v="Martens"/>
    <n v="7422"/>
    <s v="Van Der Beken, Bart"/>
    <x v="19"/>
    <x v="7"/>
    <n v="0"/>
  </r>
  <r>
    <s v="Aelterman, Didier"/>
    <s v="Didier"/>
    <s v="Aelterman"/>
    <n v="7746"/>
    <s v="Rotty, Christoff"/>
    <x v="20"/>
    <x v="7"/>
    <n v="1"/>
  </r>
  <r>
    <s v="Baetslé, Stephen"/>
    <s v="Stephen"/>
    <s v="Baetslé"/>
    <n v="7748"/>
    <s v="Vande Velde, Lucie"/>
    <x v="20"/>
    <x v="7"/>
    <n v="0"/>
  </r>
  <r>
    <s v="Vinck, Roland"/>
    <s v="Roland"/>
    <s v="Vinck"/>
    <n v="8016"/>
    <s v="De Clercq, Dominique"/>
    <x v="21"/>
    <x v="8"/>
    <n v="2"/>
  </r>
  <r>
    <s v="Remue, Wim"/>
    <s v="Wim"/>
    <s v="Remue"/>
    <n v="8196"/>
    <s v="Rotty, Christoff"/>
    <x v="22"/>
    <x v="8"/>
    <n v="0"/>
  </r>
  <r>
    <s v="Lucq, Joeri"/>
    <s v="Joeri"/>
    <s v="Lucq"/>
    <n v="8391"/>
    <s v="Vanhoe, Els"/>
    <x v="23"/>
    <x v="8"/>
    <n v="1"/>
  </r>
  <r>
    <s v="Priem, Sandra"/>
    <s v="Sandra"/>
    <s v="Priem"/>
    <n v="8393"/>
    <s v="Storm, Steven"/>
    <x v="23"/>
    <x v="8"/>
    <n v="0"/>
  </r>
  <r>
    <s v="Smet, Antoon"/>
    <s v="Antoon"/>
    <s v="Smet"/>
    <n v="8394"/>
    <s v="Vande Velde, Lucie"/>
    <x v="23"/>
    <x v="8"/>
    <n v="4"/>
  </r>
  <r>
    <s v="Middernacht, Andy"/>
    <s v="Andy"/>
    <s v="Middernacht"/>
    <n v="8708"/>
    <s v="Vande Velde, Lucie"/>
    <x v="24"/>
    <x v="8"/>
    <n v="1"/>
  </r>
  <r>
    <s v="VandenDaele, Dave"/>
    <s v="Dave"/>
    <s v="VandenDaele"/>
    <n v="8792"/>
    <s v="Van Der Beken, Bart"/>
    <x v="25"/>
    <x v="8"/>
    <n v="0"/>
  </r>
  <r>
    <s v="De Graeve, Marc"/>
    <s v="Marc"/>
    <s v="De Graeve"/>
    <n v="8918"/>
    <s v="De Rick, Kenneth"/>
    <x v="26"/>
    <x v="8"/>
    <n v="1"/>
  </r>
  <r>
    <s v="Lust, Dominiek"/>
    <s v="Dominiek"/>
    <s v="Lust"/>
    <n v="9667"/>
    <s v="De Rick, Kenneth"/>
    <x v="27"/>
    <x v="9"/>
    <n v="0"/>
  </r>
  <r>
    <s v="Westelinck, Davy"/>
    <s v="Davy"/>
    <s v="Westelinck"/>
    <n v="9062"/>
    <s v="De Rick, Kenneth"/>
    <x v="28"/>
    <x v="9"/>
    <n v="1"/>
  </r>
  <r>
    <s v="Dewispelaere, Danny"/>
    <s v="Danny"/>
    <s v="Dewispelaere"/>
    <n v="9065"/>
    <s v="Vanhoe, Els"/>
    <x v="28"/>
    <x v="9"/>
    <n v="1"/>
  </r>
  <r>
    <s v="De Weirdt, Ronny"/>
    <s v="Ronny"/>
    <s v="De Weirdt"/>
    <n v="9158"/>
    <s v="Storm, Steven"/>
    <x v="29"/>
    <x v="9"/>
    <n v="1"/>
  </r>
  <r>
    <s v="De Meulenaere, Eric"/>
    <s v="Eric"/>
    <s v="De Meulenaere"/>
    <n v="9824"/>
    <s v="Storm, Steven"/>
    <x v="30"/>
    <x v="9"/>
    <n v="1"/>
  </r>
  <r>
    <s v="Loots, Wim"/>
    <s v="Wim"/>
    <s v="Loots"/>
    <n v="9979"/>
    <s v="Van Der Beken, Bart"/>
    <x v="31"/>
    <x v="10"/>
    <n v="0"/>
  </r>
  <r>
    <s v="Vandenbogaerde, Tony"/>
    <s v="Tony"/>
    <s v="Vandenbogaerde"/>
    <n v="10150"/>
    <s v="Storm, Steven"/>
    <x v="32"/>
    <x v="10"/>
    <n v="1"/>
  </r>
  <r>
    <s v="Eggermont, Wim"/>
    <s v="Wim"/>
    <s v="Eggermont"/>
    <n v="10324"/>
    <s v="Van Der Beken, Bart"/>
    <x v="33"/>
    <x v="10"/>
    <n v="1"/>
  </r>
  <r>
    <s v="Lefebvre, Olivier"/>
    <s v="Olivier"/>
    <s v="Lefebvre"/>
    <n v="10326"/>
    <s v="Van Der Beken, Bart"/>
    <x v="33"/>
    <x v="10"/>
    <n v="0"/>
  </r>
  <r>
    <s v="De Kee, Ina"/>
    <s v="Ina"/>
    <s v="De Kee"/>
    <n v="10782"/>
    <s v="De Rick, Kenneth"/>
    <x v="34"/>
    <x v="10"/>
    <n v="1"/>
  </r>
  <r>
    <s v="Seeuws, Marnic"/>
    <s v="Marnic"/>
    <s v="Seeuws"/>
    <n v="11021"/>
    <s v="Storm, Steven"/>
    <x v="35"/>
    <x v="11"/>
    <n v="1"/>
  </r>
  <r>
    <s v="Goethals, Jeffrey"/>
    <s v="Jeffrey"/>
    <s v="Goethals"/>
    <n v="11023"/>
    <s v="Vanhoe, Els"/>
    <x v="35"/>
    <x v="11"/>
    <n v="1"/>
  </r>
  <r>
    <s v="De Vrieze, Ludo"/>
    <s v="Ludo"/>
    <s v="De Vrieze"/>
    <n v="11120"/>
    <s v="Vande Velde, Lucie"/>
    <x v="36"/>
    <x v="11"/>
    <n v="1"/>
  </r>
  <r>
    <s v="De Plus, Gunter"/>
    <s v="Gunter"/>
    <s v="De Plus"/>
    <n v="11213"/>
    <s v="Van Der Beken, Bart"/>
    <x v="37"/>
    <x v="11"/>
    <n v="1"/>
  </r>
  <r>
    <s v="Baert, Freddy"/>
    <s v="Freddy"/>
    <s v="Baert"/>
    <n v="11236"/>
    <s v="Van Der Beken, Bart"/>
    <x v="38"/>
    <x v="11"/>
    <n v="4"/>
  </r>
  <r>
    <s v="Beeckman, Nico"/>
    <s v="Nico"/>
    <s v="Beeckman"/>
    <n v="11508"/>
    <s v="Vande Velde, Lucie"/>
    <x v="39"/>
    <x v="11"/>
    <n v="1"/>
  </r>
  <r>
    <s v="Bolle, Pascal"/>
    <s v="Pascal"/>
    <s v="Bolle"/>
    <n v="11866"/>
    <s v="Vande Velde, Lucie"/>
    <x v="40"/>
    <x v="12"/>
    <n v="1"/>
  </r>
  <r>
    <s v="De Cooman, Kurt"/>
    <s v="Kurt"/>
    <s v="De Cooman"/>
    <n v="12024"/>
    <s v="Vande Velde, Lucie"/>
    <x v="41"/>
    <x v="12"/>
    <n v="1"/>
  </r>
  <r>
    <s v="Van Vliet, Tom"/>
    <s v="Tom"/>
    <s v="Van Vliet"/>
    <n v="12124"/>
    <s v="Storm, Steven"/>
    <x v="42"/>
    <x v="12"/>
    <n v="5"/>
  </r>
  <r>
    <s v="De Feyter, David"/>
    <s v="David"/>
    <s v="De Feyter"/>
    <n v="12173"/>
    <s v="Vanhoe, Els"/>
    <x v="43"/>
    <x v="12"/>
    <n v="1"/>
  </r>
  <r>
    <s v="De Smet, Kenneth"/>
    <s v="Kenneth"/>
    <s v="De Smet"/>
    <n v="12514"/>
    <s v="Vande Velde, Lucie"/>
    <x v="44"/>
    <x v="12"/>
    <n v="1"/>
  </r>
  <r>
    <s v="Van Den Bossche, Martine"/>
    <s v="Martine"/>
    <s v="Van Den Bossche"/>
    <n v="12684"/>
    <s v="Vanhoe, Els"/>
    <x v="45"/>
    <x v="12"/>
    <n v="3"/>
  </r>
  <r>
    <s v="Van Eenaeme, David"/>
    <s v="David"/>
    <s v="Van Eenaeme"/>
    <n v="12819"/>
    <s v="Van Der Beken, Bart"/>
    <x v="46"/>
    <x v="12"/>
    <n v="1"/>
  </r>
  <r>
    <s v="Riobello-Olalla, Wesley"/>
    <s v="Wesley"/>
    <s v="Riobello-Olalla"/>
    <n v="13017"/>
    <s v="De Rick, Kenneth"/>
    <x v="47"/>
    <x v="13"/>
    <n v="0"/>
  </r>
  <r>
    <s v="De Geyter, Claudine"/>
    <s v="Claudine"/>
    <s v="De Geyter"/>
    <n v="13088"/>
    <s v="De Clercq, Dominique"/>
    <x v="48"/>
    <x v="13"/>
    <n v="1"/>
  </r>
  <r>
    <s v="Oosterlinck, Jan"/>
    <s v="Jan"/>
    <s v="Oosterlinck"/>
    <n v="13089"/>
    <s v="Rotty, Christoff"/>
    <x v="48"/>
    <x v="13"/>
    <n v="1"/>
  </r>
  <r>
    <s v="Eeckhout, Steve"/>
    <s v="Steve"/>
    <s v="Eeckhout"/>
    <n v="13257"/>
    <s v="De Rick, Kenneth"/>
    <x v="49"/>
    <x v="13"/>
    <n v="0"/>
  </r>
  <r>
    <s v="Schijvens, Ronny"/>
    <s v="Ronny"/>
    <s v="Schijvens"/>
    <n v="13345"/>
    <s v="De Rick, Kenneth"/>
    <x v="50"/>
    <x v="13"/>
    <n v="1"/>
  </r>
  <r>
    <s v="Kirdas, Ramazan"/>
    <s v="Ramazan"/>
    <s v="Kirdas"/>
    <n v="13398"/>
    <s v="De Clercq, Dominique"/>
    <x v="51"/>
    <x v="13"/>
    <n v="1"/>
  </r>
  <r>
    <s v="De Weirt, Chris"/>
    <s v="Chris"/>
    <s v="De Weirt"/>
    <n v="14021"/>
    <s v="Storm, Steven"/>
    <x v="52"/>
    <x v="13"/>
    <n v="0"/>
  </r>
  <r>
    <s v="Van Kerckhove, Sabine"/>
    <s v="Sabine"/>
    <s v="Van Kerckhove"/>
    <n v="14070"/>
    <s v="Dewulf, Els"/>
    <x v="53"/>
    <x v="13"/>
    <n v="0"/>
  </r>
  <r>
    <s v="Vervoort, Koen"/>
    <s v="Koen"/>
    <s v="Vervoort"/>
    <n v="14072"/>
    <s v="Vande Velde, Lucie"/>
    <x v="53"/>
    <x v="13"/>
    <n v="1"/>
  </r>
  <r>
    <s v="Vandaele, Sofie"/>
    <s v="Sofie"/>
    <s v="Vandaele"/>
    <n v="14261"/>
    <s v="Vanhoe, Els"/>
    <x v="54"/>
    <x v="14"/>
    <n v="2"/>
  </r>
  <r>
    <s v="Vandaele, Thibaut"/>
    <s v="Thibaut"/>
    <s v="Vandaele"/>
    <n v="14425"/>
    <s v="Van Der Beken, Bart"/>
    <x v="55"/>
    <x v="14"/>
    <n v="0"/>
  </r>
  <r>
    <s v="Rodrigue, Vincent"/>
    <s v="Vincent"/>
    <s v="Rodrigue"/>
    <n v="14625"/>
    <s v="Vande Velde, Lucie"/>
    <x v="56"/>
    <x v="14"/>
    <n v="1"/>
  </r>
  <r>
    <s v="De Mulder, Philip"/>
    <s v="Philip"/>
    <s v="De Mulder"/>
    <n v="14665"/>
    <s v="Van Der Beken, Bart"/>
    <x v="57"/>
    <x v="14"/>
    <n v="2"/>
  </r>
  <r>
    <s v="De paepe, Hilde"/>
    <s v="Hilde"/>
    <s v="De paepe"/>
    <n v="14667"/>
    <s v="Dewulf, Els"/>
    <x v="57"/>
    <x v="14"/>
    <n v="0"/>
  </r>
  <r>
    <s v="Laute, Dirk"/>
    <s v="Dirk"/>
    <s v="Laute"/>
    <n v="15088"/>
    <s v="Vanhoe, Els"/>
    <x v="58"/>
    <x v="14"/>
    <n v="2"/>
  </r>
  <r>
    <s v="Ackermans, Christian"/>
    <s v="Christian"/>
    <s v="Ackermans"/>
    <n v="15218"/>
    <s v="Vanhoe, Els"/>
    <x v="59"/>
    <x v="14"/>
    <n v="0"/>
  </r>
  <r>
    <s v="De Mey, Peter"/>
    <s v="Peter"/>
    <s v="De Mey"/>
    <n v="15219"/>
    <s v="Van Der Beken, Bart"/>
    <x v="59"/>
    <x v="14"/>
    <n v="1"/>
  </r>
  <r>
    <s v="Dejonghe, Katleen"/>
    <s v="Katleen"/>
    <s v="Dejonghe"/>
    <n v="15220"/>
    <s v="De Clercq, Dominique"/>
    <x v="59"/>
    <x v="14"/>
    <n v="1"/>
  </r>
  <r>
    <s v="Marinx, Kristoff"/>
    <s v="Kristoff"/>
    <s v="Marinx"/>
    <n v="15282"/>
    <s v="De Rick, Kenneth"/>
    <x v="60"/>
    <x v="14"/>
    <n v="2"/>
  </r>
  <r>
    <s v="Vandenberghe, Filip"/>
    <s v="Filip"/>
    <s v="Vandenberghe"/>
    <n v="15320"/>
    <s v="Vanhoe, Els"/>
    <x v="61"/>
    <x v="14"/>
    <n v="2"/>
  </r>
  <r>
    <s v="Dhondt, Frank"/>
    <s v="Frank"/>
    <s v="Dhondt"/>
    <n v="15412"/>
    <s v="Van Der Beken, Bart"/>
    <x v="62"/>
    <x v="15"/>
    <n v="2"/>
  </r>
  <r>
    <s v="Tondeleir, Ron"/>
    <s v="Ron"/>
    <s v="Tondeleir"/>
    <n v="15626"/>
    <s v="Van Der Beken, Bart"/>
    <x v="63"/>
    <x v="15"/>
    <n v="0"/>
  </r>
  <r>
    <s v="Wulfranck, Dominique"/>
    <s v="Dominique"/>
    <s v="Wulfranck"/>
    <n v="15628"/>
    <s v="De Rick, Kenneth"/>
    <x v="63"/>
    <x v="15"/>
    <n v="3"/>
  </r>
  <r>
    <s v="Mestdagh, Tony"/>
    <s v="Tony"/>
    <s v="Mestdagh"/>
    <n v="15676"/>
    <s v="Vande Velde, Lucie"/>
    <x v="64"/>
    <x v="15"/>
    <n v="1"/>
  </r>
  <r>
    <s v="Van Wezemael, Patrick"/>
    <s v="Patrick"/>
    <s v="Van Wezemael"/>
    <n v="15726"/>
    <s v="Van Der Beken, Bart"/>
    <x v="65"/>
    <x v="15"/>
    <n v="0"/>
  </r>
  <r>
    <s v="Petereyns, Vanessa"/>
    <s v="Vanessa"/>
    <s v="Petereyns"/>
    <n v="15852"/>
    <s v="De Rick, Kenneth"/>
    <x v="66"/>
    <x v="15"/>
    <n v="1"/>
  </r>
  <r>
    <s v="Bracke, Peter"/>
    <s v="Peter"/>
    <s v="Bracke"/>
    <n v="16094"/>
    <s v="De Rick, Kenneth"/>
    <x v="67"/>
    <x v="15"/>
    <n v="0"/>
  </r>
  <r>
    <s v="Rouan, Jeroen"/>
    <s v="Jeroen"/>
    <s v="Rouan"/>
    <n v="16095"/>
    <s v="De Rick, Kenneth"/>
    <x v="67"/>
    <x v="15"/>
    <n v="0"/>
  </r>
  <r>
    <s v="Meau, Tania"/>
    <s v="Tania"/>
    <s v="Meau"/>
    <n v="16098"/>
    <s v="Rotty, Christoff"/>
    <x v="67"/>
    <x v="15"/>
    <n v="0"/>
  </r>
  <r>
    <s v="Devriendt, Patrick"/>
    <s v="Patrick"/>
    <s v="Devriendt"/>
    <n v="16275"/>
    <s v="Dewulf, Els"/>
    <x v="68"/>
    <x v="15"/>
    <n v="1"/>
  </r>
  <r>
    <s v="Vermaete, Cynthia"/>
    <s v="Cynthia"/>
    <s v="Vermaete"/>
    <n v="16279"/>
    <s v="De Clercq, Dominique"/>
    <x v="68"/>
    <x v="15"/>
    <n v="0"/>
  </r>
  <r>
    <s v="Bouckhout, Ingeborg"/>
    <s v="Ingeborg"/>
    <s v="Bouckhout"/>
    <n v="16280"/>
    <s v="Vande Velde, Lucie"/>
    <x v="68"/>
    <x v="15"/>
    <n v="1"/>
  </r>
  <r>
    <s v="Vandecasteele, Ruth"/>
    <s v="Ruth"/>
    <s v="Vandecasteele"/>
    <n v="16282"/>
    <s v="De Rick, Kenneth"/>
    <x v="68"/>
    <x v="15"/>
    <n v="1"/>
  </r>
  <r>
    <s v="Toch, Erwin"/>
    <s v="Erwin"/>
    <s v="Toch"/>
    <n v="16545"/>
    <s v="Van Der Beken, Bart"/>
    <x v="69"/>
    <x v="16"/>
    <n v="2"/>
  </r>
  <r>
    <s v="Baert, Rosita"/>
    <s v="Rosita"/>
    <s v="Baert"/>
    <n v="16546"/>
    <s v="Rotty, Christoff"/>
    <x v="69"/>
    <x v="16"/>
    <n v="2"/>
  </r>
  <r>
    <s v="Notte, Nancy"/>
    <s v="Nancy"/>
    <s v="Notte"/>
    <n v="16623"/>
    <s v="Vanhoe, Els"/>
    <x v="70"/>
    <x v="16"/>
    <n v="0"/>
  </r>
  <r>
    <s v="Van Lauwe, Freddy"/>
    <s v="Freddy"/>
    <s v="Van Lauwe"/>
    <n v="16895"/>
    <s v="Van Der Beken, Bart"/>
    <x v="71"/>
    <x v="16"/>
    <n v="6"/>
  </r>
  <r>
    <s v="VandenDaele, Andy"/>
    <s v="Andy"/>
    <s v="VandenDaele"/>
    <n v="16897"/>
    <s v="Storm, Steven"/>
    <x v="71"/>
    <x v="16"/>
    <n v="2"/>
  </r>
  <r>
    <s v="Devriese, Luc"/>
    <s v="Luc"/>
    <s v="Devriese"/>
    <n v="16899"/>
    <s v="Storm, Steven"/>
    <x v="71"/>
    <x v="16"/>
    <n v="0"/>
  </r>
  <r>
    <s v="Lootens, Davy"/>
    <s v="Davy"/>
    <s v="Lootens"/>
    <n v="16970"/>
    <s v="Van Der Beken, Bart"/>
    <x v="72"/>
    <x v="16"/>
    <n v="0"/>
  </r>
  <r>
    <s v="Van Landschoot, Jürgen"/>
    <s v="Jürgen"/>
    <s v="Van Landschoot"/>
    <n v="16971"/>
    <s v="Van Der Beken, Bart"/>
    <x v="72"/>
    <x v="16"/>
    <n v="0"/>
  </r>
  <r>
    <s v="DeBisschop, Wendy"/>
    <s v="Wendy"/>
    <s v="DeBisschop"/>
    <n v="17555"/>
    <s v="Van Der Beken, Bart"/>
    <x v="73"/>
    <x v="16"/>
    <n v="1"/>
  </r>
  <r>
    <s v="Praet, Reginald"/>
    <s v="Reginald"/>
    <s v="Praet"/>
    <n v="17566"/>
    <s v="Van Der Beken, Bart"/>
    <x v="73"/>
    <x v="16"/>
    <n v="2"/>
  </r>
  <r>
    <s v="Van Imschoot, Marc"/>
    <s v="Marc"/>
    <s v="Van Imschoot"/>
    <n v="17929"/>
    <s v="Stubbe, Jarne"/>
    <x v="74"/>
    <x v="17"/>
    <n v="0"/>
  </r>
  <r>
    <s v="Idrisi, Hasana"/>
    <s v="Hasana"/>
    <s v="Idrisi"/>
    <n v="17931"/>
    <s v="Dewulf, Els"/>
    <x v="75"/>
    <x v="17"/>
    <n v="2"/>
  </r>
  <r>
    <s v="Lega, Claude"/>
    <s v="Claude"/>
    <s v="Lega"/>
    <n v="17951"/>
    <s v="Van Der Beken, Bart"/>
    <x v="76"/>
    <x v="17"/>
    <n v="1"/>
  </r>
  <r>
    <s v="Vanlerberghe, Rudy"/>
    <s v="Rudy"/>
    <s v="Vanlerberghe"/>
    <n v="17954"/>
    <s v="Vande Velde, Lucie"/>
    <x v="76"/>
    <x v="17"/>
    <n v="0"/>
  </r>
  <r>
    <s v="Van den Berghe, Kris"/>
    <s v="Kris"/>
    <s v="Van den Berghe"/>
    <n v="17955"/>
    <s v="Stubbe, Jarne"/>
    <x v="76"/>
    <x v="17"/>
    <n v="0"/>
  </r>
  <r>
    <s v="Van Wittenberge, Filip"/>
    <s v="Filip"/>
    <s v="Van Wittenberge"/>
    <n v="18051"/>
    <s v="Rotty, Christoff"/>
    <x v="77"/>
    <x v="17"/>
    <n v="3"/>
  </r>
  <r>
    <s v="David, Kurt"/>
    <s v="Kurt"/>
    <s v="David"/>
    <n v="18139"/>
    <s v="Van Der Beken, Bart"/>
    <x v="78"/>
    <x v="17"/>
    <n v="0"/>
  </r>
  <r>
    <s v="Platteau, Lydie"/>
    <s v="Lydie"/>
    <s v="Platteau"/>
    <n v="18141"/>
    <s v="Rotty, Christoff"/>
    <x v="78"/>
    <x v="17"/>
    <n v="0"/>
  </r>
  <r>
    <s v="De Vos, Günter"/>
    <s v="Günter"/>
    <s v="De Vos"/>
    <n v="18173"/>
    <s v="De Rick, Kenneth"/>
    <x v="79"/>
    <x v="17"/>
    <n v="1"/>
  </r>
  <r>
    <s v="Azahaf, M'Hamed"/>
    <s v="M'Hamed"/>
    <s v="Azahaf"/>
    <n v="18624"/>
    <s v="Van Der Beken, Bart"/>
    <x v="80"/>
    <x v="17"/>
    <n v="0"/>
  </r>
  <r>
    <s v="De Geyter, Dolly"/>
    <s v="Dolly"/>
    <s v="De Geyter"/>
    <n v="18987"/>
    <s v="Storm, Steven"/>
    <x v="81"/>
    <x v="18"/>
    <n v="3"/>
  </r>
  <r>
    <s v="Joos, Veronique"/>
    <s v="Veronique"/>
    <s v="Joos"/>
    <n v="19016"/>
    <s v="Vanhoe, Els"/>
    <x v="82"/>
    <x v="18"/>
    <n v="0"/>
  </r>
  <r>
    <s v="Fiers, Ben"/>
    <s v="Ben"/>
    <s v="Fiers"/>
    <n v="19086"/>
    <s v="Storm, Steven"/>
    <x v="83"/>
    <x v="18"/>
    <n v="0"/>
  </r>
  <r>
    <s v="Deschepper, Peter"/>
    <s v="Peter"/>
    <s v="Deschepper"/>
    <n v="19087"/>
    <s v="Vanhoe, Els"/>
    <x v="83"/>
    <x v="18"/>
    <n v="1"/>
  </r>
  <r>
    <s v="Remmery, David"/>
    <s v="David"/>
    <s v="Remmery"/>
    <n v="19088"/>
    <s v="De Rick, Kenneth"/>
    <x v="83"/>
    <x v="18"/>
    <n v="1"/>
  </r>
  <r>
    <s v="De Clercq, Wendy"/>
    <s v="Wendy"/>
    <s v="De Clercq"/>
    <n v="19127"/>
    <s v="Rotty, Christoff"/>
    <x v="84"/>
    <x v="18"/>
    <n v="0"/>
  </r>
  <r>
    <s v="Aspeslagh, Geert"/>
    <s v="Geert"/>
    <s v="Aspeslagh"/>
    <n v="19219"/>
    <s v="Vande Velde, Lucie"/>
    <x v="85"/>
    <x v="18"/>
    <n v="1"/>
  </r>
  <r>
    <s v="Odaci, Kadir"/>
    <s v="Kadir"/>
    <s v="Odaci"/>
    <n v="19249"/>
    <s v="Vande Velde, Lucie"/>
    <x v="86"/>
    <x v="18"/>
    <n v="4"/>
  </r>
  <r>
    <s v="Van Steenbergen, Kris"/>
    <s v="Kris"/>
    <s v="Van Steenbergen"/>
    <n v="19520"/>
    <s v="Dewulf, Els"/>
    <x v="87"/>
    <x v="18"/>
    <n v="1"/>
  </r>
  <r>
    <s v="Arampatzis, Stavros"/>
    <s v="Stavros"/>
    <s v="Arampatzis"/>
    <n v="19675"/>
    <s v="De Rick, Kenneth"/>
    <x v="88"/>
    <x v="18"/>
    <n v="0"/>
  </r>
  <r>
    <s v="Deschrijver, Ivan"/>
    <s v="Ivan"/>
    <s v="Deschrijver"/>
    <n v="19676"/>
    <s v="Storm, Steven"/>
    <x v="88"/>
    <x v="18"/>
    <n v="0"/>
  </r>
  <r>
    <s v="Akhayad, Ahmed"/>
    <s v="Ahmed"/>
    <s v="Akhayad"/>
    <n v="19691"/>
    <s v="Vanhoe, Els"/>
    <x v="89"/>
    <x v="18"/>
    <n v="0"/>
  </r>
  <r>
    <s v="De Boeck, Johannes"/>
    <s v="Johannes"/>
    <s v="De Boeck"/>
    <n v="19766"/>
    <s v="Van Der Beken, Bart"/>
    <x v="90"/>
    <x v="18"/>
    <n v="0"/>
  </r>
  <r>
    <s v="Willems, Kristine"/>
    <s v="Kristine"/>
    <s v="Willems"/>
    <n v="19810"/>
    <s v="De Clercq, Dominique"/>
    <x v="91"/>
    <x v="18"/>
    <n v="0"/>
  </r>
  <r>
    <s v="Gevaert, Patrick"/>
    <s v="Patrick"/>
    <s v="Gevaert"/>
    <n v="19848"/>
    <s v="Storm, Steven"/>
    <x v="92"/>
    <x v="18"/>
    <n v="1"/>
  </r>
  <r>
    <s v="Vandevyvere, Frank"/>
    <s v="Frank"/>
    <s v="Vandevyvere"/>
    <n v="19917"/>
    <s v="Van Der Beken, Bart"/>
    <x v="93"/>
    <x v="18"/>
    <n v="10"/>
  </r>
  <r>
    <s v="Verlaeckt, Lincey"/>
    <s v="Lincey"/>
    <s v="Verlaeckt"/>
    <n v="20375"/>
    <s v="De Clercq, Dominique"/>
    <x v="94"/>
    <x v="19"/>
    <n v="1"/>
  </r>
  <r>
    <s v="Delamper, Mario"/>
    <s v="Mario"/>
    <s v="Delamper"/>
    <n v="20376"/>
    <s v="Storm, Steven"/>
    <x v="94"/>
    <x v="19"/>
    <n v="0"/>
  </r>
  <r>
    <s v="Allan, Kenneth"/>
    <s v="Kenneth"/>
    <s v="Allan"/>
    <n v="20400"/>
    <s v="De Clercq, Dominique"/>
    <x v="95"/>
    <x v="19"/>
    <n v="1"/>
  </r>
  <r>
    <s v="Van Grootenbrulle, Kurt"/>
    <s v="Kurt"/>
    <s v="Van Grootenbrulle"/>
    <n v="20402"/>
    <s v="Dewulf, Els"/>
    <x v="95"/>
    <x v="19"/>
    <n v="0"/>
  </r>
  <r>
    <s v="Vranken, Kenneth"/>
    <s v="Kenneth"/>
    <s v="Vranken"/>
    <n v="20404"/>
    <s v="Rotty, Christoff"/>
    <x v="95"/>
    <x v="19"/>
    <n v="2"/>
  </r>
  <r>
    <s v="Ghysels, Erik"/>
    <s v="Erik"/>
    <s v="Ghysels"/>
    <n v="20476"/>
    <s v="De Clercq, Dominique"/>
    <x v="96"/>
    <x v="19"/>
    <n v="0"/>
  </r>
  <r>
    <s v="Kizilmese, Emra"/>
    <s v="Emra"/>
    <s v="Kizilmese"/>
    <n v="20542"/>
    <s v="Dewulf, Els"/>
    <x v="97"/>
    <x v="19"/>
    <n v="1"/>
  </r>
  <r>
    <s v="Pekdemir, Ilkmur"/>
    <s v="Ilkmur"/>
    <s v="Pekdemir"/>
    <n v="20543"/>
    <s v="De Rick, Kenneth"/>
    <x v="97"/>
    <x v="19"/>
    <n v="1"/>
  </r>
  <r>
    <s v="Imschoot, Frederik"/>
    <s v="Frederik"/>
    <s v="Imschoot"/>
    <n v="20610"/>
    <s v="Storm, Steven"/>
    <x v="98"/>
    <x v="19"/>
    <n v="0"/>
  </r>
  <r>
    <s v="Vonck, Sandra"/>
    <s v="Sandra"/>
    <s v="Vonck"/>
    <n v="20612"/>
    <s v="Storm, Steven"/>
    <x v="98"/>
    <x v="19"/>
    <n v="0"/>
  </r>
  <r>
    <s v="Mestdag, Marius"/>
    <s v="Marius"/>
    <s v="Mestdag"/>
    <n v="20653"/>
    <s v="Van Der Beken, Bart"/>
    <x v="99"/>
    <x v="19"/>
    <n v="3"/>
  </r>
  <r>
    <s v="Rivière, Andy"/>
    <s v="Andy"/>
    <s v="Rivière"/>
    <n v="20655"/>
    <s v="Dewulf, Els"/>
    <x v="99"/>
    <x v="19"/>
    <n v="0"/>
  </r>
  <r>
    <s v="Vonck, Bart"/>
    <s v="Bart"/>
    <s v="Vonck"/>
    <n v="20656"/>
    <s v="Vanhoe, Els"/>
    <x v="99"/>
    <x v="19"/>
    <n v="1"/>
  </r>
  <r>
    <s v="Van Den Neste, Diederik"/>
    <s v="Diederik"/>
    <s v="Van Den Neste"/>
    <n v="20705"/>
    <s v="Vanhoe, Els"/>
    <x v="100"/>
    <x v="19"/>
    <n v="0"/>
  </r>
  <r>
    <s v="In, Murat"/>
    <s v="Murat"/>
    <s v="In"/>
    <n v="20954"/>
    <s v="Dewulf, Els"/>
    <x v="101"/>
    <x v="19"/>
    <n v="0"/>
  </r>
  <r>
    <s v="Laforce, Mike"/>
    <s v="Mike"/>
    <s v="Laforce"/>
    <n v="21121"/>
    <s v="De Rick, Kenneth"/>
    <x v="102"/>
    <x v="19"/>
    <n v="2"/>
  </r>
  <r>
    <s v="De Ridder, Danny"/>
    <s v="Danny"/>
    <s v="De Ridder"/>
    <n v="21124"/>
    <s v="Rotty, Christoff"/>
    <x v="102"/>
    <x v="19"/>
    <n v="1"/>
  </r>
  <r>
    <s v="Alkanat, Metin"/>
    <s v="Metin"/>
    <s v="Alkanat"/>
    <n v="21160"/>
    <s v="Storm, Steven"/>
    <x v="103"/>
    <x v="19"/>
    <n v="0"/>
  </r>
  <r>
    <s v="Sari, Cemâl"/>
    <s v="Cemâl"/>
    <s v="Sari"/>
    <n v="21249"/>
    <s v="Rotty, Christoff"/>
    <x v="104"/>
    <x v="19"/>
    <n v="0"/>
  </r>
  <r>
    <s v="De Volder, Marc"/>
    <s v="Marc"/>
    <s v="De Volder"/>
    <n v="21382"/>
    <s v="Dewulf, Els"/>
    <x v="105"/>
    <x v="19"/>
    <n v="1"/>
  </r>
  <r>
    <s v="De Moor, Ronny"/>
    <s v="Ronny"/>
    <s v="De Moor"/>
    <n v="21383"/>
    <s v="De Rick, Kenneth"/>
    <x v="105"/>
    <x v="19"/>
    <n v="0"/>
  </r>
  <r>
    <s v="Props, Jürgen"/>
    <s v="Jürgen"/>
    <s v="Props"/>
    <n v="21423"/>
    <s v="Stubbe, Jarne"/>
    <x v="106"/>
    <x v="19"/>
    <n v="0"/>
  </r>
  <r>
    <s v="Verstichel, Jethro"/>
    <s v="Jethro"/>
    <s v="Verstichel"/>
    <n v="21424"/>
    <s v="Dewulf, Els"/>
    <x v="106"/>
    <x v="19"/>
    <n v="2"/>
  </r>
  <r>
    <s v="Anjuijn, Vanessa"/>
    <s v="Vanessa"/>
    <s v="Anjuijn"/>
    <n v="21428"/>
    <s v="Vanhoe, Els"/>
    <x v="106"/>
    <x v="19"/>
    <n v="0"/>
  </r>
  <r>
    <s v="Doolaege, Yasin"/>
    <s v="Yasin"/>
    <s v="Doolaege"/>
    <n v="21429"/>
    <s v="Storm, Steven"/>
    <x v="106"/>
    <x v="19"/>
    <n v="0"/>
  </r>
  <r>
    <s v="Beeckman, Alex"/>
    <s v="Alex"/>
    <s v="Beeckman"/>
    <n v="21466"/>
    <s v="Vande Velde, Lucie"/>
    <x v="107"/>
    <x v="19"/>
    <n v="0"/>
  </r>
  <r>
    <s v="Kesteloot, Patrick"/>
    <s v="Patrick"/>
    <s v="Kesteloot"/>
    <n v="21506"/>
    <s v="Storm, Steven"/>
    <x v="108"/>
    <x v="19"/>
    <n v="0"/>
  </r>
  <r>
    <s v="De Cooman, Bart"/>
    <s v="Bart"/>
    <s v="De Cooman"/>
    <n v="21507"/>
    <s v="De Rick, Kenneth"/>
    <x v="108"/>
    <x v="19"/>
    <n v="0"/>
  </r>
  <r>
    <s v="De Craemer, Kris"/>
    <s v="Kris"/>
    <s v="De Craemer"/>
    <n v="21509"/>
    <s v="De Clercq, Dominique"/>
    <x v="108"/>
    <x v="19"/>
    <n v="6"/>
  </r>
  <r>
    <s v="Baskurt, Hasan"/>
    <s v="Hasan"/>
    <s v="Baskurt"/>
    <n v="21665"/>
    <s v="Stubbe, Jarne"/>
    <x v="109"/>
    <x v="20"/>
    <n v="0"/>
  </r>
  <r>
    <s v="Vanderstraeten, Franky"/>
    <s v="Franky"/>
    <s v="Vanderstraeten"/>
    <n v="21581"/>
    <s v="Vande Velde, Lucie"/>
    <x v="110"/>
    <x v="20"/>
    <n v="2"/>
  </r>
  <r>
    <s v="Tafa, Sevdet"/>
    <s v="Sevdet"/>
    <s v="Tafa"/>
    <n v="21657"/>
    <s v="Stubbe, Jarne"/>
    <x v="109"/>
    <x v="20"/>
    <n v="0"/>
  </r>
  <r>
    <s v="Van Hulle, Werner"/>
    <s v="Werner"/>
    <s v="Van Hulle"/>
    <n v="21662"/>
    <s v="Dewulf, Els"/>
    <x v="109"/>
    <x v="20"/>
    <n v="0"/>
  </r>
  <r>
    <s v="Horemans, Jan"/>
    <s v="Jan"/>
    <s v="Horemans"/>
    <n v="21738"/>
    <s v="Dewulf, Els"/>
    <x v="111"/>
    <x v="20"/>
    <n v="0"/>
  </r>
  <r>
    <s v="Dejonghe, Elisa"/>
    <s v="Elisa"/>
    <s v="Dejonghe"/>
    <n v="21809"/>
    <s v="Dewulf, Els"/>
    <x v="112"/>
    <x v="20"/>
    <n v="1"/>
  </r>
  <r>
    <s v="Vanooteghem, Davey"/>
    <s v="Davey"/>
    <s v="Vanooteghem"/>
    <n v="21845"/>
    <s v="Storm, Steven"/>
    <x v="113"/>
    <x v="20"/>
    <n v="0"/>
  </r>
  <r>
    <s v="Dierick, Steve"/>
    <s v="Steve"/>
    <s v="Dierick"/>
    <n v="21892"/>
    <s v="Storm, Steven"/>
    <x v="114"/>
    <x v="20"/>
    <n v="2"/>
  </r>
  <r>
    <s v="La Fontaine, Bart"/>
    <s v="Bart"/>
    <s v="La Fontaine"/>
    <n v="22042"/>
    <s v="Storm, Steven"/>
    <x v="115"/>
    <x v="20"/>
    <n v="0"/>
  </r>
  <r>
    <s v="Meyvaert, Peter"/>
    <s v="Peter"/>
    <s v="Meyvaert"/>
    <n v="22052"/>
    <s v="Dewulf, Els"/>
    <x v="115"/>
    <x v="20"/>
    <n v="1"/>
  </r>
  <r>
    <s v="De Boever, Maarten"/>
    <s v="Maarten"/>
    <s v="De Boever"/>
    <n v="22143"/>
    <s v="Vanhoe, Els"/>
    <x v="116"/>
    <x v="20"/>
    <n v="0"/>
  </r>
  <r>
    <s v="Pluym, Pascal"/>
    <s v="Pascal"/>
    <s v="Pluym"/>
    <n v="22202"/>
    <s v="Storm, Steven"/>
    <x v="117"/>
    <x v="20"/>
    <n v="1"/>
  </r>
  <r>
    <s v="Delahaye, Karina"/>
    <s v="Karina"/>
    <s v="Delahaye"/>
    <n v="22240"/>
    <s v="Dewulf, Els"/>
    <x v="118"/>
    <x v="20"/>
    <n v="2"/>
  </r>
  <r>
    <s v="Kirdas, Süleyman"/>
    <s v="Süleyman"/>
    <s v="Kirdas"/>
    <n v="22244"/>
    <s v="Rotty, Christoff"/>
    <x v="118"/>
    <x v="20"/>
    <n v="2"/>
  </r>
  <r>
    <s v="Brilyov, Dmitriy"/>
    <s v="Dmitriy"/>
    <s v="Brilyov"/>
    <n v="22296"/>
    <s v="Dewulf, Els"/>
    <x v="119"/>
    <x v="20"/>
    <n v="0"/>
  </r>
  <r>
    <s v="Bicici, Abdul Kadir"/>
    <s v="Abdul Kadir"/>
    <s v="Bicici"/>
    <n v="22416"/>
    <s v="Rotty, Christoff"/>
    <x v="120"/>
    <x v="20"/>
    <n v="1"/>
  </r>
  <r>
    <s v="Callebert, Pieter Jan"/>
    <s v="Pieter Jan"/>
    <s v="Callebert"/>
    <n v="22625"/>
    <s v="Van Der Beken, Bart"/>
    <x v="121"/>
    <x v="20"/>
    <n v="1"/>
  </r>
  <r>
    <s v="Osseel, Johan"/>
    <s v="Johan"/>
    <s v="Osseel"/>
    <n v="22767"/>
    <s v="De Clercq, Dominique"/>
    <x v="122"/>
    <x v="20"/>
    <n v="1"/>
  </r>
  <r>
    <s v="Van Renterghem, Véronique"/>
    <s v="Véronique"/>
    <s v="Van Renterghem"/>
    <n v="22811"/>
    <s v="Oerlemans, Johannes"/>
    <x v="123"/>
    <x v="20"/>
    <n v="0"/>
  </r>
  <r>
    <s v="Goossens, Gunther"/>
    <s v="Gunther"/>
    <s v="Goossens"/>
    <n v="22877"/>
    <s v="Dewulf, Els"/>
    <x v="124"/>
    <x v="20"/>
    <n v="1"/>
  </r>
  <r>
    <s v="Mestach, Stijn"/>
    <s v="Stijn"/>
    <s v="Mestach"/>
    <n v="23261"/>
    <s v="Stubbe, Jarne"/>
    <x v="125"/>
    <x v="21"/>
    <n v="0"/>
  </r>
  <r>
    <s v="Achalhi, Abderrachid"/>
    <s v="Abderrachid"/>
    <s v="Achalhi"/>
    <n v="23326"/>
    <s v="De Clercq, Dominique"/>
    <x v="126"/>
    <x v="21"/>
    <n v="0"/>
  </r>
  <r>
    <s v="Kerman, Riza"/>
    <s v="Riza"/>
    <s v="Kerman"/>
    <n v="23481"/>
    <s v="Van Der Beken, Bart"/>
    <x v="127"/>
    <x v="21"/>
    <n v="0"/>
  </r>
  <r>
    <s v="Unal, Mustafa"/>
    <s v="Mustafa"/>
    <s v="Unal"/>
    <n v="23543"/>
    <s v="Rotty, Christoff"/>
    <x v="128"/>
    <x v="21"/>
    <n v="0"/>
  </r>
  <r>
    <s v="Maes, Tony"/>
    <s v="Tony"/>
    <s v="Maes"/>
    <n v="23545"/>
    <s v="Vande Velde, Lucie"/>
    <x v="128"/>
    <x v="21"/>
    <n v="0"/>
  </r>
  <r>
    <s v="Adiyil, Attila"/>
    <s v="Attila"/>
    <s v="Adiyil"/>
    <n v="23790"/>
    <s v="De Clercq, Dominique"/>
    <x v="129"/>
    <x v="21"/>
    <n v="1"/>
  </r>
  <r>
    <s v="Baetens, Christine"/>
    <s v="Christine"/>
    <s v="Baetens"/>
    <n v="23791"/>
    <s v="De Clercq, Dominique"/>
    <x v="129"/>
    <x v="21"/>
    <n v="0"/>
  </r>
  <r>
    <s v="Dellaert, Yves"/>
    <s v="Yves"/>
    <s v="Dellaert"/>
    <n v="23818"/>
    <s v="De Clercq, Dominique"/>
    <x v="130"/>
    <x v="21"/>
    <n v="0"/>
  </r>
  <r>
    <s v="Wyffels, Jean-Pierre"/>
    <s v="Jean-Pierre"/>
    <s v="Wyffels"/>
    <n v="23880"/>
    <s v="De Clercq, Dominique"/>
    <x v="131"/>
    <x v="21"/>
    <n v="1"/>
  </r>
  <r>
    <s v="D'Haeyere, Bernard"/>
    <s v="Bernard"/>
    <s v="D'Haeyere"/>
    <n v="23918"/>
    <s v="Vanhoe, Els"/>
    <x v="132"/>
    <x v="21"/>
    <n v="3"/>
  </r>
  <r>
    <s v="Planckaert, Jurgen"/>
    <s v="Jurgen"/>
    <s v="Planckaert"/>
    <n v="23924"/>
    <s v="Rotty, Christoff"/>
    <x v="133"/>
    <x v="21"/>
    <n v="0"/>
  </r>
  <r>
    <s v="Luttens, Koen"/>
    <s v="Koen"/>
    <s v="Luttens"/>
    <n v="24155"/>
    <s v="Vanhoe, Els"/>
    <x v="134"/>
    <x v="21"/>
    <n v="1"/>
  </r>
  <r>
    <s v="Kaya, Aydin"/>
    <s v="Aydin"/>
    <s v="Kaya"/>
    <n v="24156"/>
    <s v="Rotty, Christoff"/>
    <x v="134"/>
    <x v="21"/>
    <n v="0"/>
  </r>
  <r>
    <s v="Tayefeh Arbab, Ali"/>
    <s v="Ali"/>
    <s v="Tayefeh Arbab"/>
    <n v="24367"/>
    <s v="Van Der Beken, Bart"/>
    <x v="135"/>
    <x v="21"/>
    <n v="3"/>
  </r>
  <r>
    <s v="Gök, Davut"/>
    <s v="Davut"/>
    <s v="Gök"/>
    <n v="24472"/>
    <s v="De Clercq, Dominique"/>
    <x v="136"/>
    <x v="21"/>
    <n v="1"/>
  </r>
  <r>
    <s v="Haelterman, Geert"/>
    <s v="Geert"/>
    <s v="Haelterman"/>
    <n v="25234"/>
    <s v="De Rick, Kenneth"/>
    <x v="137"/>
    <x v="22"/>
    <n v="0"/>
  </r>
  <r>
    <s v="Goethals, Bart"/>
    <s v="Bart"/>
    <s v="Goethals"/>
    <n v="25486"/>
    <s v="Rotty, Christoff"/>
    <x v="138"/>
    <x v="22"/>
    <n v="1"/>
  </r>
  <r>
    <s v="Devos, Stefaan"/>
    <s v="Stefaan"/>
    <s v="Devos"/>
    <n v="25487"/>
    <s v="Storm, Steven"/>
    <x v="138"/>
    <x v="22"/>
    <n v="4"/>
  </r>
  <r>
    <s v="Vanrenterghem, Serge"/>
    <s v="Serge"/>
    <s v="Vanrenterghem"/>
    <n v="25679"/>
    <s v="Rotty, Christoff"/>
    <x v="139"/>
    <x v="22"/>
    <n v="2"/>
  </r>
  <r>
    <s v="Cetinkaya, Veysel"/>
    <s v="Veysel"/>
    <s v="Cetinkaya"/>
    <n v="25680"/>
    <s v="De Rick, Kenneth"/>
    <x v="139"/>
    <x v="22"/>
    <n v="0"/>
  </r>
  <r>
    <s v="Simsek, Abdullah"/>
    <s v="Abdullah"/>
    <s v="Simsek"/>
    <n v="25733"/>
    <s v="Vanhoe, Els"/>
    <x v="140"/>
    <x v="22"/>
    <n v="2"/>
  </r>
  <r>
    <s v="Kayim, Akin"/>
    <s v="Akin"/>
    <s v="Kayim"/>
    <n v="25829"/>
    <s v="Storm, Steven"/>
    <x v="141"/>
    <x v="22"/>
    <n v="1"/>
  </r>
  <r>
    <s v="Fasseur, Frederic"/>
    <s v="Frederic"/>
    <s v="Fasseur"/>
    <n v="25871"/>
    <s v="De Rick, Kenneth"/>
    <x v="142"/>
    <x v="23"/>
    <n v="0"/>
  </r>
  <r>
    <s v="Kazakbiyev, Osman"/>
    <s v="Osman"/>
    <s v="Kazakbiyev"/>
    <n v="25873"/>
    <s v="Vanhoe, Els"/>
    <x v="142"/>
    <x v="23"/>
    <n v="1"/>
  </r>
  <r>
    <s v="De Wit, Bruno"/>
    <s v="Bruno"/>
    <s v="De Wit"/>
    <n v="25993"/>
    <s v="Rotty, Christoff"/>
    <x v="143"/>
    <x v="23"/>
    <n v="1"/>
  </r>
  <r>
    <s v="Peers, Mario"/>
    <s v="Mario"/>
    <s v="Peers"/>
    <n v="25994"/>
    <s v="Dewulf, Els"/>
    <x v="143"/>
    <x v="23"/>
    <n v="1"/>
  </r>
  <r>
    <s v="Stevens, David"/>
    <s v="David"/>
    <s v="Stevens"/>
    <n v="26004"/>
    <s v="Stubbe, Jarne"/>
    <x v="144"/>
    <x v="23"/>
    <n v="0"/>
  </r>
  <r>
    <s v="Bral, Jessica"/>
    <s v="Jessica"/>
    <s v="Bral"/>
    <n v="26102"/>
    <s v="Dewulf, Els"/>
    <x v="145"/>
    <x v="23"/>
    <n v="1"/>
  </r>
  <r>
    <s v="Hublau, Roland"/>
    <s v="Roland"/>
    <s v="Hublau"/>
    <n v="26137"/>
    <s v="Storm, Steven"/>
    <x v="146"/>
    <x v="23"/>
    <n v="4"/>
  </r>
  <r>
    <s v="Van Puyenbroeck, Pascale"/>
    <s v="Pascale"/>
    <s v="Van Puyenbroeck"/>
    <n v="26197"/>
    <s v="Rotty, Christoff"/>
    <x v="147"/>
    <x v="23"/>
    <n v="0"/>
  </r>
  <r>
    <s v="Justé, Steven"/>
    <s v="Steven"/>
    <s v="Justé"/>
    <n v="26198"/>
    <s v="De Rick, Kenneth"/>
    <x v="147"/>
    <x v="23"/>
    <n v="3"/>
  </r>
  <r>
    <s v="Wauters, Franky"/>
    <s v="Franky"/>
    <s v="Wauters"/>
    <n v="26199"/>
    <s v="Vanhoe, Els"/>
    <x v="147"/>
    <x v="23"/>
    <n v="1"/>
  </r>
  <r>
    <s v="Van Vlem, Danny"/>
    <s v="Danny"/>
    <s v="Van Vlem"/>
    <n v="26265"/>
    <s v="Rotty, Christoff"/>
    <x v="148"/>
    <x v="23"/>
    <n v="0"/>
  </r>
  <r>
    <s v="Gök, Murat"/>
    <s v="Murat"/>
    <s v="Gök"/>
    <n v="26266"/>
    <s v="Vanhoe, Els"/>
    <x v="148"/>
    <x v="23"/>
    <n v="1"/>
  </r>
  <r>
    <s v="Van Semmertier, Pascal"/>
    <s v="Pascal"/>
    <s v="Van Semmertier"/>
    <n v="26331"/>
    <s v="Van Der Beken, Bart"/>
    <x v="149"/>
    <x v="23"/>
    <n v="3"/>
  </r>
  <r>
    <s v="Aelterman, Luc"/>
    <s v="Luc"/>
    <s v="Aelterman"/>
    <n v="26334"/>
    <s v="Vanhoe, Els"/>
    <x v="149"/>
    <x v="23"/>
    <n v="0"/>
  </r>
  <r>
    <s v="Van Cauwenberg, Steven"/>
    <s v="Steven"/>
    <s v="Van Cauwenberg"/>
    <n v="26384"/>
    <s v="Dewulf, Els"/>
    <x v="150"/>
    <x v="23"/>
    <n v="1"/>
  </r>
  <r>
    <s v="Siderov, Miroslav"/>
    <s v="Miroslav"/>
    <s v="Siderov"/>
    <n v="26521"/>
    <s v="Vanhoe, Els"/>
    <x v="151"/>
    <x v="23"/>
    <n v="0"/>
  </r>
  <r>
    <s v="Bolle, Cynthia"/>
    <s v="Cynthia"/>
    <s v="Bolle"/>
    <n v="26524"/>
    <s v="Vanhoe, Els"/>
    <x v="151"/>
    <x v="23"/>
    <n v="1"/>
  </r>
  <r>
    <s v="Van de Capelle, Geert"/>
    <s v="Geert"/>
    <s v="Van de Capelle"/>
    <n v="26638"/>
    <s v="De Clercq, Dominique"/>
    <x v="152"/>
    <x v="23"/>
    <n v="0"/>
  </r>
  <r>
    <s v="Engels, Wendy"/>
    <s v="Wendy"/>
    <s v="Engels"/>
    <n v="26639"/>
    <s v="De Rick, Kenneth"/>
    <x v="152"/>
    <x v="23"/>
    <n v="1"/>
  </r>
  <r>
    <s v="Lippens, Miguel"/>
    <s v="Miguel"/>
    <s v="Lippens"/>
    <n v="26695"/>
    <s v="Rotty, Christoff"/>
    <x v="153"/>
    <x v="23"/>
    <n v="2"/>
  </r>
  <r>
    <s v="Ong, Geok Hong"/>
    <s v="Geok Hong"/>
    <s v="Ong"/>
    <n v="26792"/>
    <s v="Vande Velde, Lucie"/>
    <x v="154"/>
    <x v="23"/>
    <n v="0"/>
  </r>
  <r>
    <s v="De Meester, David"/>
    <s v="David"/>
    <s v="De Meester"/>
    <n v="26847"/>
    <s v="Van Der Beken, Bart"/>
    <x v="155"/>
    <x v="23"/>
    <n v="2"/>
  </r>
  <r>
    <s v="Bohez, Olivier"/>
    <s v="Olivier"/>
    <s v="Bohez"/>
    <n v="26959"/>
    <s v="De Clercq, Dominique"/>
    <x v="156"/>
    <x v="23"/>
    <n v="0"/>
  </r>
  <r>
    <s v="Toubadie, Mossa"/>
    <s v="Mossa"/>
    <s v="Toubadie"/>
    <n v="26960"/>
    <s v="Vanhoe, Els"/>
    <x v="156"/>
    <x v="23"/>
    <n v="3"/>
  </r>
  <r>
    <s v="Frans, Gabriella"/>
    <s v="Gabriella"/>
    <s v="Frans"/>
    <n v="27607"/>
    <s v="De Rick, Kenneth"/>
    <x v="157"/>
    <x v="24"/>
    <n v="0"/>
  </r>
  <r>
    <s v="Oben, Thibaud"/>
    <s v="Thibaud"/>
    <s v="Oben"/>
    <n v="27153"/>
    <s v="Rotty, Christoff"/>
    <x v="158"/>
    <x v="24"/>
    <n v="3"/>
  </r>
  <r>
    <s v="Meyvaert, Steven"/>
    <s v="Steven"/>
    <s v="Meyvaert"/>
    <n v="27209"/>
    <s v="Dewulf, Els"/>
    <x v="159"/>
    <x v="24"/>
    <n v="3"/>
  </r>
  <r>
    <s v="De Meester, Johan"/>
    <s v="Johan"/>
    <s v="De Meester"/>
    <n v="27577"/>
    <s v="Rotty, Christoff"/>
    <x v="160"/>
    <x v="24"/>
    <n v="0"/>
  </r>
  <r>
    <s v="Petrovic, Damir"/>
    <s v="Damir"/>
    <s v="Petrovic"/>
    <n v="27635"/>
    <s v="De Rick, Kenneth"/>
    <x v="161"/>
    <x v="24"/>
    <n v="1"/>
  </r>
  <r>
    <s v="Criel, Veronique"/>
    <s v="Veronique"/>
    <s v="Criel"/>
    <n v="27672"/>
    <s v="Storm, Steven"/>
    <x v="162"/>
    <x v="24"/>
    <n v="1"/>
  </r>
  <r>
    <s v="Verbanck, Koen"/>
    <s v="Koen"/>
    <s v="Verbanck"/>
    <n v="27673"/>
    <s v="Rotty, Christoff"/>
    <x v="162"/>
    <x v="24"/>
    <n v="1"/>
  </r>
  <r>
    <s v="De Schenkel, David"/>
    <s v="David"/>
    <s v="De Schenkel"/>
    <n v="27711"/>
    <s v="Rotty, Christoff"/>
    <x v="163"/>
    <x v="24"/>
    <n v="0"/>
  </r>
  <r>
    <s v="Parmentier, Bart"/>
    <s v="Bart"/>
    <s v="Parmentier"/>
    <n v="27713"/>
    <s v="Dewulf, Els"/>
    <x v="163"/>
    <x v="24"/>
    <n v="1"/>
  </r>
  <r>
    <s v="Van Lierde, Michel"/>
    <s v="Michel"/>
    <s v="Van Lierde"/>
    <n v="27786"/>
    <s v="Dewulf, Els"/>
    <x v="164"/>
    <x v="25"/>
    <n v="0"/>
  </r>
  <r>
    <s v="Olenski, Leonard"/>
    <s v="Leonard"/>
    <s v="Olenski"/>
    <n v="27865"/>
    <s v="Dewulf, Els"/>
    <x v="165"/>
    <x v="25"/>
    <n v="1"/>
  </r>
  <r>
    <s v="De Baets, Christian"/>
    <s v="Christian"/>
    <s v="De Baets"/>
    <n v="28070"/>
    <s v="Stubbe, Jarne"/>
    <x v="166"/>
    <x v="25"/>
    <n v="0"/>
  </r>
  <r>
    <s v="Omari, Said"/>
    <s v="Said"/>
    <s v="Omari"/>
    <n v="28071"/>
    <s v="Dewulf, Els"/>
    <x v="166"/>
    <x v="25"/>
    <n v="0"/>
  </r>
  <r>
    <s v="De Muynck, Laurian"/>
    <s v="Laurian"/>
    <s v="De Muynck"/>
    <n v="28072"/>
    <s v="Vande Velde, Lucie"/>
    <x v="166"/>
    <x v="25"/>
    <n v="0"/>
  </r>
  <r>
    <s v="De Pauw, Kurt"/>
    <s v="Kurt"/>
    <s v="De Pauw"/>
    <n v="28165"/>
    <s v="Dewulf, Els"/>
    <x v="167"/>
    <x v="25"/>
    <n v="0"/>
  </r>
  <r>
    <s v="Gözüküçük, Ayhan"/>
    <s v="Ayhan"/>
    <s v="Gözüküçük"/>
    <n v="28616"/>
    <s v="Stubbe, Jarne"/>
    <x v="168"/>
    <x v="25"/>
    <n v="0"/>
  </r>
  <r>
    <s v="Debreuckere, Renzo"/>
    <s v="Renzo"/>
    <s v="Debreuckere"/>
    <n v="28690"/>
    <s v="Vanhoe, Els"/>
    <x v="169"/>
    <x v="26"/>
    <n v="0"/>
  </r>
  <r>
    <s v="Dejonckheere, Els"/>
    <s v="Els"/>
    <s v="Dejonckheere"/>
    <n v="28717"/>
    <s v="Vande Velde, Lucie"/>
    <x v="170"/>
    <x v="26"/>
    <n v="1"/>
  </r>
  <r>
    <s v="El-Mohamed, Mohamed"/>
    <s v="Mohamed"/>
    <s v="El-Mohamed"/>
    <n v="28737"/>
    <s v="Vande Velde, Lucie"/>
    <x v="171"/>
    <x v="26"/>
    <n v="3"/>
  </r>
  <r>
    <s v="Van Malderghem, Niels"/>
    <s v="Niels"/>
    <s v="Van Malderghem"/>
    <n v="28794"/>
    <s v="Vande Velde, Lucie"/>
    <x v="172"/>
    <x v="26"/>
    <n v="1"/>
  </r>
  <r>
    <s v="Roels, Els"/>
    <s v="Els"/>
    <s v="Roels"/>
    <n v="28821"/>
    <s v="Van Der Beken, Bart"/>
    <x v="173"/>
    <x v="26"/>
    <n v="0"/>
  </r>
  <r>
    <s v="Isiklar, Okan"/>
    <s v="Okan"/>
    <s v="Isiklar"/>
    <n v="28830"/>
    <s v="Rotty, Christoff"/>
    <x v="174"/>
    <x v="26"/>
    <n v="1"/>
  </r>
  <r>
    <s v="Choaïbi, Bilal"/>
    <s v="Bilal"/>
    <s v="Choaïbi"/>
    <n v="28835"/>
    <s v="Rotty, Christoff"/>
    <x v="174"/>
    <x v="26"/>
    <n v="0"/>
  </r>
  <r>
    <s v="Gassa, Osmane"/>
    <s v="Osmane"/>
    <s v="Gassa"/>
    <n v="28910"/>
    <s v="Van Der Beken, Bart"/>
    <x v="175"/>
    <x v="26"/>
    <n v="2"/>
  </r>
  <r>
    <s v="Lachhab, Mohammed"/>
    <s v="Mohammed"/>
    <s v="Lachhab"/>
    <n v="28947"/>
    <s v="Stubbe, Jarne"/>
    <x v="176"/>
    <x v="26"/>
    <n v="0"/>
  </r>
  <r>
    <s v="Grillaert, Lieven"/>
    <s v="Lieven"/>
    <s v="Grillaert"/>
    <n v="28995"/>
    <s v="Rotty, Christoff"/>
    <x v="177"/>
    <x v="26"/>
    <n v="0"/>
  </r>
  <r>
    <s v="Verwee, Dries"/>
    <s v="Dries"/>
    <s v="Verwee"/>
    <n v="29179"/>
    <s v="Dewulf, Els"/>
    <x v="178"/>
    <x v="26"/>
    <n v="6"/>
  </r>
  <r>
    <s v="Van Turtelboom, Franky"/>
    <s v="Franky"/>
    <s v="Van Turtelboom"/>
    <n v="29181"/>
    <s v="Van Der Beken, Bart"/>
    <x v="178"/>
    <x v="26"/>
    <n v="0"/>
  </r>
  <r>
    <s v="Maes, Filip"/>
    <s v="Filip"/>
    <s v="Maes"/>
    <n v="29271"/>
    <s v="Dewulf, Els"/>
    <x v="179"/>
    <x v="26"/>
    <n v="1"/>
  </r>
  <r>
    <s v="De Weerdt, Samuel"/>
    <s v="Samuel"/>
    <s v="De Weerdt"/>
    <n v="29370"/>
    <s v="Van Der Beken, Bart"/>
    <x v="180"/>
    <x v="26"/>
    <n v="0"/>
  </r>
  <r>
    <s v="De Vuyst, Boyke"/>
    <s v="Boyke"/>
    <s v="De Vuyst"/>
    <n v="29477"/>
    <s v="Vande Velde, Lucie"/>
    <x v="181"/>
    <x v="26"/>
    <n v="1"/>
  </r>
  <r>
    <s v="Priwall, Heike"/>
    <s v="Heike"/>
    <s v="Priwall"/>
    <n v="29478"/>
    <s v="Dewulf, Els"/>
    <x v="181"/>
    <x v="26"/>
    <n v="3"/>
  </r>
  <r>
    <s v="Dullaert, Steven"/>
    <s v="Steven"/>
    <s v="Dullaert"/>
    <n v="29539"/>
    <s v="De Clercq, Dominique"/>
    <x v="182"/>
    <x v="27"/>
    <n v="0"/>
  </r>
  <r>
    <s v="De Keyzer, Jan"/>
    <s v="Jan"/>
    <s v="De Keyzer"/>
    <n v="29540"/>
    <s v="Vande Velde, Lucie"/>
    <x v="182"/>
    <x v="27"/>
    <n v="1"/>
  </r>
  <r>
    <s v="Celikoz, Musa"/>
    <s v="Musa"/>
    <s v="Celikoz"/>
    <n v="29591"/>
    <s v="Rotty, Christoff"/>
    <x v="183"/>
    <x v="27"/>
    <n v="0"/>
  </r>
  <r>
    <s v="Özer, Mesut"/>
    <s v="Mesut"/>
    <s v="Özer"/>
    <n v="29646"/>
    <s v="De Clercq, Dominique"/>
    <x v="184"/>
    <x v="27"/>
    <n v="1"/>
  </r>
  <r>
    <s v="Huyse, Annicke"/>
    <s v="Annicke"/>
    <s v="Huyse"/>
    <n v="29746"/>
    <s v="Van Der Beken, Bart"/>
    <x v="185"/>
    <x v="27"/>
    <n v="3"/>
  </r>
  <r>
    <s v="Deboosere, Kathy"/>
    <s v="Kathy"/>
    <s v="Deboosere"/>
    <n v="29778"/>
    <s v="De Rick, Kenneth"/>
    <x v="186"/>
    <x v="27"/>
    <n v="0"/>
  </r>
  <r>
    <s v="Van De Velde, Anneleen"/>
    <s v="Anneleen"/>
    <s v="Van De Velde"/>
    <n v="29818"/>
    <s v="De Clercq, Dominique"/>
    <x v="187"/>
    <x v="27"/>
    <n v="0"/>
  </r>
  <r>
    <s v="Mehman Doust, Farhad"/>
    <s v="Farhad"/>
    <s v="Mehman Doust"/>
    <n v="29821"/>
    <s v="De Clercq, Dominique"/>
    <x v="187"/>
    <x v="27"/>
    <n v="1"/>
  </r>
  <r>
    <s v="Haerens, Tom"/>
    <s v="Tom"/>
    <s v="Haerens"/>
    <n v="30119"/>
    <s v="De Clercq, Dominique"/>
    <x v="188"/>
    <x v="27"/>
    <n v="2"/>
  </r>
  <r>
    <s v="Simons, Andreas"/>
    <s v="Andreas"/>
    <s v="Simons"/>
    <n v="30121"/>
    <s v="Rotty, Christoff"/>
    <x v="188"/>
    <x v="27"/>
    <n v="3"/>
  </r>
  <r>
    <s v="Bracke, Jeroen"/>
    <s v="Jeroen"/>
    <s v="Bracke"/>
    <n v="30271"/>
    <s v="Dewulf, Els"/>
    <x v="189"/>
    <x v="27"/>
    <n v="1"/>
  </r>
  <r>
    <s v="Verberckmoes, Sebastiaan"/>
    <s v="Sebastiaan"/>
    <s v="Verberckmoes"/>
    <n v="30292"/>
    <s v="De Clercq, Dominique"/>
    <x v="190"/>
    <x v="27"/>
    <n v="0"/>
  </r>
  <r>
    <s v="Vandersmissen, Denis"/>
    <s v="Denis"/>
    <s v="Vandersmissen"/>
    <n v="30323"/>
    <s v="Van Der Beken, Bart"/>
    <x v="191"/>
    <x v="27"/>
    <n v="0"/>
  </r>
  <r>
    <s v="Gassa, Mustafa"/>
    <s v="Mustafa"/>
    <s v="Gassa"/>
    <n v="30623"/>
    <s v="De Rick, Kenneth"/>
    <x v="192"/>
    <x v="28"/>
    <n v="2"/>
  </r>
  <r>
    <s v="vanden Bulcke, Johan"/>
    <s v="Johan"/>
    <s v="vanden Bulcke"/>
    <n v="30901"/>
    <s v="Dewulf, Els"/>
    <x v="193"/>
    <x v="28"/>
    <n v="2"/>
  </r>
  <r>
    <s v="Taser, Fatih"/>
    <s v="Fatih"/>
    <s v="Taser"/>
    <n v="30967"/>
    <s v="De Clercq, Dominique"/>
    <x v="194"/>
    <x v="28"/>
    <n v="3"/>
  </r>
  <r>
    <s v="Safaipour, Jalal"/>
    <s v="Jalal"/>
    <s v="Safaipour"/>
    <n v="30988"/>
    <s v="Stubbe, Jarne"/>
    <x v="195"/>
    <x v="28"/>
    <n v="0"/>
  </r>
  <r>
    <s v="Biesemans, Jasper"/>
    <s v="Jasper"/>
    <s v="Biesemans"/>
    <n v="30999"/>
    <s v="Vanhoe, Els"/>
    <x v="196"/>
    <x v="28"/>
    <n v="0"/>
  </r>
  <r>
    <s v="De Jaeger, Kevin"/>
    <s v="Kevin"/>
    <s v="De Jaeger"/>
    <n v="31092"/>
    <s v="Vande Velde, Lucie"/>
    <x v="197"/>
    <x v="28"/>
    <n v="2"/>
  </r>
  <r>
    <s v="Bonne, Niko"/>
    <s v="Niko"/>
    <s v="Bonne"/>
    <n v="31111"/>
    <s v="Vanhoe, Els"/>
    <x v="197"/>
    <x v="28"/>
    <n v="2"/>
  </r>
  <r>
    <s v="De Sutter, Michiel"/>
    <s v="Michiel"/>
    <s v="De Sutter"/>
    <n v="31118"/>
    <s v="Dewulf, Els"/>
    <x v="198"/>
    <x v="28"/>
    <n v="2"/>
  </r>
  <r>
    <s v="Oueslati, Mohamed Ali"/>
    <s v="Mohamed Ali"/>
    <s v="Oueslati"/>
    <n v="31150"/>
    <s v="De Rick, Kenneth"/>
    <x v="199"/>
    <x v="28"/>
    <n v="1"/>
  </r>
  <r>
    <s v="Govaerts, Sandro"/>
    <s v="Sandro"/>
    <s v="Govaerts"/>
    <n v="31165"/>
    <s v="Vande Velde, Lucie"/>
    <x v="200"/>
    <x v="28"/>
    <n v="2"/>
  </r>
  <r>
    <s v="Colaes, Dylan"/>
    <s v="Dylan"/>
    <s v="Colaes"/>
    <n v="31231"/>
    <s v="Vanhoe, Els"/>
    <x v="201"/>
    <x v="28"/>
    <n v="3"/>
  </r>
  <r>
    <s v="Simsek, Fatih"/>
    <s v="Fatih"/>
    <s v="Simsek"/>
    <n v="31360"/>
    <s v="De Clercq, Dominique"/>
    <x v="202"/>
    <x v="29"/>
    <n v="3"/>
  </r>
  <r>
    <s v="Pille, Pascal"/>
    <s v="Pascal"/>
    <s v="Pille"/>
    <n v="31361"/>
    <s v="Vanhoe, Els"/>
    <x v="203"/>
    <x v="29"/>
    <n v="0"/>
  </r>
  <r>
    <s v="Vindevogel, Nick"/>
    <s v="Nick"/>
    <s v="Vindevogel"/>
    <n v="31404"/>
    <s v="De Clercq, Dominique"/>
    <x v="204"/>
    <x v="29"/>
    <n v="0"/>
  </r>
  <r>
    <s v="Cetin, Serdar"/>
    <s v="Serdar"/>
    <s v="Cetin"/>
    <n v="31550"/>
    <s v="De Clercq, Dominique"/>
    <x v="205"/>
    <x v="29"/>
    <n v="0"/>
  </r>
  <r>
    <s v="Mertens, Tom"/>
    <s v="Tom"/>
    <s v="Mertens"/>
    <n v="31600"/>
    <s v="Dewulf, Els"/>
    <x v="206"/>
    <x v="29"/>
    <n v="2"/>
  </r>
  <r>
    <s v="Akin, Ridvan"/>
    <s v="Ridvan"/>
    <s v="Akin"/>
    <n v="31601"/>
    <s v="De Clercq, Dominique"/>
    <x v="206"/>
    <x v="29"/>
    <n v="0"/>
  </r>
  <r>
    <s v="Kirsan, Ömer"/>
    <s v="Ömer"/>
    <s v="Kirsan"/>
    <n v="31634"/>
    <s v="Vanhoe, Els"/>
    <x v="207"/>
    <x v="29"/>
    <n v="1"/>
  </r>
  <r>
    <s v="Vaeyens, Midas"/>
    <s v="Midas"/>
    <s v="Vaeyens"/>
    <n v="31635"/>
    <s v="Vanhoe, Els"/>
    <x v="207"/>
    <x v="29"/>
    <n v="2"/>
  </r>
  <r>
    <s v="Grypdonck, Kenneth"/>
    <s v="Kenneth"/>
    <s v="Grypdonck"/>
    <n v="31659"/>
    <s v="Van Der Beken, Bart"/>
    <x v="208"/>
    <x v="29"/>
    <n v="0"/>
  </r>
  <r>
    <s v="Weemhof, Maurice"/>
    <s v="Maurice"/>
    <s v="Weemhof"/>
    <n v="31668"/>
    <s v="De Clercq, Dominique"/>
    <x v="208"/>
    <x v="29"/>
    <n v="5"/>
  </r>
  <r>
    <s v="Van Achte, Jay"/>
    <s v="Jay"/>
    <s v="Van Achte"/>
    <n v="31689"/>
    <s v="Storm, Steven"/>
    <x v="209"/>
    <x v="29"/>
    <n v="1"/>
  </r>
  <r>
    <s v="Dedapper, Marijke"/>
    <s v="Marijke"/>
    <s v="Dedapper"/>
    <n v="31731"/>
    <s v="Vanhoe, Els"/>
    <x v="210"/>
    <x v="29"/>
    <n v="2"/>
  </r>
  <r>
    <s v="Sonck, Kristof"/>
    <s v="Kristof"/>
    <s v="Sonck"/>
    <n v="31733"/>
    <s v="De Clercq, Dominique"/>
    <x v="210"/>
    <x v="29"/>
    <n v="2"/>
  </r>
  <r>
    <s v="Famelaer, Steve"/>
    <s v="Steve"/>
    <s v="Famelaer"/>
    <n v="31776"/>
    <s v="De Clercq, Dominique"/>
    <x v="211"/>
    <x v="29"/>
    <n v="1"/>
  </r>
  <r>
    <s v="Hasni, Helmi"/>
    <s v="Helmi"/>
    <s v="Hasni"/>
    <n v="32002"/>
    <s v="Storm, Steven"/>
    <x v="212"/>
    <x v="29"/>
    <n v="2"/>
  </r>
  <r>
    <s v="Köroglu, Ercan"/>
    <s v="Ercan"/>
    <s v="Köroglu"/>
    <n v="32091"/>
    <s v="De Rick, Kenneth"/>
    <x v="213"/>
    <x v="29"/>
    <n v="1"/>
  </r>
  <r>
    <s v="Er, Tolga"/>
    <s v="Tolga"/>
    <s v="Er"/>
    <n v="32092"/>
    <s v="Van Der Beken, Bart"/>
    <x v="213"/>
    <x v="29"/>
    <n v="0"/>
  </r>
  <r>
    <s v="Vranken, Zulkifly"/>
    <s v="Zulkifly"/>
    <s v="Vranken"/>
    <n v="32168"/>
    <s v="De Rick, Kenneth"/>
    <x v="214"/>
    <x v="29"/>
    <n v="1"/>
  </r>
  <r>
    <s v="Kelchtermans, Raf"/>
    <s v="Raf"/>
    <s v="Kelchtermans"/>
    <n v="32169"/>
    <s v="Storm, Steven"/>
    <x v="215"/>
    <x v="29"/>
    <n v="0"/>
  </r>
  <r>
    <s v="Verlinden, Bianca"/>
    <s v="Bianca"/>
    <s v="Verlinden"/>
    <n v="32245"/>
    <s v="Vanhoe, Els"/>
    <x v="216"/>
    <x v="29"/>
    <n v="2"/>
  </r>
  <r>
    <s v="Vandenborre, Patrick"/>
    <s v="Patrick"/>
    <s v="Vandenborre"/>
    <n v="32369"/>
    <s v="Vanhoe, Els"/>
    <x v="217"/>
    <x v="30"/>
    <n v="1"/>
  </r>
  <r>
    <s v="Meersman, Herman"/>
    <s v="Herman"/>
    <s v="Meersman"/>
    <n v="32387"/>
    <s v="Storm, Steven"/>
    <x v="217"/>
    <x v="30"/>
    <n v="4"/>
  </r>
  <r>
    <s v="Cifteoglu, Sedat"/>
    <s v="Sedat"/>
    <s v="Cifteoglu"/>
    <n v="32458"/>
    <s v="Dewulf, Els"/>
    <x v="218"/>
    <x v="30"/>
    <n v="0"/>
  </r>
  <r>
    <s v="Benjilali, Abdelhak"/>
    <s v="Abdelhak"/>
    <s v="Benjilali"/>
    <n v="32528"/>
    <s v="Storm, Steven"/>
    <x v="219"/>
    <x v="30"/>
    <n v="2"/>
  </r>
  <r>
    <s v="Vanderstock, Kenny"/>
    <s v="Kenny"/>
    <s v="Vanderstock"/>
    <n v="32542"/>
    <s v="De Clercq, Dominique"/>
    <x v="218"/>
    <x v="30"/>
    <n v="2"/>
  </r>
  <r>
    <s v="Özer, Özgur"/>
    <s v="Özgur"/>
    <s v="Özer"/>
    <n v="32611"/>
    <s v="De Rick, Kenneth"/>
    <x v="220"/>
    <x v="30"/>
    <n v="2"/>
  </r>
  <r>
    <s v="Saey, Elias"/>
    <s v="Elias"/>
    <s v="Saey"/>
    <n v="32620"/>
    <s v="Vanhoe, Els"/>
    <x v="221"/>
    <x v="30"/>
    <n v="3"/>
  </r>
  <r>
    <s v="De Bruyne, Sonia"/>
    <s v="Sonia"/>
    <s v="De Bruyne"/>
    <n v="32951"/>
    <s v="Vande Velde, Lucie"/>
    <x v="222"/>
    <x v="30"/>
    <n v="6"/>
  </r>
  <r>
    <s v="Depaepe, Dirk"/>
    <s v="Dirk"/>
    <s v="Depaepe"/>
    <n v="33049"/>
    <s v="De Rick, Kenneth"/>
    <x v="223"/>
    <x v="30"/>
    <n v="0"/>
  </r>
  <r>
    <s v="Petit, Cynthia"/>
    <s v="Cynthia"/>
    <s v="Petit"/>
    <n v="33400"/>
    <s v="Rotty, Christoff"/>
    <x v="224"/>
    <x v="31"/>
    <n v="3"/>
  </r>
  <r>
    <s v="Verroeye, Chris"/>
    <s v="Chris"/>
    <s v="Verroeye"/>
    <n v="33450"/>
    <s v="De Rick, Kenneth"/>
    <x v="225"/>
    <x v="31"/>
    <n v="2"/>
  </r>
  <r>
    <s v="Holub, Patrik"/>
    <s v="Patrik"/>
    <s v="Holub"/>
    <n v="33488"/>
    <s v="Vanhoe, Els"/>
    <x v="226"/>
    <x v="31"/>
    <n v="2"/>
  </r>
  <r>
    <s v="Caufrier, Matthew"/>
    <s v="Matthew"/>
    <s v="Caufrier"/>
    <n v="33600"/>
    <s v="De Rick, Kenneth"/>
    <x v="227"/>
    <x v="31"/>
    <n v="0"/>
  </r>
  <r>
    <s v="Van de Velde, Valentijn"/>
    <s v="Valentijn"/>
    <s v="Van de Velde"/>
    <n v="33639"/>
    <s v="Vande Velde, Lucie"/>
    <x v="228"/>
    <x v="31"/>
    <n v="0"/>
  </r>
  <r>
    <s v="Verschraegen, Patrick"/>
    <s v="Patrick"/>
    <s v="Verschraegen"/>
    <n v="33640"/>
    <s v="Storm, Steven"/>
    <x v="228"/>
    <x v="31"/>
    <n v="1"/>
  </r>
  <r>
    <s v="Van Limbergen, Danny"/>
    <s v="Danny"/>
    <s v="Van Limbergen"/>
    <n v="33698"/>
    <s v="Storm, Steven"/>
    <x v="229"/>
    <x v="31"/>
    <n v="0"/>
  </r>
  <r>
    <s v="Vergucht, Hugo"/>
    <s v="Hugo"/>
    <s v="Vergucht"/>
    <n v="33757"/>
    <s v="Storm, Steven"/>
    <x v="230"/>
    <x v="31"/>
    <n v="0"/>
  </r>
  <r>
    <s v="Hoffelinck, Thomas"/>
    <s v="Thomas"/>
    <s v="Hoffelinck"/>
    <n v="33982"/>
    <s v="Dewulf, Els"/>
    <x v="231"/>
    <x v="31"/>
    <n v="0"/>
  </r>
  <r>
    <s v="Göktas, Muharrem"/>
    <s v="Muharrem"/>
    <s v="Göktas"/>
    <n v="33986"/>
    <s v="De Rick, Kenneth"/>
    <x v="231"/>
    <x v="31"/>
    <n v="4"/>
  </r>
  <r>
    <s v="Hoste, Tom"/>
    <s v="Tom"/>
    <s v="Hoste"/>
    <n v="34019"/>
    <s v="Rotty, Christoff"/>
    <x v="232"/>
    <x v="31"/>
    <n v="1"/>
  </r>
  <r>
    <s v="Wieme, Kevin"/>
    <s v="Kevin"/>
    <s v="Wieme"/>
    <n v="34044"/>
    <s v="Rotty, Christoff"/>
    <x v="233"/>
    <x v="31"/>
    <n v="2"/>
  </r>
  <r>
    <s v="Pelfrene, Toby"/>
    <s v="Toby"/>
    <s v="Pelfrene"/>
    <n v="34198"/>
    <s v="Vanhoe, Els"/>
    <x v="234"/>
    <x v="31"/>
    <n v="2"/>
  </r>
  <r>
    <s v="Ghani, Mozamil"/>
    <s v="Mozamil"/>
    <s v="Ghani"/>
    <n v="34286"/>
    <s v="Storm, Steven"/>
    <x v="235"/>
    <x v="31"/>
    <n v="2"/>
  </r>
  <r>
    <s v="Sari, Halil"/>
    <s v="Halil"/>
    <s v="Sari"/>
    <n v="34312"/>
    <s v="Storm, Steven"/>
    <x v="236"/>
    <x v="31"/>
    <n v="0"/>
  </r>
  <r>
    <s v="Kerremans, Jürgen"/>
    <s v="Jürgen"/>
    <s v="Kerremans"/>
    <n v="34328"/>
    <s v="De Rick, Kenneth"/>
    <x v="236"/>
    <x v="31"/>
    <n v="4"/>
  </r>
  <r>
    <s v="Callant, Dieter"/>
    <s v="Dieter"/>
    <s v="Callant"/>
    <n v="34351"/>
    <s v="Vanhoe, Els"/>
    <x v="236"/>
    <x v="31"/>
    <n v="3"/>
  </r>
  <r>
    <s v="Goossens, Wesley"/>
    <s v="Wesley"/>
    <s v="Goossens"/>
    <n v="34385"/>
    <s v="Stubbe, Jarne"/>
    <x v="237"/>
    <x v="31"/>
    <n v="1"/>
  </r>
  <r>
    <s v="Wulleput, Illya"/>
    <s v="Illya"/>
    <s v="Wulleput"/>
    <n v="34445"/>
    <s v="De Clercq, Dominique"/>
    <x v="238"/>
    <x v="31"/>
    <n v="5"/>
  </r>
  <r>
    <s v="Fiers, Kenny"/>
    <s v="Kenny"/>
    <s v="Fiers"/>
    <n v="34664"/>
    <s v="Storm, Steven"/>
    <x v="239"/>
    <x v="31"/>
    <n v="0"/>
  </r>
  <r>
    <s v="Agacseven, Mustafa"/>
    <s v="Mustafa"/>
    <s v="Agacseven"/>
    <n v="35005"/>
    <s v="Van Der Beken, Bart"/>
    <x v="240"/>
    <x v="32"/>
    <n v="0"/>
  </r>
  <r>
    <s v="Van Hoe, Youri"/>
    <s v="Youri"/>
    <s v="Van Hoe"/>
    <n v="35006"/>
    <s v="De Rick, Kenneth"/>
    <x v="241"/>
    <x v="32"/>
    <n v="1"/>
  </r>
  <r>
    <s v="Momsen, Rory"/>
    <s v="Rory"/>
    <s v="Momsen"/>
    <n v="35026"/>
    <s v="Storm, Steven"/>
    <x v="240"/>
    <x v="32"/>
    <n v="0"/>
  </r>
  <r>
    <s v="De Henau, Wim"/>
    <s v="Wim"/>
    <s v="De Henau"/>
    <n v="35030"/>
    <s v="Vande Velde, Lucie"/>
    <x v="242"/>
    <x v="32"/>
    <n v="0"/>
  </r>
  <r>
    <s v="Kocabas, Abdülkadir"/>
    <s v="Abdülkadir"/>
    <s v="Kocabas"/>
    <n v="35055"/>
    <s v="Vanhoe, Els"/>
    <x v="243"/>
    <x v="32"/>
    <n v="2"/>
  </r>
  <r>
    <s v="Rotsaert, Dominique"/>
    <s v="Dominique"/>
    <s v="Rotsaert"/>
    <n v="35107"/>
    <s v="Van Der Beken, Bart"/>
    <x v="243"/>
    <x v="32"/>
    <n v="1"/>
  </r>
  <r>
    <s v="Delcourt, Daniel"/>
    <s v="Daniel"/>
    <s v="Delcourt"/>
    <n v="35120"/>
    <s v="Dewulf, Els"/>
    <x v="244"/>
    <x v="32"/>
    <n v="1"/>
  </r>
  <r>
    <s v="Bastiaen, Eric"/>
    <s v="Eric"/>
    <s v="Bastiaen"/>
    <n v="35187"/>
    <s v="Vande Velde, Lucie"/>
    <x v="245"/>
    <x v="32"/>
    <n v="1"/>
  </r>
  <r>
    <s v="Coban, Mehmet"/>
    <s v="Mehmet"/>
    <s v="Coban"/>
    <n v="35216"/>
    <s v="Vande Velde, Lucie"/>
    <x v="242"/>
    <x v="32"/>
    <n v="1"/>
  </r>
  <r>
    <s v="Akmese, Ahmet"/>
    <s v="Ahmet"/>
    <s v="Akmese"/>
    <n v="35220"/>
    <s v="Vande Velde, Lucie"/>
    <x v="241"/>
    <x v="32"/>
    <n v="0"/>
  </r>
  <r>
    <s v="De Meyer, Karel"/>
    <s v="Karel"/>
    <s v="De Meyer"/>
    <n v="35246"/>
    <s v="Vanhoe, Els"/>
    <x v="241"/>
    <x v="32"/>
    <n v="2"/>
  </r>
  <r>
    <s v="Dewulf, Matthias"/>
    <s v="Matthias"/>
    <s v="Dewulf"/>
    <n v="35334"/>
    <s v="Vanhoe, Els"/>
    <x v="246"/>
    <x v="32"/>
    <n v="0"/>
  </r>
  <r>
    <s v="Engels, Sam"/>
    <s v="Sam"/>
    <s v="Engels"/>
    <n v="35379"/>
    <s v="Vanhoe, Els"/>
    <x v="247"/>
    <x v="32"/>
    <n v="2"/>
  </r>
  <r>
    <s v="Limbourg, Heidi"/>
    <s v="Heidi"/>
    <s v="Limbourg"/>
    <n v="35395"/>
    <s v="Storm, Steven"/>
    <x v="248"/>
    <x v="32"/>
    <n v="2"/>
  </r>
  <r>
    <s v="Minbari, Ako"/>
    <s v="Ako"/>
    <s v="Minbari"/>
    <n v="35397"/>
    <s v="Vande Velde, Lucie"/>
    <x v="249"/>
    <x v="32"/>
    <n v="2"/>
  </r>
  <r>
    <s v="Vermeir, Davy"/>
    <s v="Davy"/>
    <s v="Vermeir"/>
    <n v="35419"/>
    <s v="Vande Velde, Lucie"/>
    <x v="250"/>
    <x v="32"/>
    <n v="0"/>
  </r>
  <r>
    <s v="Vlaminck, Dirk"/>
    <s v="Dirk"/>
    <s v="Vlaminck"/>
    <n v="35430"/>
    <s v="Vanhoe, Els"/>
    <x v="250"/>
    <x v="32"/>
    <n v="2"/>
  </r>
  <r>
    <s v="Kaya, Aytekin"/>
    <s v="Aytekin"/>
    <s v="Kaya"/>
    <n v="35434"/>
    <s v="De Clercq, Dominique"/>
    <x v="251"/>
    <x v="32"/>
    <n v="1"/>
  </r>
  <r>
    <s v="Roos, Hugo"/>
    <s v="Hugo"/>
    <s v="Roos"/>
    <n v="35450"/>
    <s v="Dewulf, Els"/>
    <x v="252"/>
    <x v="32"/>
    <n v="4"/>
  </r>
  <r>
    <s v="Vandaele, Tom"/>
    <s v="Tom"/>
    <s v="Vandaele"/>
    <n v="35463"/>
    <s v="De Clercq, Dominique"/>
    <x v="253"/>
    <x v="32"/>
    <n v="4"/>
  </r>
  <r>
    <s v="Vonck, Freddy"/>
    <s v="Freddy"/>
    <s v="Vonck"/>
    <n v="35471"/>
    <s v="Vande Velde, Lucie"/>
    <x v="254"/>
    <x v="32"/>
    <n v="0"/>
  </r>
  <r>
    <s v="Nguetto, Brisco Romeo"/>
    <s v="Brisco Romeo"/>
    <s v="Nguetto"/>
    <n v="35490"/>
    <s v="Storm, Steven"/>
    <x v="253"/>
    <x v="32"/>
    <n v="1"/>
  </r>
  <r>
    <s v="Toubadie, Zakaria"/>
    <s v="Zakaria"/>
    <s v="Toubadie"/>
    <n v="35491"/>
    <s v="Vanhoe, Els"/>
    <x v="253"/>
    <x v="32"/>
    <n v="2"/>
  </r>
  <r>
    <s v="van Turnhout, Mariëlle"/>
    <s v="Mariëlle"/>
    <s v="van Turnhout"/>
    <n v="35493"/>
    <s v="Vande Velde, Lucie"/>
    <x v="255"/>
    <x v="32"/>
    <n v="1"/>
  </r>
  <r>
    <s v="Rummens, Maarten"/>
    <s v="Maarten"/>
    <s v="Rummens"/>
    <n v="35494"/>
    <s v="Vanhoe, Els"/>
    <x v="255"/>
    <x v="32"/>
    <n v="0"/>
  </r>
  <r>
    <s v="Razzaz, Mahmoud"/>
    <s v="Mahmoud"/>
    <s v="Razzaz"/>
    <n v="35495"/>
    <s v="De Rick, Kenneth"/>
    <x v="253"/>
    <x v="32"/>
    <n v="1"/>
  </r>
  <r>
    <s v="Smesman, Glenn"/>
    <s v="Glenn"/>
    <s v="Smesman"/>
    <n v="35588"/>
    <s v="Vande Velde, Lucie"/>
    <x v="255"/>
    <x v="32"/>
    <n v="3"/>
  </r>
  <r>
    <s v="Braeckman, Wouter"/>
    <s v="Wouter"/>
    <s v="Braeckman"/>
    <n v="35598"/>
    <s v="De Clercq, Dominique"/>
    <x v="255"/>
    <x v="32"/>
    <n v="1"/>
  </r>
  <r>
    <s v="El Mezroui, Zouheir"/>
    <s v="Zouheir"/>
    <s v="El Mezroui"/>
    <n v="35619"/>
    <s v="Storm, Steven"/>
    <x v="256"/>
    <x v="32"/>
    <n v="1"/>
  </r>
  <r>
    <s v="Dolleslagers, Christof"/>
    <s v="Christof"/>
    <s v="Dolleslagers"/>
    <n v="35623"/>
    <s v="Van Der Beken, Bart"/>
    <x v="251"/>
    <x v="32"/>
    <n v="0"/>
  </r>
  <r>
    <s v="Jalili, Yaseeb"/>
    <s v="Yaseeb"/>
    <s v="Jalili"/>
    <n v="35645"/>
    <s v="Storm, Steven"/>
    <x v="257"/>
    <x v="32"/>
    <n v="4"/>
  </r>
  <r>
    <s v="El Gasmi, Sami"/>
    <s v="Sami"/>
    <s v="El Gasmi"/>
    <n v="35709"/>
    <s v="Vanhoe, Els"/>
    <x v="258"/>
    <x v="32"/>
    <n v="1"/>
  </r>
  <r>
    <s v="Simsek, Huseyin"/>
    <s v="Huseyin"/>
    <s v="Simsek"/>
    <n v="35761"/>
    <s v="Dewulf, Els"/>
    <x v="256"/>
    <x v="32"/>
    <n v="0"/>
  </r>
  <r>
    <s v="Van Damme, Patrick"/>
    <s v="Patrick"/>
    <s v="Van Damme"/>
    <n v="35862"/>
    <s v="Dewulf, Els"/>
    <x v="259"/>
    <x v="32"/>
    <n v="0"/>
  </r>
  <r>
    <s v="Boelaert, Frederik"/>
    <s v="Frederik"/>
    <s v="Boelaert"/>
    <n v="36021"/>
    <s v="Vande Velde, Lucie"/>
    <x v="260"/>
    <x v="32"/>
    <n v="3"/>
  </r>
  <r>
    <s v="Unver, Ismaïl"/>
    <s v="Ismaïl"/>
    <s v="Unver"/>
    <n v="30321"/>
    <s v="De Rick, Kenneth"/>
    <x v="261"/>
    <x v="33"/>
    <n v="2"/>
  </r>
  <r>
    <s v="Riahi, Brahim"/>
    <s v="Brahim"/>
    <s v="Riahi"/>
    <n v="35414"/>
    <s v="Storm, Steven"/>
    <x v="262"/>
    <x v="33"/>
    <n v="0"/>
  </r>
  <r>
    <s v="De Clercq, Sven"/>
    <s v="Sven"/>
    <s v="De Clercq"/>
    <n v="36154"/>
    <s v="Vande Velde, Lucie"/>
    <x v="263"/>
    <x v="33"/>
    <n v="1"/>
  </r>
  <r>
    <s v="Kilinc, Atilay"/>
    <s v="Atilay"/>
    <s v="Kilinc"/>
    <n v="36228"/>
    <s v="Vanhoe, Els"/>
    <x v="264"/>
    <x v="33"/>
    <n v="1"/>
  </r>
  <r>
    <s v="Van Rentergem, Steve"/>
    <s v="Steve"/>
    <s v="Van Rentergem"/>
    <n v="36289"/>
    <s v="Vanhoe, Els"/>
    <x v="265"/>
    <x v="33"/>
    <n v="3"/>
  </r>
  <r>
    <s v="Haenebalcke, Peter"/>
    <s v="Peter"/>
    <s v="Haenebalcke"/>
    <n v="36336"/>
    <s v="Vande Velde, Lucie"/>
    <x v="265"/>
    <x v="33"/>
    <n v="1"/>
  </r>
  <r>
    <s v="Desmadryl, Daniel"/>
    <s v="Daniel"/>
    <s v="Desmadryl"/>
    <n v="36337"/>
    <s v="De Rick, Kenneth"/>
    <x v="265"/>
    <x v="33"/>
    <n v="1"/>
  </r>
  <r>
    <s v="El Aaddam, Hodayfa"/>
    <s v="Hodayfa"/>
    <s v="El Aaddam"/>
    <n v="36354"/>
    <s v="Vanhoe, Els"/>
    <x v="266"/>
    <x v="33"/>
    <n v="0"/>
  </r>
  <r>
    <s v="De Nys, Elise"/>
    <s v="Elise"/>
    <s v="De Nys"/>
    <n v="36358"/>
    <s v="Dewulf, Els"/>
    <x v="267"/>
    <x v="33"/>
    <n v="2"/>
  </r>
  <r>
    <s v="Opsomer, Gerrit"/>
    <s v="Gerrit"/>
    <s v="Opsomer"/>
    <n v="36378"/>
    <s v="Vande Velde, Lucie"/>
    <x v="268"/>
    <x v="33"/>
    <n v="0"/>
  </r>
  <r>
    <s v="Vandekerckhove, Nico"/>
    <s v="Nico"/>
    <s v="Vandekerckhove"/>
    <n v="36425"/>
    <s v="Vanhoe, Els"/>
    <x v="269"/>
    <x v="33"/>
    <n v="0"/>
  </r>
  <r>
    <s v="Mohamed Yassin, Abdulhamid"/>
    <s v="Abdulhamid"/>
    <s v="Mohamed Yassin"/>
    <n v="36426"/>
    <s v="Van Der Beken, Bart"/>
    <x v="270"/>
    <x v="33"/>
    <n v="3"/>
  </r>
  <r>
    <s v="Abdi Shaiye, Rashid"/>
    <s v="Rashid"/>
    <s v="Abdi Shaiye"/>
    <n v="36428"/>
    <s v="Vande Velde, Lucie"/>
    <x v="271"/>
    <x v="33"/>
    <n v="5"/>
  </r>
  <r>
    <s v="Ahlaloum, Khalid"/>
    <s v="Khalid"/>
    <s v="Ahlaloum"/>
    <n v="36429"/>
    <s v="De Rick, Kenneth"/>
    <x v="271"/>
    <x v="33"/>
    <n v="1"/>
  </r>
  <r>
    <s v="Agil, Birol"/>
    <s v="Birol"/>
    <s v="Agil"/>
    <n v="36438"/>
    <s v="Van Der Beken, Bart"/>
    <x v="266"/>
    <x v="33"/>
    <n v="3"/>
  </r>
  <r>
    <s v="Callens, Dimitri"/>
    <s v="Dimitri"/>
    <s v="Callens"/>
    <n v="36503"/>
    <s v="Rotty, Christoff"/>
    <x v="269"/>
    <x v="33"/>
    <n v="1"/>
  </r>
  <r>
    <s v="De Lange, Ruben"/>
    <s v="Ruben"/>
    <s v="De Lange"/>
    <n v="36505"/>
    <s v="De Rick, Kenneth"/>
    <x v="269"/>
    <x v="33"/>
    <n v="1"/>
  </r>
  <r>
    <s v="Van Belleghem, Peggy"/>
    <s v="Peggy"/>
    <s v="Van Belleghem"/>
    <n v="36507"/>
    <s v="Storm, Steven"/>
    <x v="272"/>
    <x v="33"/>
    <n v="0"/>
  </r>
  <r>
    <s v="Van Herreweghe, Branco"/>
    <s v="Branco"/>
    <s v="Van Herreweghe"/>
    <n v="36512"/>
    <s v="Storm, Steven"/>
    <x v="269"/>
    <x v="33"/>
    <n v="3"/>
  </r>
  <r>
    <s v="Sogut, Rauf"/>
    <s v="Rauf"/>
    <s v="Sogut"/>
    <n v="36513"/>
    <s v="De Rick, Kenneth"/>
    <x v="269"/>
    <x v="33"/>
    <n v="1"/>
  </r>
  <r>
    <s v="Babaian, Sammy"/>
    <s v="Sammy"/>
    <s v="Babaian"/>
    <n v="36543"/>
    <s v="Vande Velde, Lucie"/>
    <x v="272"/>
    <x v="33"/>
    <n v="0"/>
  </r>
  <r>
    <s v="De Staercke, Sandra"/>
    <s v="Sandra"/>
    <s v="De Staercke"/>
    <n v="36559"/>
    <s v="De Rick, Kenneth"/>
    <x v="272"/>
    <x v="33"/>
    <n v="2"/>
  </r>
  <r>
    <s v="Stroobandt, Jonas"/>
    <s v="Jonas"/>
    <s v="Stroobandt"/>
    <n v="36569"/>
    <s v="Vanhoe, Els"/>
    <x v="272"/>
    <x v="33"/>
    <n v="6"/>
  </r>
  <r>
    <s v="De Smet, Martine"/>
    <s v="Martine"/>
    <s v="De Smet"/>
    <n v="36577"/>
    <s v="Dewulf, Els"/>
    <x v="273"/>
    <x v="33"/>
    <n v="1"/>
  </r>
  <r>
    <s v="Duyck, Lorenzo"/>
    <s v="Lorenzo"/>
    <s v="Duyck"/>
    <n v="36586"/>
    <s v="Stubbe, Jarne"/>
    <x v="274"/>
    <x v="33"/>
    <n v="0"/>
  </r>
  <r>
    <s v="De Meulenaere, Kurt"/>
    <s v="Kurt"/>
    <s v="De Meulenaere"/>
    <n v="36624"/>
    <s v="De Clercq, Dominique"/>
    <x v="275"/>
    <x v="33"/>
    <n v="3"/>
  </r>
  <r>
    <s v="Kartal, Kadir"/>
    <s v="Kadir"/>
    <s v="Kartal"/>
    <n v="36626"/>
    <s v="Dewulf, Els"/>
    <x v="273"/>
    <x v="33"/>
    <n v="10"/>
  </r>
  <r>
    <s v="Dobbelaere, David"/>
    <s v="David"/>
    <s v="Dobbelaere"/>
    <n v="36627"/>
    <s v="Dewulf, Els"/>
    <x v="276"/>
    <x v="33"/>
    <n v="5"/>
  </r>
  <r>
    <s v="Fadel, Husam"/>
    <s v="Husam"/>
    <s v="Fadel"/>
    <n v="36635"/>
    <s v="De Rick, Kenneth"/>
    <x v="277"/>
    <x v="33"/>
    <n v="4"/>
  </r>
  <r>
    <s v="Cesmeli, Achraf"/>
    <s v="Achraf"/>
    <s v="Cesmeli"/>
    <n v="36663"/>
    <s v="De Clercq, Dominique"/>
    <x v="278"/>
    <x v="33"/>
    <n v="3"/>
  </r>
  <r>
    <s v="Haché, Philip"/>
    <s v="Philip"/>
    <s v="Haché"/>
    <n v="36820"/>
    <s v="Storm, Steven"/>
    <x v="279"/>
    <x v="33"/>
    <n v="1"/>
  </r>
  <r>
    <s v="De Kesel, Milan"/>
    <s v="Milan"/>
    <s v="De Kesel"/>
    <n v="36838"/>
    <s v="De Clercq, Dominique"/>
    <x v="280"/>
    <x v="33"/>
    <n v="0"/>
  </r>
  <r>
    <s v="Flamant, Marc"/>
    <s v="Marc"/>
    <s v="Flamant"/>
    <n v="36845"/>
    <s v="Vande Velde, Lucie"/>
    <x v="281"/>
    <x v="33"/>
    <n v="0"/>
  </r>
  <r>
    <s v="Carion, Rojet"/>
    <s v="Rojet"/>
    <s v="Carion"/>
    <n v="36625"/>
    <s v="De Rick, Kenneth"/>
    <x v="282"/>
    <x v="34"/>
    <n v="0"/>
  </r>
  <r>
    <s v="Vanooteghem, Johnny"/>
    <s v="Johnny"/>
    <s v="Vanooteghem"/>
    <n v="19251"/>
    <s v="De Clercq, Dominique"/>
    <x v="283"/>
    <x v="34"/>
    <n v="0"/>
  </r>
  <r>
    <s v="Acosta Salinas, Benigna"/>
    <s v="Benigna"/>
    <s v="Acosta Salinas"/>
    <n v="36275"/>
    <s v="De Clercq, Dominique"/>
    <x v="284"/>
    <x v="34"/>
    <n v="2"/>
  </r>
  <r>
    <s v="Saritag, Mehmed"/>
    <s v="Mehmed"/>
    <s v="Saritag"/>
    <n v="37131"/>
    <s v="De Rick, Kenneth"/>
    <x v="285"/>
    <x v="34"/>
    <n v="2"/>
  </r>
  <r>
    <s v="Dacic, Esmir"/>
    <s v="Esmir"/>
    <s v="Dacic"/>
    <n v="37132"/>
    <s v="De Clercq, Dominique"/>
    <x v="286"/>
    <x v="34"/>
    <n v="2"/>
  </r>
  <r>
    <s v="Bashir, Muhammad Salman"/>
    <s v="Muhammad Salman"/>
    <s v="Bashir"/>
    <n v="37179"/>
    <s v="Van Der Beken, Bart"/>
    <x v="287"/>
    <x v="34"/>
    <n v="2"/>
  </r>
  <r>
    <s v="Catar, Gökhan"/>
    <s v="Gökhan"/>
    <s v="Catar"/>
    <n v="37208"/>
    <s v="De Rick, Kenneth"/>
    <x v="288"/>
    <x v="34"/>
    <n v="1"/>
  </r>
  <r>
    <s v="Antoniewicz, Stephan"/>
    <s v="Stephan"/>
    <s v="Antoniewicz"/>
    <n v="37216"/>
    <s v="De Rick, Kenneth"/>
    <x v="289"/>
    <x v="34"/>
    <n v="1"/>
  </r>
  <r>
    <s v="Blondeel, Dominique"/>
    <s v="Dominique"/>
    <s v="Blondeel"/>
    <n v="37222"/>
    <s v="Vande Velde, Lucie"/>
    <x v="286"/>
    <x v="34"/>
    <n v="1"/>
  </r>
  <r>
    <s v="Berth, Bjorn"/>
    <s v="Bjorn"/>
    <s v="Berth"/>
    <n v="37226"/>
    <s v="Dewulf, Els"/>
    <x v="290"/>
    <x v="34"/>
    <n v="0"/>
  </r>
  <r>
    <s v="Coulon, Rayan"/>
    <s v="Rayan"/>
    <s v="Coulon"/>
    <n v="37254"/>
    <s v="De Rick, Kenneth"/>
    <x v="285"/>
    <x v="34"/>
    <n v="2"/>
  </r>
  <r>
    <s v="Van Wayenbergh, Yordi"/>
    <s v="Yordi"/>
    <s v="Van Wayenbergh"/>
    <n v="37261"/>
    <s v="De Clercq, Dominique"/>
    <x v="286"/>
    <x v="34"/>
    <n v="4"/>
  </r>
  <r>
    <s v="Dedeci, Mecit"/>
    <s v="Mecit"/>
    <s v="Dedeci"/>
    <n v="37313"/>
    <s v="Van Der Beken, Bart"/>
    <x v="291"/>
    <x v="34"/>
    <n v="1"/>
  </r>
  <r>
    <s v="Walleyn, Renaat"/>
    <s v="Renaat"/>
    <s v="Walleyn"/>
    <n v="37345"/>
    <s v="Vande Velde, Lucie"/>
    <x v="292"/>
    <x v="34"/>
    <n v="3"/>
  </r>
  <r>
    <s v="Demirkazik, Mustafa"/>
    <s v="Mustafa"/>
    <s v="Demirkazik"/>
    <n v="37439"/>
    <s v="De Rick, Kenneth"/>
    <x v="292"/>
    <x v="34"/>
    <n v="4"/>
  </r>
  <r>
    <s v="Oosterlinck, Willy"/>
    <s v="Willy"/>
    <s v="Oosterlinck"/>
    <n v="37496"/>
    <s v="De Clercq, Dominique"/>
    <x v="293"/>
    <x v="34"/>
    <n v="4"/>
  </r>
  <r>
    <s v="Abdulkader, Sabah"/>
    <s v="Sabah"/>
    <s v="Abdulkader"/>
    <n v="37509"/>
    <s v="Van Der Beken, Bart"/>
    <x v="294"/>
    <x v="34"/>
    <n v="3"/>
  </r>
  <r>
    <s v="De Tandt, Hans"/>
    <s v="Hans"/>
    <s v="De Tandt"/>
    <n v="37542"/>
    <s v="Van Der Beken, Bart"/>
    <x v="295"/>
    <x v="34"/>
    <n v="5"/>
  </r>
  <r>
    <s v="Öztürk, Bilgehan"/>
    <s v="Bilgehan"/>
    <s v="Öztürk"/>
    <n v="37543"/>
    <s v="De Rick, Kenneth"/>
    <x v="295"/>
    <x v="34"/>
    <n v="6"/>
  </r>
  <r>
    <s v="Damlakhi, Nawras"/>
    <s v="Nawras"/>
    <s v="Damlakhi"/>
    <n v="37564"/>
    <s v="Vanhoe, Els"/>
    <x v="295"/>
    <x v="34"/>
    <n v="1"/>
  </r>
  <r>
    <s v="Smesman, Nico"/>
    <s v="Nico"/>
    <s v="Smesman"/>
    <n v="37600"/>
    <s v="Vande Velde, Lucie"/>
    <x v="291"/>
    <x v="34"/>
    <n v="0"/>
  </r>
  <r>
    <s v="De Groote, Dylan"/>
    <s v="Dylan"/>
    <s v="De Groote"/>
    <n v="37609"/>
    <s v="De Rick, Kenneth"/>
    <x v="291"/>
    <x v="34"/>
    <n v="2"/>
  </r>
  <r>
    <s v="D'hondt, Jurgen"/>
    <s v="Jurgen"/>
    <s v="D'hondt"/>
    <n v="37623"/>
    <s v="Stubbe, Jarne"/>
    <x v="296"/>
    <x v="34"/>
    <n v="0"/>
  </r>
  <r>
    <s v="Van den Meerssche, Steven"/>
    <s v="Steven"/>
    <s v="Van den Meerssche"/>
    <n v="37662"/>
    <s v="Van Der Beken, Bart"/>
    <x v="297"/>
    <x v="34"/>
    <n v="8"/>
  </r>
  <r>
    <s v="De Boever, Charlotte"/>
    <s v="Charlotte"/>
    <s v="De Boever"/>
    <n v="37683"/>
    <s v="Storm, Steven"/>
    <x v="298"/>
    <x v="34"/>
    <n v="1"/>
  </r>
  <r>
    <s v="De Lange, Frank"/>
    <s v="Frank"/>
    <s v="De Lange"/>
    <n v="37744"/>
    <s v="De Clercq, Dominique"/>
    <x v="299"/>
    <x v="34"/>
    <n v="1"/>
  </r>
  <r>
    <s v="Demirkaya, Kâzim"/>
    <s v="Kâzim"/>
    <s v="Demirkaya"/>
    <n v="37794"/>
    <s v="Storm, Steven"/>
    <x v="300"/>
    <x v="34"/>
    <n v="1"/>
  </r>
  <r>
    <s v="Gök, Mustafa"/>
    <s v="Mustafa"/>
    <s v="Gök"/>
    <n v="37808"/>
    <s v="Vanhoe, Els"/>
    <x v="301"/>
    <x v="34"/>
    <n v="1"/>
  </r>
  <r>
    <s v="Sturtewagen, Kenny"/>
    <s v="Kenny"/>
    <s v="Sturtewagen"/>
    <n v="37809"/>
    <s v="Storm, Steven"/>
    <x v="302"/>
    <x v="34"/>
    <n v="3"/>
  </r>
  <r>
    <s v="Van Doorselaere, Alan"/>
    <s v="Alan"/>
    <s v="Van Doorselaere"/>
    <n v="37907"/>
    <s v="De Clercq, Dominique"/>
    <x v="302"/>
    <x v="34"/>
    <n v="0"/>
  </r>
  <r>
    <s v="Vandenberghe, Michael"/>
    <s v="Michael"/>
    <s v="Vandenberghe"/>
    <n v="37908"/>
    <s v="Storm, Steven"/>
    <x v="303"/>
    <x v="34"/>
    <n v="1"/>
  </r>
  <r>
    <s v="Detaeye, Alexander"/>
    <s v="Alexander"/>
    <s v="Detaeye"/>
    <n v="37936"/>
    <s v="Storm, Steven"/>
    <x v="304"/>
    <x v="34"/>
    <n v="2"/>
  </r>
  <r>
    <s v="De Naegel, Bruno"/>
    <s v="Bruno"/>
    <s v="De Naegel"/>
    <n v="37950"/>
    <s v="De Clercq, Dominique"/>
    <x v="302"/>
    <x v="34"/>
    <n v="3"/>
  </r>
  <r>
    <s v="Van De Voorde, Cindy"/>
    <s v="Cindy"/>
    <s v="Van De Voorde"/>
    <n v="37951"/>
    <s v="Vande Velde, Lucie"/>
    <x v="304"/>
    <x v="34"/>
    <n v="1"/>
  </r>
  <r>
    <s v="Dierinck, Charles"/>
    <s v="Charles"/>
    <s v="Dierinck"/>
    <n v="37999"/>
    <s v="Storm, Steven"/>
    <x v="305"/>
    <x v="34"/>
    <n v="0"/>
  </r>
  <r>
    <s v="Mine, Akin"/>
    <s v="Akin"/>
    <s v="Mine"/>
    <n v="38013"/>
    <s v="Vande Velde, Lucie"/>
    <x v="304"/>
    <x v="34"/>
    <n v="1"/>
  </r>
  <r>
    <s v="Simsek, Isa"/>
    <s v="Isa"/>
    <s v="Simsek"/>
    <n v="38035"/>
    <s v="Van Der Beken, Bart"/>
    <x v="304"/>
    <x v="34"/>
    <n v="1"/>
  </r>
  <r>
    <s v="Uenk, Hermina"/>
    <s v="Hermina"/>
    <s v="Uenk"/>
    <n v="38205"/>
    <s v="De Rick, Kenneth"/>
    <x v="306"/>
    <x v="34"/>
    <n v="0"/>
  </r>
  <r>
    <s v="Sari, Devrim"/>
    <s v="Devrim"/>
    <s v="Sari"/>
    <n v="38481"/>
    <s v="De Rick, Kenneth"/>
    <x v="307"/>
    <x v="35"/>
    <n v="3"/>
  </r>
  <r>
    <s v="Byosière, Christof"/>
    <s v="Christof"/>
    <s v="Byosière"/>
    <n v="23700"/>
    <s v="De Clercq, Dominique"/>
    <x v="308"/>
    <x v="35"/>
    <n v="2"/>
  </r>
  <r>
    <s v="Neghli, Farid"/>
    <s v="Farid"/>
    <s v="Neghli"/>
    <n v="27186"/>
    <s v="Rotty, Christoff"/>
    <x v="309"/>
    <x v="35"/>
    <n v="2"/>
  </r>
  <r>
    <s v="Eid, Mathyn"/>
    <s v="Mathyn"/>
    <s v="Eid"/>
    <n v="34325"/>
    <s v="Storm, Steven"/>
    <x v="310"/>
    <x v="35"/>
    <n v="5"/>
  </r>
  <r>
    <s v="Aljorof, Marwan"/>
    <s v="Marwan"/>
    <s v="Aljorof"/>
    <n v="38047"/>
    <s v="Rotty, Christoff"/>
    <x v="311"/>
    <x v="35"/>
    <n v="0"/>
  </r>
  <r>
    <s v="Verschraegen, Katleen"/>
    <s v="Katleen"/>
    <s v="Verschraegen"/>
    <n v="38475"/>
    <s v="Dewulf, Els"/>
    <x v="312"/>
    <x v="35"/>
    <n v="4"/>
  </r>
  <r>
    <s v="Huyghe, Jan"/>
    <s v="Jan"/>
    <s v="Huyghe"/>
    <n v="38529"/>
    <s v="Dewulf, Els"/>
    <x v="313"/>
    <x v="35"/>
    <n v="5"/>
  </r>
  <r>
    <s v="Haaze, Sarah"/>
    <s v="Sarah"/>
    <s v="Haaze"/>
    <n v="38550"/>
    <s v="Rotty, Christoff"/>
    <x v="314"/>
    <x v="35"/>
    <n v="0"/>
  </r>
  <r>
    <s v="Alassad, Ahmad"/>
    <s v="Ahmad"/>
    <s v="Alassad"/>
    <n v="38551"/>
    <s v="Van Der Beken, Bart"/>
    <x v="307"/>
    <x v="35"/>
    <n v="1"/>
  </r>
  <r>
    <s v="Almohammad, Malek"/>
    <s v="Malek"/>
    <s v="Almohammad"/>
    <n v="38555"/>
    <s v="Vanhoe, Els"/>
    <x v="314"/>
    <x v="35"/>
    <n v="1"/>
  </r>
  <r>
    <s v="Haaze, Sven"/>
    <s v="Sven"/>
    <s v="Haaze"/>
    <n v="38579"/>
    <s v="Dewulf, Els"/>
    <x v="315"/>
    <x v="35"/>
    <n v="1"/>
  </r>
  <r>
    <s v="Smajla, Samet"/>
    <s v="Samet"/>
    <s v="Smajla"/>
    <n v="38580"/>
    <s v="Dewulf, Els"/>
    <x v="316"/>
    <x v="35"/>
    <n v="1"/>
  </r>
  <r>
    <s v="Stomphorst, Mattanja"/>
    <s v="Mattanja"/>
    <s v="Stomphorst"/>
    <n v="38633"/>
    <s v="Dewulf, Els"/>
    <x v="307"/>
    <x v="35"/>
    <n v="3"/>
  </r>
  <r>
    <s v="Asskale, Zouhir"/>
    <s v="Zouhir"/>
    <s v="Asskale"/>
    <n v="38634"/>
    <s v="Van Der Beken, Bart"/>
    <x v="317"/>
    <x v="35"/>
    <n v="3"/>
  </r>
  <r>
    <s v="Uckuyulu, Muhammet Emin"/>
    <s v="Muhammet Emin"/>
    <s v="Uckuyulu"/>
    <n v="38648"/>
    <s v="Vande Velde, Lucie"/>
    <x v="318"/>
    <x v="35"/>
    <n v="4"/>
  </r>
  <r>
    <s v="Basgurboga, Selahattin"/>
    <s v="Selahattin"/>
    <s v="Basgurboga"/>
    <n v="38688"/>
    <s v="Dewulf, Els"/>
    <x v="318"/>
    <x v="35"/>
    <n v="3"/>
  </r>
  <r>
    <s v="Muys, Aäron"/>
    <s v="Aäron"/>
    <s v="Muys"/>
    <n v="38691"/>
    <s v="Dewulf, Els"/>
    <x v="317"/>
    <x v="35"/>
    <n v="0"/>
  </r>
  <r>
    <s v="Ben Sidhom, Samir"/>
    <s v="Samir"/>
    <s v="Ben Sidhom"/>
    <n v="38731"/>
    <s v="Rotty, Christoff"/>
    <x v="319"/>
    <x v="35"/>
    <n v="1"/>
  </r>
  <r>
    <s v="Meskens, Anthony"/>
    <s v="Anthony"/>
    <s v="Meskens"/>
    <n v="38740"/>
    <s v="Rotty, Christoff"/>
    <x v="318"/>
    <x v="35"/>
    <n v="2"/>
  </r>
  <r>
    <s v="Dossche, Caroline"/>
    <s v="Caroline"/>
    <s v="Dossche"/>
    <n v="38807"/>
    <s v="Rotty, Christoff"/>
    <x v="318"/>
    <x v="35"/>
    <n v="4"/>
  </r>
  <r>
    <s v="Wasen, Jens"/>
    <s v="Jens"/>
    <s v="Wasen"/>
    <n v="38808"/>
    <s v="Dewulf, Els"/>
    <x v="320"/>
    <x v="35"/>
    <n v="5"/>
  </r>
  <r>
    <s v="Sancak, Eyuphan"/>
    <s v="Eyuphan"/>
    <s v="Sancak"/>
    <n v="38931"/>
    <s v="Van Der Beken, Bart"/>
    <x v="321"/>
    <x v="35"/>
    <n v="4"/>
  </r>
  <r>
    <s v="Sedighi, Hamid"/>
    <s v="Hamid"/>
    <s v="Sedighi"/>
    <n v="38938"/>
    <s v="Vande Velde, Lucie"/>
    <x v="322"/>
    <x v="35"/>
    <n v="7"/>
  </r>
  <r>
    <s v="Asrih, Habib"/>
    <s v="Habib"/>
    <s v="Asrih"/>
    <n v="39013"/>
    <s v="Dewulf, Els"/>
    <x v="323"/>
    <x v="35"/>
    <n v="3"/>
  </r>
  <r>
    <s v="Genbrugge, Kyllian"/>
    <s v="Kyllian"/>
    <s v="Genbrugge"/>
    <n v="39014"/>
    <s v="Van Der Beken, Bart"/>
    <x v="323"/>
    <x v="35"/>
    <n v="3"/>
  </r>
  <r>
    <s v="De taeye, Kelly"/>
    <s v="Kelly"/>
    <s v="De taeye"/>
    <n v="39019"/>
    <s v="Vande Velde, Lucie"/>
    <x v="322"/>
    <x v="35"/>
    <n v="2"/>
  </r>
  <r>
    <s v="Salam Housin, Ahmed"/>
    <s v="Ahmed"/>
    <s v="Salam Housin"/>
    <n v="39106"/>
    <s v="Van Der Beken, Bart"/>
    <x v="323"/>
    <x v="35"/>
    <n v="0"/>
  </r>
  <r>
    <s v="Landoulsi, Sabeur"/>
    <s v="Sabeur"/>
    <s v="Landoulsi"/>
    <n v="39145"/>
    <s v="Rotty, Christoff"/>
    <x v="324"/>
    <x v="35"/>
    <n v="1"/>
  </r>
  <r>
    <s v="Burrick, Alex"/>
    <s v="Alex"/>
    <s v="Burrick"/>
    <n v="39146"/>
    <s v="Dewulf, Els"/>
    <x v="320"/>
    <x v="35"/>
    <n v="3"/>
  </r>
  <r>
    <s v="Al Masri, Anas"/>
    <s v="Anas"/>
    <s v="Al Masri"/>
    <n v="39183"/>
    <s v="Rotty, Christoff"/>
    <x v="325"/>
    <x v="35"/>
    <n v="4"/>
  </r>
  <r>
    <s v="Shinwari, Yasin"/>
    <s v="Yasin"/>
    <s v="Shinwari"/>
    <n v="39184"/>
    <s v="Rotty, Christoff"/>
    <x v="326"/>
    <x v="35"/>
    <n v="3"/>
  </r>
  <r>
    <s v="Abdi Ali, Ali"/>
    <s v="Ali"/>
    <s v="Abdi Ali"/>
    <n v="39251"/>
    <s v="Dewulf, Els"/>
    <x v="325"/>
    <x v="35"/>
    <n v="0"/>
  </r>
  <r>
    <s v="Van Holsbeeck, Jens"/>
    <s v="Jens"/>
    <s v="Van Holsbeeck"/>
    <n v="39267"/>
    <s v="Rotty, Christoff"/>
    <x v="327"/>
    <x v="35"/>
    <n v="1"/>
  </r>
  <r>
    <s v="Weeks Aracena, Jimmy Alexander"/>
    <s v="Jimmy Alexander"/>
    <s v="Weeks Aracena"/>
    <n v="39358"/>
    <s v="Rotty, Christoff"/>
    <x v="328"/>
    <x v="35"/>
    <n v="5"/>
  </r>
  <r>
    <s v="Bensalah, Mohammed"/>
    <s v="Mohammed"/>
    <s v="Bensalah"/>
    <n v="39379"/>
    <s v="Rotty, Christoff"/>
    <x v="329"/>
    <x v="35"/>
    <n v="2"/>
  </r>
  <r>
    <s v="Mihaylov, Plamen"/>
    <s v="Plamen"/>
    <s v="Mihaylov"/>
    <n v="39528"/>
    <s v="Rotty, Christoff"/>
    <x v="330"/>
    <x v="35"/>
    <n v="4"/>
  </r>
  <r>
    <s v="Sahin, Orhan"/>
    <s v="Orhan"/>
    <s v="Sahin"/>
    <n v="39532"/>
    <s v="Rotty, Christoff"/>
    <x v="331"/>
    <x v="35"/>
    <n v="6"/>
  </r>
  <r>
    <s v="De Groote, Cedric"/>
    <s v="Cedric"/>
    <s v="De Groote"/>
    <n v="39558"/>
    <s v="Storm, Steven"/>
    <x v="331"/>
    <x v="35"/>
    <n v="2"/>
  </r>
  <r>
    <s v="Nguende Ngatcheu, Ivan Belerd"/>
    <s v="Ivan Belerd"/>
    <s v="Nguende Ngatcheu"/>
    <n v="39575"/>
    <s v="Dewulf, Els"/>
    <x v="332"/>
    <x v="35"/>
    <n v="0"/>
  </r>
  <r>
    <s v="Vandenhaute, Linus"/>
    <s v="Linus"/>
    <s v="Vandenhaute"/>
    <n v="39581"/>
    <s v="Dewulf, Els"/>
    <x v="329"/>
    <x v="35"/>
    <n v="5"/>
  </r>
  <r>
    <s v="Sayin, Batuhan"/>
    <s v="Batuhan"/>
    <s v="Sayin"/>
    <n v="39610"/>
    <s v="Van Der Beken, Bart"/>
    <x v="331"/>
    <x v="35"/>
    <n v="1"/>
  </r>
  <r>
    <s v="Kallenbach, Sunny"/>
    <s v="Sunny"/>
    <s v="Kallenbach"/>
    <n v="39651"/>
    <s v="De Rick, Kenneth"/>
    <x v="331"/>
    <x v="35"/>
    <n v="4"/>
  </r>
  <r>
    <s v="Camacho Encarnacion, Lisandro Javier"/>
    <s v="Lisandro Javier"/>
    <s v="Camacho Encarnacion"/>
    <n v="39654"/>
    <s v="De Rick, Kenneth"/>
    <x v="332"/>
    <x v="35"/>
    <n v="2"/>
  </r>
  <r>
    <s v="Lloyd, Glenn"/>
    <s v="Glenn"/>
    <s v="Lloyd"/>
    <n v="39660"/>
    <s v="Van Der Beken, Bart"/>
    <x v="332"/>
    <x v="35"/>
    <n v="6"/>
  </r>
  <r>
    <s v="Steurbaut, Henri"/>
    <s v="Henri"/>
    <s v="Steurbaut"/>
    <n v="39673"/>
    <s v="Vanhoe, Els"/>
    <x v="330"/>
    <x v="35"/>
    <n v="5"/>
  </r>
  <r>
    <s v="Tacq, Joey"/>
    <s v="Joey"/>
    <s v="Tacq"/>
    <n v="39677"/>
    <s v="De Rick, Kenneth"/>
    <x v="332"/>
    <x v="35"/>
    <n v="1"/>
  </r>
  <r>
    <s v="Repaj, Ramazan"/>
    <s v="Ramazan"/>
    <s v="Repaj"/>
    <n v="39712"/>
    <s v="Van Der Beken, Bart"/>
    <x v="330"/>
    <x v="35"/>
    <n v="4"/>
  </r>
  <r>
    <s v="Nohut, Baki"/>
    <s v="Baki"/>
    <s v="Nohut"/>
    <n v="39728"/>
    <s v="Vande Velde, Lucie"/>
    <x v="333"/>
    <x v="35"/>
    <n v="2"/>
  </r>
  <r>
    <s v="Avci, Muhammet Abdullah"/>
    <s v="Muhammet Abdullah"/>
    <s v="Avci"/>
    <n v="39779"/>
    <s v="Van Der Beken, Bart"/>
    <x v="333"/>
    <x v="35"/>
    <n v="7"/>
  </r>
  <r>
    <s v="Demirkaya, Serkan"/>
    <s v="Serkan"/>
    <s v="Demirkaya"/>
    <n v="39829"/>
    <s v="Vande Velde, Lucie"/>
    <x v="334"/>
    <x v="35"/>
    <n v="2"/>
  </r>
  <r>
    <s v="Dolgiev, Mukhamed"/>
    <s v="Mukhamed"/>
    <s v="Dolgiev"/>
    <n v="39831"/>
    <s v="Dewulf, Els"/>
    <x v="334"/>
    <x v="35"/>
    <n v="1"/>
  </r>
  <r>
    <s v="Helleputte, William"/>
    <s v="William"/>
    <s v="Helleputte"/>
    <n v="39850"/>
    <s v="De Clercq, Dominique"/>
    <x v="334"/>
    <x v="35"/>
    <n v="2"/>
  </r>
  <r>
    <s v="Curukcu, Bayram"/>
    <s v="Bayram"/>
    <s v="Curukcu"/>
    <n v="39856"/>
    <s v="De Rick, Kenneth"/>
    <x v="334"/>
    <x v="35"/>
    <n v="2"/>
  </r>
  <r>
    <s v="Jacobs, Elos"/>
    <s v="Elos"/>
    <s v="Jacobs"/>
    <n v="39858"/>
    <s v="Dewulf, Els"/>
    <x v="334"/>
    <x v="35"/>
    <n v="2"/>
  </r>
  <r>
    <s v="Costers, Kelly"/>
    <s v="Kelly"/>
    <s v="Costers"/>
    <n v="39859"/>
    <s v="Van Der Beken, Bart"/>
    <x v="334"/>
    <x v="35"/>
    <n v="4"/>
  </r>
  <r>
    <s v="Martens, Geoffrey"/>
    <s v="Geoffrey"/>
    <s v="Martens"/>
    <n v="29674"/>
    <s v="De Clercq, Dominique"/>
    <x v="335"/>
    <x v="36"/>
    <n v="1"/>
  </r>
  <r>
    <s v="Van Hoe, Ivo"/>
    <s v="Ivo"/>
    <s v="Van Hoe"/>
    <n v="33085"/>
    <s v="De Rick, Kenneth"/>
    <x v="336"/>
    <x v="36"/>
    <n v="2"/>
  </r>
  <r>
    <s v="Dekens, Andy"/>
    <s v="Andy"/>
    <s v="Dekens"/>
    <n v="33551"/>
    <s v="Vanhoe, Els"/>
    <x v="337"/>
    <x v="36"/>
    <n v="2"/>
  </r>
  <r>
    <s v="Dalli, Mustafa"/>
    <s v="Mustafa"/>
    <s v="Dalli"/>
    <n v="39101"/>
    <s v="Rotty, Christoff"/>
    <x v="338"/>
    <x v="36"/>
    <n v="0"/>
  </r>
  <r>
    <s v="Desmet, Patricia"/>
    <s v="Patricia"/>
    <s v="Desmet"/>
    <n v="39529"/>
    <s v="Rotty, Christoff"/>
    <x v="339"/>
    <x v="36"/>
    <n v="4"/>
  </r>
  <r>
    <s v="El Khayat, Jamal"/>
    <s v="Jamal"/>
    <s v="El Khayat"/>
    <n v="39715"/>
    <s v="De Rick, Kenneth"/>
    <x v="340"/>
    <x v="36"/>
    <n v="0"/>
  </r>
  <r>
    <s v="Stanikazi, Roien Sadder"/>
    <s v="Roien Sadder"/>
    <s v="Stanikazi"/>
    <n v="39889"/>
    <s v="Storm, Steven"/>
    <x v="341"/>
    <x v="36"/>
    <n v="1"/>
  </r>
  <r>
    <s v="Calinalti, Abdil"/>
    <s v="Abdil"/>
    <s v="Calinalti"/>
    <n v="39899"/>
    <s v="Rotty, Christoff"/>
    <x v="342"/>
    <x v="36"/>
    <n v="1"/>
  </r>
  <r>
    <s v="Basha, Izmir"/>
    <s v="Izmir"/>
    <s v="Basha"/>
    <n v="39901"/>
    <s v="Rotty, Christoff"/>
    <x v="343"/>
    <x v="36"/>
    <n v="1"/>
  </r>
  <r>
    <s v="Marian, Birsanuc"/>
    <s v="Birsanuc"/>
    <s v="Marian"/>
    <n v="39907"/>
    <s v="De Rick, Kenneth"/>
    <x v="344"/>
    <x v="36"/>
    <n v="1"/>
  </r>
  <r>
    <s v="De Wilde, Jordy"/>
    <s v="Jordy"/>
    <s v="De Wilde"/>
    <n v="39927"/>
    <s v="Rotty, Christoff"/>
    <x v="343"/>
    <x v="36"/>
    <n v="2"/>
  </r>
  <r>
    <s v="Staneva, Mariyana"/>
    <s v="Mariyana"/>
    <s v="Staneva"/>
    <n v="39929"/>
    <s v="Rotty, Christoff"/>
    <x v="344"/>
    <x v="36"/>
    <n v="9"/>
  </r>
  <r>
    <s v="Mirazai, Rahmatullah"/>
    <s v="Rahmatullah"/>
    <s v="Mirazai"/>
    <n v="39930"/>
    <s v="Rotty, Christoff"/>
    <x v="343"/>
    <x v="36"/>
    <n v="2"/>
  </r>
  <r>
    <s v="Mattan, Maaren"/>
    <s v="Maaren"/>
    <s v="Mattan"/>
    <n v="39985"/>
    <s v="Rotty, Christoff"/>
    <x v="345"/>
    <x v="36"/>
    <n v="0"/>
  </r>
  <r>
    <s v="Souda, Mahmoud"/>
    <s v="Mahmoud"/>
    <s v="Souda"/>
    <n v="39988"/>
    <s v="Rotty, Christoff"/>
    <x v="345"/>
    <x v="36"/>
    <n v="0"/>
  </r>
  <r>
    <s v="Bernaerts, Philip"/>
    <s v="Philip"/>
    <s v="Bernaerts"/>
    <n v="40005"/>
    <s v="Rotty, Christoff"/>
    <x v="343"/>
    <x v="36"/>
    <n v="2"/>
  </r>
  <r>
    <s v="De Ridder, Benjamin"/>
    <s v="Benjamin"/>
    <s v="De Ridder"/>
    <n v="40006"/>
    <s v="Rotty, Christoff"/>
    <x v="343"/>
    <x v="36"/>
    <n v="1"/>
  </r>
  <r>
    <s v="Karakaya, Oguz"/>
    <s v="Oguz"/>
    <s v="Karakaya"/>
    <n v="40036"/>
    <s v="De Clercq, Dominique"/>
    <x v="346"/>
    <x v="36"/>
    <n v="2"/>
  </r>
  <r>
    <s v="Afara, Ammar"/>
    <s v="Ammar"/>
    <s v="Afara"/>
    <n v="40055"/>
    <s v="Vanhoe, Els"/>
    <x v="345"/>
    <x v="36"/>
    <n v="2"/>
  </r>
  <r>
    <s v="Sögüt, Can"/>
    <s v="Can"/>
    <s v="Sögüt"/>
    <n v="40058"/>
    <s v="Rotty, Christoff"/>
    <x v="345"/>
    <x v="36"/>
    <n v="3"/>
  </r>
  <r>
    <s v="Vanlerberghe, Sandra"/>
    <s v="Sandra"/>
    <s v="Vanlerberghe"/>
    <n v="40110"/>
    <s v="Rotty, Christoff"/>
    <x v="347"/>
    <x v="36"/>
    <n v="7"/>
  </r>
  <r>
    <s v="Cardon, Sharon"/>
    <s v="Sharon"/>
    <s v="Cardon"/>
    <n v="40134"/>
    <s v="De Clercq, Dominique"/>
    <x v="346"/>
    <x v="36"/>
    <n v="4"/>
  </r>
  <r>
    <s v="Moerman, Tjimmy"/>
    <s v="Tjimmy"/>
    <s v="Moerman"/>
    <n v="40138"/>
    <s v="Rotty, Christoff"/>
    <x v="347"/>
    <x v="36"/>
    <n v="10"/>
  </r>
  <r>
    <s v="De Waegeneer, Michael"/>
    <s v="Michael"/>
    <s v="De Waegeneer"/>
    <n v="40143"/>
    <s v="Rotty, Christoff"/>
    <x v="347"/>
    <x v="36"/>
    <n v="0"/>
  </r>
  <r>
    <s v="Shahriyari, Khalil"/>
    <s v="Khalil"/>
    <s v="Shahriyari"/>
    <n v="40200"/>
    <s v="De Clercq, Dominique"/>
    <x v="348"/>
    <x v="36"/>
    <n v="2"/>
  </r>
  <r>
    <s v="VandenDaele, Arne"/>
    <s v="Arne"/>
    <s v="VandenDaele"/>
    <n v="40201"/>
    <s v="De Clercq, Dominique"/>
    <x v="349"/>
    <x v="36"/>
    <n v="0"/>
  </r>
  <r>
    <s v="Van Iterson, Sharon"/>
    <s v="Sharon"/>
    <s v="Van Iterson"/>
    <n v="40222"/>
    <s v="De Clercq, Dominique"/>
    <x v="350"/>
    <x v="36"/>
    <n v="2"/>
  </r>
  <r>
    <s v="Troch, Jorick"/>
    <s v="Jorick"/>
    <s v="Troch"/>
    <n v="40264"/>
    <s v="Rotty, Christoff"/>
    <x v="346"/>
    <x v="36"/>
    <n v="0"/>
  </r>
  <r>
    <s v="Taibi, Yassine"/>
    <s v="Yassine"/>
    <s v="Taibi"/>
    <n v="40266"/>
    <s v="Rotty, Christoff"/>
    <x v="351"/>
    <x v="36"/>
    <n v="3"/>
  </r>
  <r>
    <s v="Ates, Firat"/>
    <s v="Firat"/>
    <s v="Ates"/>
    <n v="40278"/>
    <s v="Rotty, Christoff"/>
    <x v="349"/>
    <x v="36"/>
    <n v="4"/>
  </r>
  <r>
    <s v="Khder, Aram"/>
    <s v="Aram"/>
    <s v="Khder"/>
    <n v="40294"/>
    <s v="Rotty, Christoff"/>
    <x v="352"/>
    <x v="36"/>
    <n v="1"/>
  </r>
  <r>
    <s v="Kuru, Cetin"/>
    <s v="Cetin"/>
    <s v="Kuru"/>
    <n v="40362"/>
    <s v="De Rick, Kenneth"/>
    <x v="351"/>
    <x v="36"/>
    <n v="3"/>
  </r>
  <r>
    <s v="Salimova, Eydzhan"/>
    <s v="Eydzhan"/>
    <s v="Salimova"/>
    <n v="40393"/>
    <s v="De Clercq, Dominique"/>
    <x v="353"/>
    <x v="36"/>
    <n v="1"/>
  </r>
  <r>
    <s v="Sherifi, Gani"/>
    <s v="Gani"/>
    <s v="Sherifi"/>
    <n v="40400"/>
    <s v="De Clercq, Dominique"/>
    <x v="354"/>
    <x v="36"/>
    <n v="0"/>
  </r>
  <r>
    <s v="Prové, Michaël"/>
    <s v="Michaël"/>
    <s v="Prové"/>
    <n v="40403"/>
    <s v="De Clercq, Dominique"/>
    <x v="355"/>
    <x v="36"/>
    <n v="3"/>
  </r>
  <r>
    <s v="Ennakaba, Khaoula"/>
    <s v="Khaoula"/>
    <s v="Ennakaba"/>
    <n v="40414"/>
    <s v="Storm, Steven"/>
    <x v="353"/>
    <x v="36"/>
    <n v="1"/>
  </r>
  <r>
    <s v="Dekeuckelaere, Eric"/>
    <s v="Eric"/>
    <s v="Dekeuckelaere"/>
    <n v="40421"/>
    <s v="Vande Velde, Lucie"/>
    <x v="356"/>
    <x v="36"/>
    <n v="0"/>
  </r>
  <r>
    <s v="De Roo, Paul"/>
    <s v="Paul"/>
    <s v="De Roo"/>
    <n v="40422"/>
    <s v="Vande Velde, Lucie"/>
    <x v="356"/>
    <x v="36"/>
    <n v="0"/>
  </r>
  <r>
    <s v="Fakash, Mahmoud"/>
    <s v="Mahmoud"/>
    <s v="Fakash"/>
    <n v="40443"/>
    <s v="Van Der Beken, Bart"/>
    <x v="353"/>
    <x v="36"/>
    <n v="1"/>
  </r>
  <r>
    <s v="Van Damme, Glenn"/>
    <s v="Glenn"/>
    <s v="Van Damme"/>
    <n v="40444"/>
    <s v="Dewulf, Els"/>
    <x v="353"/>
    <x v="36"/>
    <n v="1"/>
  </r>
  <r>
    <s v="Lopez Hernandez, Herber Felix"/>
    <s v="Herber Felix"/>
    <s v="Lopez Hernandez"/>
    <n v="40469"/>
    <s v="Dewulf, Els"/>
    <x v="353"/>
    <x v="36"/>
    <n v="0"/>
  </r>
  <r>
    <s v="Hashimi, Ali Mir"/>
    <s v="Ali Mir"/>
    <s v="Hashimi"/>
    <n v="40478"/>
    <s v="Van Der Beken, Bart"/>
    <x v="357"/>
    <x v="36"/>
    <n v="4"/>
  </r>
  <r>
    <s v="De Souza, Marcos Eduardo"/>
    <s v="Marcos Eduardo"/>
    <s v="De Souza"/>
    <n v="40486"/>
    <s v="Rotty, Christoff"/>
    <x v="358"/>
    <x v="36"/>
    <n v="1"/>
  </r>
  <r>
    <s v="Talibi, Bilal"/>
    <s v="Bilal"/>
    <s v="Talibi"/>
    <n v="40489"/>
    <s v="Stubbe, Jarne"/>
    <x v="358"/>
    <x v="36"/>
    <n v="0"/>
  </r>
  <r>
    <s v="Mekdad, Ali"/>
    <s v="Ali"/>
    <s v="Mekdad"/>
    <n v="40521"/>
    <s v="Vande Velde, Lucie"/>
    <x v="359"/>
    <x v="36"/>
    <n v="2"/>
  </r>
  <r>
    <s v="Noppe, Lode"/>
    <s v="Lode"/>
    <s v="Noppe"/>
    <n v="40590"/>
    <s v="Van Der Beken, Bart"/>
    <x v="360"/>
    <x v="36"/>
    <n v="0"/>
  </r>
  <r>
    <s v="Hiloui, Mahmoud"/>
    <s v="Mahmoud"/>
    <s v="Hiloui"/>
    <n v="40591"/>
    <s v="De Clercq, Dominique"/>
    <x v="361"/>
    <x v="36"/>
    <n v="2"/>
  </r>
  <r>
    <s v="Kurti, Domeniko"/>
    <s v="Domeniko"/>
    <s v="Kurti"/>
    <n v="40608"/>
    <s v="Vande Velde, Lucie"/>
    <x v="362"/>
    <x v="36"/>
    <n v="1"/>
  </r>
  <r>
    <s v="Bytebier, Jason"/>
    <s v="Jason"/>
    <s v="Bytebier"/>
    <n v="40645"/>
    <s v="Dewulf, Els"/>
    <x v="363"/>
    <x v="36"/>
    <n v="2"/>
  </r>
  <r>
    <s v="Van Damme, Gilyann"/>
    <s v="Gilyann"/>
    <s v="Van Damme"/>
    <n v="40652"/>
    <s v="Vanhoe, Els"/>
    <x v="364"/>
    <x v="36"/>
    <n v="7"/>
  </r>
  <r>
    <s v="Gözüküçük, Ugur"/>
    <s v="Ugur"/>
    <s v="Gözüküçük"/>
    <n v="40744"/>
    <s v="Van Der Beken, Bart"/>
    <x v="365"/>
    <x v="36"/>
    <n v="6"/>
  </r>
  <r>
    <s v="Ivanov, Ivan"/>
    <s v="Ivan"/>
    <s v="Ivanov"/>
    <n v="40745"/>
    <s v="Van Der Beken, Bart"/>
    <x v="366"/>
    <x v="36"/>
    <n v="1"/>
  </r>
  <r>
    <s v="De Vijlder, Wim"/>
    <s v="Wim"/>
    <s v="De Vijlder"/>
    <n v="40761"/>
    <s v="De Rick, Kenneth"/>
    <x v="366"/>
    <x v="36"/>
    <n v="1"/>
  </r>
  <r>
    <s v="Neissi, Sadegh"/>
    <s v="Sadegh"/>
    <s v="Neissi"/>
    <n v="40856"/>
    <s v="De Rick, Kenneth"/>
    <x v="367"/>
    <x v="36"/>
    <n v="5"/>
  </r>
  <r>
    <s v="Yagoub, Abdelali"/>
    <s v="Abdelali"/>
    <s v="Yagoub"/>
    <n v="40859"/>
    <s v="Vanhoe, Els"/>
    <x v="363"/>
    <x v="36"/>
    <n v="4"/>
  </r>
  <r>
    <s v="Hyuseinov, Berdan"/>
    <s v="Berdan"/>
    <s v="Hyuseinov"/>
    <n v="40890"/>
    <s v="De Clercq, Dominique"/>
    <x v="368"/>
    <x v="36"/>
    <n v="0"/>
  </r>
  <r>
    <s v="Hasnaoui, Nejmeddine"/>
    <s v="Nejmeddine"/>
    <s v="Hasnaoui"/>
    <n v="40938"/>
    <s v="De Clercq, Dominique"/>
    <x v="368"/>
    <x v="36"/>
    <n v="4"/>
  </r>
  <r>
    <s v="Cisse, Sayon"/>
    <s v="Sayon"/>
    <s v="Cisse"/>
    <n v="40939"/>
    <s v="De Rick, Kenneth"/>
    <x v="368"/>
    <x v="36"/>
    <n v="3"/>
  </r>
  <r>
    <s v="Sogut, Cagri"/>
    <s v="Cagri"/>
    <s v="Sogut"/>
    <n v="41007"/>
    <s v="Stubbe, Jarne"/>
    <x v="369"/>
    <x v="36"/>
    <n v="1"/>
  </r>
  <r>
    <s v="Natad, Younes"/>
    <s v="Younes"/>
    <s v="Natad"/>
    <n v="41012"/>
    <s v="Vanhoe, Els"/>
    <x v="370"/>
    <x v="36"/>
    <n v="2"/>
  </r>
  <r>
    <s v="Rocabado Hinojosa, Lukas"/>
    <s v="Lukas"/>
    <s v="Rocabado Hinojosa"/>
    <n v="41032"/>
    <s v="Vanhoe, Els"/>
    <x v="369"/>
    <x v="36"/>
    <n v="4"/>
  </r>
  <r>
    <s v="Ardic, Atilla"/>
    <s v="Atilla"/>
    <s v="Ardic"/>
    <n v="41064"/>
    <s v="De Clercq, Dominique"/>
    <x v="371"/>
    <x v="36"/>
    <n v="2"/>
  </r>
  <r>
    <s v="Yavas, Talha"/>
    <s v="Talha"/>
    <s v="Yavas"/>
    <n v="41091"/>
    <s v="De Clercq, Dominique"/>
    <x v="372"/>
    <x v="36"/>
    <n v="2"/>
  </r>
  <r>
    <s v="De Keyser, Dorien"/>
    <s v="Dorien"/>
    <s v="De Keyser"/>
    <n v="41092"/>
    <s v="De Clercq, Dominique"/>
    <x v="370"/>
    <x v="36"/>
    <n v="8"/>
  </r>
  <r>
    <s v="Shah, Sekandar"/>
    <s v="Sekandar"/>
    <s v="Shah"/>
    <n v="41101"/>
    <s v="De Clercq, Dominique"/>
    <x v="373"/>
    <x v="36"/>
    <n v="1"/>
  </r>
  <r>
    <s v="De smet, Dirk"/>
    <s v="Dirk"/>
    <s v="De smet"/>
    <n v="41137"/>
    <s v="De Clercq, Dominique"/>
    <x v="374"/>
    <x v="36"/>
    <n v="1"/>
  </r>
  <r>
    <s v="Hoeckman, Jeroen"/>
    <s v="Jeroen"/>
    <s v="Hoeckman"/>
    <n v="41162"/>
    <s v="De Clercq, Dominique"/>
    <x v="372"/>
    <x v="36"/>
    <n v="5"/>
  </r>
  <r>
    <s v="De Witte, Bart"/>
    <s v="Bart"/>
    <s v="De Witte"/>
    <n v="41230"/>
    <s v="De Clercq, Dominique"/>
    <x v="372"/>
    <x v="36"/>
    <n v="2"/>
  </r>
  <r>
    <s v="Abulehia, Oday"/>
    <s v="Oday"/>
    <s v="Abulehia"/>
    <n v="41296"/>
    <s v="Rotty, Christoff"/>
    <x v="373"/>
    <x v="36"/>
    <n v="2"/>
  </r>
  <r>
    <s v="Helleputte, Jens"/>
    <s v="Jens"/>
    <s v="Helleputte"/>
    <n v="42307"/>
    <s v="Rotty, Christoff"/>
    <x v="375"/>
    <x v="37"/>
    <n v="3"/>
  </r>
  <r>
    <s v="De Wilde, Dimitry"/>
    <s v="Dimitry"/>
    <s v="De Wilde"/>
    <n v="31891"/>
    <s v="Van Der Beken, Bart"/>
    <x v="376"/>
    <x v="37"/>
    <n v="0"/>
  </r>
  <r>
    <s v="Malak, Kemal"/>
    <s v="Kemal"/>
    <s v="Malak"/>
    <n v="36427"/>
    <s v="Vanhoe, Els"/>
    <x v="377"/>
    <x v="37"/>
    <n v="0"/>
  </r>
  <r>
    <s v="Mc Hugh, Neal"/>
    <s v="Neal"/>
    <s v="Mc Hugh"/>
    <n v="36815"/>
    <s v="Stubbe, Jarne"/>
    <x v="378"/>
    <x v="37"/>
    <n v="0"/>
  </r>
  <r>
    <s v="Momand, Abdullah"/>
    <s v="Abdullah"/>
    <s v="Momand"/>
    <n v="39928"/>
    <s v="Van Der Beken, Bart"/>
    <x v="379"/>
    <x v="37"/>
    <n v="1"/>
  </r>
  <r>
    <s v="Van Holsbeeck, Yana"/>
    <s v="Yana"/>
    <s v="Van Holsbeeck"/>
    <n v="41246"/>
    <s v="De Clercq, Dominique"/>
    <x v="380"/>
    <x v="37"/>
    <n v="3"/>
  </r>
  <r>
    <s v="Frise, Jordi"/>
    <s v="Jordi"/>
    <s v="Frise"/>
    <n v="41344"/>
    <s v="Vanhoe, Els"/>
    <x v="380"/>
    <x v="37"/>
    <n v="0"/>
  </r>
  <r>
    <s v="Van Huffel, Tim"/>
    <s v="Tim"/>
    <s v="Van Huffel"/>
    <n v="41348"/>
    <s v="Rotty, Christoff"/>
    <x v="381"/>
    <x v="37"/>
    <n v="1"/>
  </r>
  <r>
    <s v="Inci, Ramazan"/>
    <s v="Ramazan"/>
    <s v="Inci"/>
    <n v="41357"/>
    <s v="Van Der Beken, Bart"/>
    <x v="382"/>
    <x v="37"/>
    <n v="0"/>
  </r>
  <r>
    <s v="De Pauw, Tony"/>
    <s v="Tony"/>
    <s v="De Pauw"/>
    <n v="41383"/>
    <s v="Vanhoe, Els"/>
    <x v="380"/>
    <x v="37"/>
    <n v="1"/>
  </r>
  <r>
    <s v="Hillaert, Thimo"/>
    <s v="Thimo"/>
    <s v="Hillaert"/>
    <n v="41384"/>
    <s v="Rotty, Christoff"/>
    <x v="383"/>
    <x v="37"/>
    <n v="4"/>
  </r>
  <r>
    <s v="Özdemir, Osman"/>
    <s v="Osman"/>
    <s v="Özdemir"/>
    <n v="41482"/>
    <s v="Van Der Beken, Bart"/>
    <x v="384"/>
    <x v="37"/>
    <n v="3"/>
  </r>
  <r>
    <s v="Smets, Avery"/>
    <s v="Avery"/>
    <s v="Smets"/>
    <n v="41520"/>
    <s v="Rotty, Christoff"/>
    <x v="385"/>
    <x v="37"/>
    <n v="3"/>
  </r>
  <r>
    <s v="Calinalti, Bekir"/>
    <s v="Bekir"/>
    <s v="Calinalti"/>
    <n v="41521"/>
    <s v="De Rick, Kenneth"/>
    <x v="385"/>
    <x v="37"/>
    <n v="0"/>
  </r>
  <r>
    <s v="Timmerman, Bjorn"/>
    <s v="Bjorn"/>
    <s v="Timmerman"/>
    <n v="41550"/>
    <s v="Rotty, Christoff"/>
    <x v="384"/>
    <x v="37"/>
    <n v="0"/>
  </r>
  <r>
    <s v="Naessens, Yves"/>
    <s v="Yves"/>
    <s v="Naessens"/>
    <n v="41588"/>
    <s v="De Rick, Kenneth"/>
    <x v="386"/>
    <x v="37"/>
    <n v="2"/>
  </r>
  <r>
    <s v="Bachiri, Ousama"/>
    <s v="Ousama"/>
    <s v="Bachiri"/>
    <n v="41619"/>
    <s v="Van Der Beken, Bart"/>
    <x v="387"/>
    <x v="37"/>
    <n v="3"/>
  </r>
  <r>
    <s v="Van Eeckhaut, Rudi"/>
    <s v="Rudi"/>
    <s v="Van Eeckhaut"/>
    <n v="41632"/>
    <s v="Van Der Beken, Bart"/>
    <x v="385"/>
    <x v="37"/>
    <n v="0"/>
  </r>
  <r>
    <s v="Hasan, Salem"/>
    <s v="Salem"/>
    <s v="Hasan"/>
    <n v="41671"/>
    <s v="Van Der Beken, Bart"/>
    <x v="388"/>
    <x v="37"/>
    <n v="1"/>
  </r>
  <r>
    <s v="Zjarmi, Hylgis"/>
    <s v="Hylgis"/>
    <s v="Zjarmi"/>
    <n v="41685"/>
    <s v="De Rick, Kenneth"/>
    <x v="384"/>
    <x v="37"/>
    <n v="0"/>
  </r>
  <r>
    <s v="Van de Winckel, Kelly"/>
    <s v="Kelly"/>
    <s v="Van de Winckel"/>
    <n v="41690"/>
    <s v="Dewulf, Els"/>
    <x v="388"/>
    <x v="37"/>
    <n v="1"/>
  </r>
  <r>
    <s v="Ghani, Fazal"/>
    <s v="Fazal"/>
    <s v="Ghani"/>
    <n v="41710"/>
    <s v="Vanhoe, Els"/>
    <x v="384"/>
    <x v="37"/>
    <n v="1"/>
  </r>
  <r>
    <s v="Nolf, Philippe"/>
    <s v="Philippe"/>
    <s v="Nolf"/>
    <n v="41721"/>
    <s v="De Rick, Kenneth"/>
    <x v="386"/>
    <x v="37"/>
    <n v="1"/>
  </r>
  <r>
    <s v="Diels, Nick"/>
    <s v="Nick"/>
    <s v="Diels"/>
    <n v="41786"/>
    <s v="Rotty, Christoff"/>
    <x v="389"/>
    <x v="37"/>
    <n v="1"/>
  </r>
  <r>
    <s v="Kasmi, Abdesamad"/>
    <s v="Abdesamad"/>
    <s v="Kasmi"/>
    <n v="41821"/>
    <s v="Rotty, Christoff"/>
    <x v="388"/>
    <x v="37"/>
    <n v="0"/>
  </r>
  <r>
    <s v="Palit, Ramazan"/>
    <s v="Ramazan"/>
    <s v="Palit"/>
    <n v="41859"/>
    <s v="Stubbe, Jarne"/>
    <x v="388"/>
    <x v="37"/>
    <n v="1"/>
  </r>
  <r>
    <s v="Goossens, Yannick"/>
    <s v="Yannick"/>
    <s v="Goossens"/>
    <n v="41870"/>
    <s v="Storm, Steven"/>
    <x v="390"/>
    <x v="37"/>
    <n v="1"/>
  </r>
  <r>
    <s v="Karanfil, Ibrahim"/>
    <s v="Ibrahim"/>
    <s v="Karanfil"/>
    <n v="41871"/>
    <s v="De Clercq, Dominique"/>
    <x v="390"/>
    <x v="37"/>
    <n v="2"/>
  </r>
  <r>
    <s v="Dobbeleire, Bruno"/>
    <s v="Bruno"/>
    <s v="Dobbeleire"/>
    <n v="41874"/>
    <s v="De Clercq, Dominique"/>
    <x v="391"/>
    <x v="37"/>
    <n v="3"/>
  </r>
  <r>
    <s v="Van der Bauwhede, Ben"/>
    <s v="Ben"/>
    <s v="Van der Bauwhede"/>
    <n v="41882"/>
    <s v="Vanhoe, Els"/>
    <x v="392"/>
    <x v="37"/>
    <n v="0"/>
  </r>
  <r>
    <s v="De Rammelaere, Bjorn"/>
    <s v="Bjorn"/>
    <s v="De Rammelaere"/>
    <n v="41888"/>
    <s v="De Rick, Kenneth"/>
    <x v="392"/>
    <x v="37"/>
    <n v="1"/>
  </r>
  <r>
    <s v="Babai, Saber"/>
    <s v="Saber"/>
    <s v="Babai"/>
    <n v="41918"/>
    <s v="Rotty, Christoff"/>
    <x v="392"/>
    <x v="37"/>
    <n v="1"/>
  </r>
  <r>
    <s v="Tuncer, Hamza"/>
    <s v="Hamza"/>
    <s v="Tuncer"/>
    <n v="41944"/>
    <s v="De Clercq, Dominique"/>
    <x v="390"/>
    <x v="37"/>
    <n v="0"/>
  </r>
  <r>
    <s v="Vervaecke, Wim"/>
    <s v="Wim"/>
    <s v="Vervaecke"/>
    <n v="41948"/>
    <s v="Dewulf, Els"/>
    <x v="392"/>
    <x v="37"/>
    <n v="2"/>
  </r>
  <r>
    <s v="Van Loo, Mike"/>
    <s v="Mike"/>
    <s v="Van Loo"/>
    <n v="41949"/>
    <s v="Rotty, Christoff"/>
    <x v="393"/>
    <x v="37"/>
    <n v="0"/>
  </r>
  <r>
    <s v="Bogaert, Kevin"/>
    <s v="Kevin"/>
    <s v="Bogaert"/>
    <n v="42002"/>
    <s v="Vanhoe, Els"/>
    <x v="391"/>
    <x v="37"/>
    <n v="3"/>
  </r>
  <r>
    <s v="Crop, Alexander"/>
    <s v="Alexander"/>
    <s v="Crop"/>
    <n v="42015"/>
    <s v="Vanhoe, Els"/>
    <x v="392"/>
    <x v="37"/>
    <n v="1"/>
  </r>
  <r>
    <s v="Safi, Amrullah"/>
    <s v="Amrullah"/>
    <s v="Safi"/>
    <n v="42022"/>
    <s v="Vanhoe, Els"/>
    <x v="394"/>
    <x v="37"/>
    <n v="0"/>
  </r>
  <r>
    <s v="El Gana, Karim"/>
    <s v="Karim"/>
    <s v="El Gana"/>
    <n v="42044"/>
    <s v="De Clercq, Dominique"/>
    <x v="395"/>
    <x v="37"/>
    <n v="1"/>
  </r>
  <r>
    <s v="Ahmad, Othman"/>
    <s v="Othman"/>
    <s v="Ahmad"/>
    <n v="42082"/>
    <s v="De Clercq, Dominique"/>
    <x v="396"/>
    <x v="37"/>
    <n v="1"/>
  </r>
  <r>
    <s v="De Bruycker, Dylan"/>
    <s v="Dylan"/>
    <s v="De Bruycker"/>
    <n v="42120"/>
    <s v="De Rick, Kenneth"/>
    <x v="397"/>
    <x v="37"/>
    <n v="1"/>
  </r>
  <r>
    <s v="Verniers, Mike"/>
    <s v="Mike"/>
    <s v="Verniers"/>
    <n v="42141"/>
    <s v="Rotty, Christoff"/>
    <x v="398"/>
    <x v="37"/>
    <n v="0"/>
  </r>
  <r>
    <s v="Rahoens, Christ"/>
    <s v="Christ"/>
    <s v="Rahoens"/>
    <n v="42143"/>
    <s v="Van Der Beken, Bart"/>
    <x v="399"/>
    <x v="37"/>
    <n v="1"/>
  </r>
  <r>
    <s v="Coppens, Lauwrence"/>
    <s v="Lauwrence"/>
    <s v="Coppens"/>
    <n v="42144"/>
    <s v="Vanhoe, Els"/>
    <x v="399"/>
    <x v="37"/>
    <n v="0"/>
  </r>
  <r>
    <s v="Gys, Shayya"/>
    <s v="Shayya"/>
    <s v="Gys"/>
    <n v="42145"/>
    <s v="Storm, Steven"/>
    <x v="400"/>
    <x v="37"/>
    <n v="2"/>
  </r>
  <r>
    <s v="Cichonski, Kamil"/>
    <s v="Kamil"/>
    <s v="Cichonski"/>
    <n v="42146"/>
    <s v="Storm, Steven"/>
    <x v="400"/>
    <x v="37"/>
    <n v="3"/>
  </r>
  <r>
    <s v="Orozco Camacho, Ronald Reynaldo"/>
    <s v="Ronald Reynaldo"/>
    <s v="Orozco Camacho"/>
    <n v="42164"/>
    <s v="De Clercq, Dominique"/>
    <x v="401"/>
    <x v="37"/>
    <n v="0"/>
  </r>
  <r>
    <s v="Aissati, Ridouan"/>
    <s v="Ridouan"/>
    <s v="Aissati"/>
    <n v="42195"/>
    <s v="Dewulf, Els"/>
    <x v="399"/>
    <x v="37"/>
    <n v="0"/>
  </r>
  <r>
    <s v="Rombaut, Timo"/>
    <s v="Timo"/>
    <s v="Rombaut"/>
    <n v="42196"/>
    <s v="Van Der Beken, Bart"/>
    <x v="375"/>
    <x v="37"/>
    <n v="0"/>
  </r>
  <r>
    <s v="Akbulut, Samed"/>
    <s v="Samed"/>
    <s v="Akbulut"/>
    <n v="42211"/>
    <s v="De Rick, Kenneth"/>
    <x v="399"/>
    <x v="37"/>
    <n v="0"/>
  </r>
  <r>
    <s v="Özer, Metehan"/>
    <s v="Metehan"/>
    <s v="Özer"/>
    <n v="42218"/>
    <s v="Dewulf, Els"/>
    <x v="375"/>
    <x v="37"/>
    <n v="1"/>
  </r>
  <r>
    <s v="Bontinck, Stephan"/>
    <s v="Stephan"/>
    <s v="Bontinck"/>
    <n v="42249"/>
    <s v="De Rick, Kenneth"/>
    <x v="375"/>
    <x v="37"/>
    <n v="1"/>
  </r>
  <r>
    <s v="Sular, Abdullah"/>
    <s v="Abdullah"/>
    <s v="Sular"/>
    <n v="42252"/>
    <s v="Rotty, Christoff"/>
    <x v="375"/>
    <x v="37"/>
    <n v="5"/>
  </r>
  <r>
    <s v="Ahmed, Abdul"/>
    <s v="Abdul"/>
    <s v="Ahmed"/>
    <n v="42269"/>
    <s v="Rotty, Christoff"/>
    <x v="375"/>
    <x v="37"/>
    <n v="0"/>
  </r>
  <r>
    <s v="Güler, Ender"/>
    <s v="Ender"/>
    <s v="Güler"/>
    <n v="42277"/>
    <s v="De Clercq, Dominique"/>
    <x v="402"/>
    <x v="37"/>
    <n v="1"/>
  </r>
  <r>
    <s v="Camgöz, Furkan"/>
    <s v="Furkan"/>
    <s v="Camgöz"/>
    <n v="42336"/>
    <s v="Vande Velde, Lucie"/>
    <x v="402"/>
    <x v="37"/>
    <n v="1"/>
  </r>
  <r>
    <s v="Keita, Yassin"/>
    <s v="Yassin"/>
    <s v="Keita"/>
    <n v="42358"/>
    <s v="Storm, Steven"/>
    <x v="403"/>
    <x v="37"/>
    <n v="0"/>
  </r>
  <r>
    <s v="Blancquaert, Peter"/>
    <s v="Peter"/>
    <s v="Blancquaert"/>
    <n v="42391"/>
    <s v="Rotty, Christoff"/>
    <x v="404"/>
    <x v="37"/>
    <n v="0"/>
  </r>
  <r>
    <s v="AL-Haddad, Rashid"/>
    <s v="Rashid"/>
    <s v="AL-Haddad"/>
    <n v="42393"/>
    <s v="Storm, Steven"/>
    <x v="404"/>
    <x v="37"/>
    <n v="0"/>
  </r>
  <r>
    <s v="Sahbaz, Celal"/>
    <s v="Celal"/>
    <s v="Sahbaz"/>
    <n v="42558"/>
    <s v="Van Der Beken, Bart"/>
    <x v="405"/>
    <x v="37"/>
    <n v="0"/>
  </r>
  <r>
    <s v="Hassine, Zied"/>
    <s v="Zied"/>
    <s v="Hassine"/>
    <n v="42567"/>
    <s v="Stubbe, Jarne"/>
    <x v="405"/>
    <x v="3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8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8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8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36"/>
    </i>
    <i>
      <x v="61"/>
    </i>
    <i>
      <x v="212"/>
    </i>
    <i>
      <x v="149"/>
    </i>
    <i>
      <x v="138"/>
    </i>
    <i>
      <x v="150"/>
    </i>
    <i>
      <x v="50"/>
    </i>
    <i>
      <x v="153"/>
    </i>
    <i>
      <x v="216"/>
    </i>
    <i>
      <x v="155"/>
    </i>
    <i>
      <x v="31"/>
    </i>
    <i>
      <x v="265"/>
    </i>
    <i>
      <x v="235"/>
    </i>
    <i>
      <x v="158"/>
    </i>
    <i>
      <x v="143"/>
    </i>
    <i>
      <x v="263"/>
    </i>
    <i>
      <x v="210"/>
    </i>
    <i>
      <x v="65"/>
    </i>
    <i>
      <x v="19"/>
    </i>
    <i>
      <x v="70"/>
    </i>
    <i>
      <x v="121"/>
    </i>
    <i>
      <x v="95"/>
    </i>
    <i>
      <x v="5"/>
    </i>
    <i>
      <x v="96"/>
    </i>
    <i>
      <x v="226"/>
    </i>
    <i>
      <x v="177"/>
    </i>
    <i>
      <x v="231"/>
    </i>
    <i>
      <x v="180"/>
    </i>
    <i>
      <x v="236"/>
    </i>
    <i>
      <x v="187"/>
    </i>
    <i>
      <x v="38"/>
    </i>
    <i>
      <x v="189"/>
    </i>
    <i>
      <x v="148"/>
    </i>
    <i>
      <x v="102"/>
    </i>
    <i>
      <x v="6"/>
    </i>
    <i>
      <x v="205"/>
    </i>
    <i>
      <x v="242"/>
    </i>
    <i>
      <x v="34"/>
    </i>
    <i>
      <x v="119"/>
    </i>
    <i>
      <x v="117"/>
    </i>
    <i>
      <x v="120"/>
    </i>
    <i>
      <x v="100"/>
    </i>
    <i>
      <x v="62"/>
    </i>
    <i>
      <x v="233"/>
    </i>
    <i>
      <x v="63"/>
    </i>
    <i>
      <x v="252"/>
    </i>
    <i>
      <x v="123"/>
    </i>
    <i>
      <x v="198"/>
    </i>
    <i>
      <x v="127"/>
    </i>
    <i>
      <x v="211"/>
    </i>
    <i>
      <x v="128"/>
    </i>
    <i>
      <x v="13"/>
    </i>
    <i>
      <x v="130"/>
    </i>
    <i>
      <x v="229"/>
    </i>
    <i>
      <x v="131"/>
    </i>
    <i>
      <x v="237"/>
    </i>
    <i>
      <x v="132"/>
    </i>
    <i>
      <x v="248"/>
    </i>
    <i>
      <x v="133"/>
    </i>
    <i>
      <x v="115"/>
    </i>
    <i>
      <x v="134"/>
    </i>
    <i>
      <x v="195"/>
    </i>
    <i>
      <x v="135"/>
    </i>
    <i>
      <x v="202"/>
    </i>
    <i>
      <x v="64"/>
    </i>
    <i>
      <x v="208"/>
    </i>
    <i>
      <x v="266"/>
    </i>
    <i>
      <x v="98"/>
    </i>
    <i>
      <x v="2"/>
    </i>
    <i>
      <x v="218"/>
    </i>
    <i>
      <x v="142"/>
    </i>
    <i>
      <x v="222"/>
    </i>
    <i>
      <x v="10"/>
    </i>
    <i>
      <x v="227"/>
    </i>
    <i>
      <x v="145"/>
    </i>
    <i>
      <x v="20"/>
    </i>
    <i>
      <x v="146"/>
    </i>
    <i>
      <x v="109"/>
    </i>
    <i>
      <x v="147"/>
    </i>
    <i>
      <x v="239"/>
    </i>
    <i>
      <x v="68"/>
    </i>
    <i>
      <x v="22"/>
    </i>
    <i>
      <x v="12"/>
    </i>
    <i>
      <x v="250"/>
    </i>
    <i>
      <x v="71"/>
    </i>
    <i>
      <x v="255"/>
    </i>
    <i>
      <x v="152"/>
    </i>
    <i>
      <x v="116"/>
    </i>
    <i>
      <x v="7"/>
    </i>
    <i>
      <x v="118"/>
    </i>
    <i>
      <x v="23"/>
    </i>
    <i>
      <x v="93"/>
    </i>
    <i>
      <x v="15"/>
    </i>
    <i>
      <x v="199"/>
    </i>
    <i>
      <x v="74"/>
    </i>
    <i>
      <x v="204"/>
    </i>
    <i>
      <x v="157"/>
    </i>
    <i>
      <x v="206"/>
    </i>
    <i>
      <x v="51"/>
    </i>
    <i>
      <x v="55"/>
    </i>
    <i>
      <x v="9"/>
    </i>
    <i>
      <x v="56"/>
    </i>
    <i>
      <x v="77"/>
    </i>
    <i>
      <x v="215"/>
    </i>
    <i>
      <x v="162"/>
    </i>
    <i>
      <x v="217"/>
    </i>
    <i>
      <x v="163"/>
    </i>
    <i>
      <x v="101"/>
    </i>
    <i>
      <x v="164"/>
    </i>
    <i>
      <x v="103"/>
    </i>
    <i>
      <x v="53"/>
    </i>
    <i>
      <x v="59"/>
    </i>
    <i>
      <x v="167"/>
    </i>
    <i>
      <x v="105"/>
    </i>
    <i>
      <x v="27"/>
    </i>
    <i>
      <x v="228"/>
    </i>
    <i>
      <x v="79"/>
    </i>
    <i>
      <x v="46"/>
    </i>
    <i>
      <x v="170"/>
    </i>
    <i>
      <x v="232"/>
    </i>
    <i>
      <x v="171"/>
    </i>
    <i>
      <x v="234"/>
    </i>
    <i>
      <x v="80"/>
    </i>
    <i>
      <x v="112"/>
    </i>
    <i>
      <x v="86"/>
    </i>
    <i>
      <x v="238"/>
    </i>
    <i>
      <x v="178"/>
    </i>
    <i>
      <x v="241"/>
    </i>
    <i>
      <x v="179"/>
    </i>
    <i>
      <x v="243"/>
    </i>
    <i>
      <x v="89"/>
    </i>
    <i>
      <x v="247"/>
    </i>
    <i>
      <x v="182"/>
    </i>
    <i>
      <x v="249"/>
    </i>
    <i>
      <x v="183"/>
    </i>
    <i>
      <x v="251"/>
    </i>
    <i>
      <x v="184"/>
    </i>
    <i>
      <x v="254"/>
    </i>
    <i>
      <x v="186"/>
    </i>
    <i>
      <x v="256"/>
    </i>
    <i>
      <x v="17"/>
    </i>
    <i>
      <x v="259"/>
    </i>
    <i>
      <x v="91"/>
    </i>
    <i>
      <x v="262"/>
    </i>
    <i>
      <x v="190"/>
    </i>
    <i>
      <x v="39"/>
    </i>
    <i>
      <x v="92"/>
    </i>
    <i>
      <x v="194"/>
    </i>
    <i>
      <x v="26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1" firstHeaderRow="1" firstDataRow="1" firstDataCol="1"/>
  <pivotFields count="34">
    <pivotField showAll="0"/>
    <pivotField axis="axisRow" showAll="0" sortType="descending">
      <items count="418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5"/>
        <item x="487"/>
        <item x="488"/>
        <item x="490"/>
        <item x="491"/>
        <item x="492"/>
        <item x="493"/>
        <item x="494"/>
        <item x="495"/>
        <item x="496"/>
        <item x="497"/>
        <item x="499"/>
        <item x="500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1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62"/>
    </i>
    <i>
      <x v="349"/>
    </i>
    <i>
      <x v="338"/>
    </i>
    <i>
      <x v="344"/>
    </i>
    <i>
      <x v="375"/>
    </i>
    <i>
      <x v="198"/>
    </i>
    <i>
      <x v="324"/>
    </i>
    <i>
      <x v="200"/>
    </i>
    <i>
      <x v="208"/>
    </i>
    <i>
      <x v="209"/>
    </i>
    <i>
      <x v="123"/>
    </i>
    <i>
      <x v="220"/>
    </i>
    <i>
      <x v="364"/>
    </i>
    <i>
      <x v="222"/>
    </i>
    <i>
      <x v="165"/>
    </i>
    <i>
      <x v="44"/>
    </i>
    <i>
      <x v="326"/>
    </i>
    <i>
      <x v="242"/>
    </i>
    <i>
      <x v="84"/>
    </i>
    <i>
      <x v="392"/>
    </i>
    <i>
      <x v="345"/>
    </i>
    <i>
      <x v="268"/>
    </i>
    <i>
      <x v="112"/>
    </i>
    <i>
      <x v="289"/>
    </i>
    <i>
      <x v="358"/>
    </i>
    <i>
      <x v="387"/>
    </i>
    <i>
      <x v="363"/>
    </i>
    <i>
      <x v="292"/>
    </i>
    <i>
      <x v="366"/>
    </i>
    <i>
      <x v="317"/>
    </i>
    <i>
      <x v="379"/>
    </i>
    <i>
      <x v="64"/>
    </i>
    <i>
      <x v="322"/>
    </i>
    <i>
      <x v="291"/>
    </i>
    <i>
      <x v="394"/>
    </i>
    <i>
      <x v="386"/>
    </i>
    <i>
      <x v="350"/>
    </i>
    <i>
      <x v="156"/>
    </i>
    <i>
      <x v="86"/>
    </i>
    <i>
      <x v="79"/>
    </i>
    <i>
      <x v="100"/>
    </i>
    <i>
      <x v="328"/>
    </i>
    <i>
      <x v="234"/>
    </i>
    <i>
      <x v="159"/>
    </i>
    <i>
      <x v="236"/>
    </i>
    <i>
      <x v="357"/>
    </i>
    <i>
      <x v="237"/>
    </i>
    <i>
      <x v="211"/>
    </i>
    <i>
      <x v="239"/>
    </i>
    <i>
      <x v="148"/>
    </i>
    <i>
      <x v="102"/>
    </i>
    <i>
      <x v="335"/>
    </i>
    <i>
      <x v="255"/>
    </i>
    <i>
      <x v="157"/>
    </i>
    <i>
      <x v="262"/>
    </i>
    <i>
      <x v="348"/>
    </i>
    <i>
      <x v="264"/>
    </i>
    <i>
      <x v="192"/>
    </i>
    <i>
      <x v="105"/>
    </i>
    <i>
      <x v="7"/>
    </i>
    <i>
      <x v="49"/>
    </i>
    <i>
      <x v="14"/>
    </i>
    <i>
      <x v="271"/>
    </i>
    <i>
      <x v="214"/>
    </i>
    <i>
      <x v="273"/>
    </i>
    <i>
      <x v="85"/>
    </i>
    <i>
      <x v="280"/>
    </i>
    <i>
      <x v="151"/>
    </i>
    <i>
      <x v="283"/>
    </i>
    <i>
      <x v="332"/>
    </i>
    <i>
      <x v="284"/>
    </i>
    <i>
      <x v="337"/>
    </i>
    <i>
      <x v="286"/>
    </i>
    <i>
      <x v="339"/>
    </i>
    <i>
      <x v="115"/>
    </i>
    <i>
      <x v="343"/>
    </i>
    <i>
      <x v="30"/>
    </i>
    <i>
      <x v="58"/>
    </i>
    <i>
      <x v="131"/>
    </i>
    <i>
      <x v="186"/>
    </i>
    <i>
      <x v="296"/>
    </i>
    <i>
      <x v="351"/>
    </i>
    <i>
      <x v="299"/>
    </i>
    <i>
      <x v="195"/>
    </i>
    <i>
      <x v="300"/>
    </i>
    <i>
      <x v="63"/>
    </i>
    <i>
      <x v="309"/>
    </i>
    <i>
      <x v="204"/>
    </i>
    <i>
      <x v="315"/>
    </i>
    <i>
      <x v="365"/>
    </i>
    <i>
      <x v="316"/>
    </i>
    <i>
      <x v="374"/>
    </i>
    <i>
      <x v="134"/>
    </i>
    <i>
      <x v="378"/>
    </i>
    <i>
      <x v="318"/>
    </i>
    <i>
      <x v="383"/>
    </i>
    <i>
      <x v="138"/>
    </i>
    <i>
      <x v="219"/>
    </i>
    <i>
      <x v="143"/>
    </i>
    <i>
      <x v="221"/>
    </i>
    <i>
      <x v="323"/>
    </i>
    <i>
      <x v="267"/>
    </i>
    <i>
      <x v="225"/>
    </i>
    <i>
      <x v="354"/>
    </i>
    <i>
      <x v="314"/>
    </i>
    <i>
      <x v="171"/>
    </i>
    <i>
      <x v="183"/>
    </i>
    <i>
      <x v="135"/>
    </i>
    <i>
      <x v="184"/>
    </i>
    <i>
      <x v="370"/>
    </i>
    <i>
      <x v="185"/>
    </i>
    <i>
      <x v="410"/>
    </i>
    <i>
      <x v="57"/>
    </i>
    <i>
      <x v="127"/>
    </i>
    <i>
      <x v="187"/>
    </i>
    <i>
      <x v="346"/>
    </i>
    <i>
      <x v="189"/>
    </i>
    <i>
      <x v="50"/>
    </i>
    <i>
      <x v="190"/>
    </i>
    <i>
      <x v="166"/>
    </i>
    <i>
      <x v="191"/>
    </i>
    <i>
      <x v="176"/>
    </i>
    <i>
      <x v="13"/>
    </i>
    <i>
      <x v="308"/>
    </i>
    <i>
      <x v="194"/>
    </i>
    <i>
      <x v="122"/>
    </i>
    <i>
      <x v="59"/>
    </i>
    <i>
      <x v="330"/>
    </i>
    <i>
      <x v="197"/>
    </i>
    <i>
      <x v="39"/>
    </i>
    <i>
      <x v="4"/>
    </i>
    <i>
      <x v="43"/>
    </i>
    <i>
      <x v="15"/>
    </i>
    <i>
      <x v="10"/>
    </i>
    <i>
      <x v="201"/>
    </i>
    <i>
      <x v="162"/>
    </i>
    <i>
      <x v="65"/>
    </i>
    <i>
      <x v="164"/>
    </i>
    <i>
      <x v="205"/>
    </i>
    <i>
      <x v="382"/>
    </i>
    <i>
      <x v="207"/>
    </i>
    <i>
      <x v="173"/>
    </i>
    <i>
      <x v="68"/>
    </i>
    <i>
      <x v="402"/>
    </i>
    <i>
      <x v="69"/>
    </i>
    <i>
      <x v="305"/>
    </i>
    <i>
      <x v="70"/>
    </i>
    <i>
      <x v="311"/>
    </i>
    <i>
      <x v="213"/>
    </i>
    <i>
      <x v="119"/>
    </i>
    <i>
      <x v="71"/>
    </i>
    <i>
      <x v="125"/>
    </i>
    <i>
      <x v="216"/>
    </i>
    <i>
      <x v="327"/>
    </i>
    <i>
      <x v="217"/>
    </i>
    <i>
      <x v="36"/>
    </i>
    <i>
      <x v="218"/>
    </i>
    <i>
      <x v="137"/>
    </i>
    <i>
      <x v="72"/>
    </i>
    <i>
      <x v="140"/>
    </i>
    <i>
      <x v="73"/>
    </i>
    <i>
      <x v="41"/>
    </i>
    <i>
      <x v="76"/>
    </i>
    <i>
      <x v="3"/>
    </i>
    <i>
      <x v="77"/>
    </i>
    <i>
      <x v="356"/>
    </i>
    <i>
      <x v="223"/>
    </i>
    <i>
      <x v="360"/>
    </i>
    <i>
      <x v="413"/>
    </i>
    <i>
      <x v="11"/>
    </i>
    <i>
      <x v="18"/>
    </i>
    <i>
      <x v="368"/>
    </i>
    <i>
      <x v="227"/>
    </i>
    <i>
      <x v="372"/>
    </i>
    <i>
      <x v="229"/>
    </i>
    <i>
      <x v="376"/>
    </i>
    <i>
      <x v="230"/>
    </i>
    <i>
      <x v="380"/>
    </i>
    <i>
      <x v="231"/>
    </i>
    <i>
      <x v="384"/>
    </i>
    <i>
      <x v="80"/>
    </i>
    <i>
      <x v="388"/>
    </i>
    <i>
      <x v="235"/>
    </i>
    <i>
      <x v="175"/>
    </i>
    <i>
      <x v="81"/>
    </i>
    <i>
      <x v="396"/>
    </i>
    <i>
      <x v="83"/>
    </i>
    <i>
      <x v="407"/>
    </i>
    <i>
      <x v="238"/>
    </i>
    <i>
      <x v="182"/>
    </i>
    <i>
      <x v="20"/>
    </i>
    <i>
      <x v="307"/>
    </i>
    <i>
      <x v="21"/>
    </i>
    <i>
      <x v="5"/>
    </i>
    <i>
      <x v="244"/>
    </i>
    <i>
      <x v="312"/>
    </i>
    <i>
      <x v="247"/>
    </i>
    <i>
      <x v="117"/>
    </i>
    <i>
      <x v="248"/>
    </i>
    <i>
      <x v="121"/>
    </i>
    <i>
      <x v="249"/>
    </i>
    <i>
      <x v="34"/>
    </i>
    <i>
      <x v="250"/>
    </i>
    <i>
      <x v="126"/>
    </i>
    <i>
      <x v="253"/>
    </i>
    <i>
      <x v="128"/>
    </i>
    <i>
      <x v="23"/>
    </i>
    <i>
      <x v="129"/>
    </i>
    <i>
      <x v="256"/>
    </i>
    <i>
      <x v="331"/>
    </i>
    <i>
      <x v="257"/>
    </i>
    <i>
      <x v="6"/>
    </i>
    <i>
      <x v="259"/>
    </i>
    <i>
      <x v="136"/>
    </i>
    <i>
      <x v="261"/>
    </i>
    <i>
      <x v="340"/>
    </i>
    <i>
      <x v="87"/>
    </i>
    <i>
      <x v="139"/>
    </i>
    <i>
      <x v="263"/>
    </i>
    <i>
      <x v="141"/>
    </i>
    <i>
      <x v="88"/>
    </i>
    <i>
      <x v="347"/>
    </i>
    <i>
      <x v="265"/>
    </i>
    <i>
      <x v="147"/>
    </i>
    <i>
      <x v="266"/>
    </i>
    <i>
      <x v="149"/>
    </i>
    <i>
      <x v="92"/>
    </i>
    <i>
      <x v="353"/>
    </i>
    <i>
      <x v="94"/>
    </i>
    <i>
      <x v="153"/>
    </i>
    <i>
      <x v="269"/>
    </i>
    <i>
      <x v="154"/>
    </i>
    <i>
      <x v="270"/>
    </i>
    <i>
      <x v="359"/>
    </i>
    <i>
      <x v="96"/>
    </i>
    <i>
      <x v="361"/>
    </i>
    <i>
      <x v="98"/>
    </i>
    <i>
      <x v="158"/>
    </i>
    <i>
      <x v="279"/>
    </i>
    <i>
      <x v="160"/>
    </i>
    <i>
      <x v="99"/>
    </i>
    <i>
      <x v="367"/>
    </i>
    <i>
      <x v="281"/>
    </i>
    <i>
      <x v="369"/>
    </i>
    <i>
      <x v="282"/>
    </i>
    <i>
      <x v="371"/>
    </i>
    <i>
      <x v="25"/>
    </i>
    <i>
      <x v="373"/>
    </i>
    <i>
      <x v="101"/>
    </i>
    <i>
      <x v="56"/>
    </i>
    <i>
      <x v="285"/>
    </i>
    <i>
      <x v="377"/>
    </i>
    <i>
      <x v="26"/>
    </i>
    <i>
      <x v="167"/>
    </i>
    <i>
      <x v="288"/>
    </i>
    <i>
      <x v="381"/>
    </i>
    <i>
      <x v="103"/>
    </i>
    <i>
      <x v="169"/>
    </i>
    <i>
      <x v="290"/>
    </i>
    <i>
      <x v="385"/>
    </i>
    <i>
      <x v="27"/>
    </i>
    <i>
      <x v="172"/>
    </i>
    <i>
      <x v="107"/>
    </i>
    <i>
      <x v="389"/>
    </i>
    <i>
      <x v="293"/>
    </i>
    <i>
      <x v="391"/>
    </i>
    <i>
      <x v="294"/>
    </i>
    <i>
      <x v="393"/>
    </i>
    <i>
      <x v="295"/>
    </i>
    <i>
      <x v="395"/>
    </i>
    <i>
      <x v="108"/>
    </i>
    <i>
      <x v="398"/>
    </i>
    <i>
      <x v="297"/>
    </i>
    <i>
      <x v="404"/>
    </i>
    <i>
      <x v="298"/>
    </i>
    <i>
      <x v="409"/>
    </i>
    <i>
      <x v="110"/>
    </i>
    <i>
      <x v="412"/>
    </i>
    <i>
      <x v="28"/>
    </i>
    <i>
      <x v="301"/>
    </i>
    <i>
      <x v="2"/>
    </i>
    <i>
      <x v="22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24">
      <pivotArea field="5" type="button" dataOnly="0" labelOnly="1" outline="0" axis="axisRow" fieldPosition="0"/>
    </format>
    <format dxfId="23">
      <pivotArea dataOnly="0" labelOnly="1" fieldPosition="0">
        <references count="1">
          <reference field="5" count="0"/>
        </references>
      </pivotArea>
    </format>
    <format dxfId="22">
      <pivotArea dataOnly="0" labelOnly="1" grandRow="1" outline="0" fieldPosition="0"/>
    </format>
    <format dxfId="21">
      <pivotArea outline="0" collapsedLevelsAreSubtotals="1" fieldPosition="0"/>
    </format>
    <format dxfId="2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6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4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x="159"/>
        <item x="160"/>
        <item x="15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6"/>
        <item x="235"/>
        <item x="238"/>
        <item x="239"/>
        <item x="240"/>
        <item x="243"/>
        <item x="244"/>
        <item x="245"/>
        <item x="242"/>
        <item x="241"/>
        <item x="246"/>
        <item x="247"/>
        <item x="248"/>
        <item x="249"/>
        <item x="254"/>
        <item x="252"/>
        <item x="250"/>
        <item x="253"/>
        <item x="255"/>
        <item x="256"/>
        <item x="257"/>
        <item x="258"/>
        <item x="251"/>
        <item x="259"/>
        <item x="260"/>
        <item x="262"/>
        <item x="263"/>
        <item x="264"/>
        <item x="267"/>
        <item x="265"/>
        <item x="266"/>
        <item x="270"/>
        <item x="271"/>
        <item x="269"/>
        <item x="268"/>
        <item x="274"/>
        <item x="272"/>
        <item x="261"/>
        <item x="275"/>
        <item x="276"/>
        <item x="273"/>
        <item x="277"/>
        <item x="278"/>
        <item x="281"/>
        <item x="279"/>
        <item x="280"/>
        <item x="287"/>
        <item x="285"/>
        <item x="286"/>
        <item x="290"/>
        <item x="288"/>
        <item x="292"/>
        <item x="289"/>
        <item x="294"/>
        <item x="295"/>
        <item x="284"/>
        <item x="293"/>
        <item x="291"/>
        <item x="297"/>
        <item x="298"/>
        <item x="299"/>
        <item x="283"/>
        <item x="296"/>
        <item x="300"/>
        <item x="301"/>
        <item x="305"/>
        <item x="302"/>
        <item x="282"/>
        <item x="303"/>
        <item x="304"/>
        <item x="306"/>
        <item x="312"/>
        <item x="313"/>
        <item x="307"/>
        <item x="310"/>
        <item x="314"/>
        <item x="316"/>
        <item x="317"/>
        <item x="318"/>
        <item x="315"/>
        <item x="321"/>
        <item x="322"/>
        <item x="319"/>
        <item x="323"/>
        <item x="320"/>
        <item x="326"/>
        <item x="325"/>
        <item x="328"/>
        <item x="309"/>
        <item x="324"/>
        <item x="311"/>
        <item x="327"/>
        <item x="308"/>
        <item x="329"/>
        <item x="331"/>
        <item x="332"/>
        <item x="330"/>
        <item x="333"/>
        <item x="334"/>
        <item x="339"/>
        <item x="341"/>
        <item x="344"/>
        <item x="343"/>
        <item x="340"/>
        <item x="342"/>
        <item x="345"/>
        <item x="347"/>
        <item x="335"/>
        <item x="348"/>
        <item x="350"/>
        <item x="346"/>
        <item x="337"/>
        <item x="349"/>
        <item x="351"/>
        <item x="352"/>
        <item x="356"/>
        <item x="353"/>
        <item x="359"/>
        <item x="338"/>
        <item x="358"/>
        <item x="357"/>
        <item x="361"/>
        <item x="362"/>
        <item x="336"/>
        <item x="360"/>
        <item x="364"/>
        <item x="354"/>
        <item x="355"/>
        <item x="365"/>
        <item x="366"/>
        <item x="368"/>
        <item x="367"/>
        <item x="363"/>
        <item x="369"/>
        <item x="370"/>
        <item x="371"/>
        <item x="372"/>
        <item x="374"/>
        <item x="373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376"/>
        <item x="400"/>
        <item x="377"/>
        <item x="399"/>
        <item x="379"/>
        <item x="375"/>
        <item x="402"/>
        <item x="404"/>
        <item x="403"/>
        <item x="378"/>
        <item x="405"/>
        <item t="default"/>
      </items>
    </pivotField>
    <pivotField axis="axisRow" numFmtId="1" showAl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3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3"/>
    <tableColumn id="5" xr3:uid="{DF37AD45-FC5C-478A-989D-9143E744CEEA}" name="voornaam" dataDxfId="42">
      <calculatedColumnFormula>VLOOKUP(Tabel2[[#This Row],[nr]],'data hastus'!A:C,3,FALSE)</calculatedColumnFormula>
    </tableColumn>
    <tableColumn id="6" xr3:uid="{4098FAFB-9B09-4A81-8B22-18CC90B5F979}" name="achternaam" dataDxfId="41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7">
  <autoFilter ref="A1:AB992" xr:uid="{2FDE3AF6-1CE1-4F38-BD72-1F03CD30F4FC}"/>
  <tableColumns count="28">
    <tableColumn id="1" xr3:uid="{A89FCEBD-EFF0-43A5-BEAC-9201FF09453E}" name="personeelsnr"/>
    <tableColumn id="23" xr3:uid="{3989647C-F1EB-4322-A586-1EC53B4E823E}" name="volledige naam" dataDxfId="36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5"/>
    <tableColumn id="11" xr3:uid="{97ECF1D5-48DC-4487-B3C2-17232CC8E19E}" name="Januari" dataDxfId="34"/>
    <tableColumn id="12" xr3:uid="{7B2FF520-A575-45C0-BB5A-19B87DDB4EA0}" name="Februari" dataDxfId="33"/>
    <tableColumn id="13" xr3:uid="{4E6C30D1-FB72-4AB2-900F-14A3D53F34DE}" name="Maart" dataDxfId="32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1">
      <calculatedColumnFormula>SUM(bron[[#This Row],[Januari]:[December]])</calculatedColumnFormula>
    </tableColumn>
    <tableColumn id="10" xr3:uid="{8D9646BD-38B6-4F4D-9859-B3933369346B}" name="Datum" dataDxfId="30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9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9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8">
      <calculatedColumnFormula>YEAR(TODAY()) - YEAR(E2) - (IF(DATE(YEAR(TODAY()), MONTH(E2), DAY(E2)) &gt; TODAY(), 1, 0))</calculatedColumnFormula>
    </tableColumn>
    <tableColumn id="5" xr3:uid="{4C697650-E57C-44EB-9139-9D19E4E44782}" name="aantal schades" dataDxfId="17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5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5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14"/>
    <tableColumn id="2" xr3:uid="{B74D5419-AF77-4013-9D4D-A27CB821A194}" name="Voornaam" dataDxfId="13"/>
    <tableColumn id="3" xr3:uid="{8AFF5D53-02DB-4104-8133-50DD6E1299B8}" name="Achternaam" dataDxfId="12"/>
    <tableColumn id="4" xr3:uid="{B76D7E71-E174-470B-9D6C-5440B7A4886F}" name="Personeelsnummer" dataDxfId="11"/>
    <tableColumn id="6" xr3:uid="{944F1A33-FEB0-4FC2-8D2C-B7C202DA92D5}" name="Team Coach" dataDxfId="10"/>
    <tableColumn id="7" xr3:uid="{5B917C88-1EEB-48B9-9CA7-608DFC8F40C2}" name="Datum in dienst" dataDxfId="9"/>
    <tableColumn id="10" xr3:uid="{3501E25E-962A-4C61-8F65-B8F428AE63EB}" name="Dienstjaren" dataDxfId="8">
      <calculatedColumnFormula>TRUNC(YEARFRAC(F2,TODAY(),1))</calculatedColumnFormula>
    </tableColumn>
    <tableColumn id="8" xr3:uid="{49F2DD67-4207-4AB4-A1B0-D272D5DF5E8C}" name="schades">
      <calculatedColumnFormula>COUNTIF(BRON!A:A,Tabel6[[#This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44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9" workbookViewId="0">
      <selection activeCell="D13" sqref="D1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>
        <v>9</v>
      </c>
      <c r="F11" s="2" t="s">
        <v>3528</v>
      </c>
      <c r="G11">
        <v>45</v>
      </c>
      <c r="I11" s="2" t="s">
        <v>35</v>
      </c>
      <c r="J11">
        <v>75</v>
      </c>
    </row>
    <row r="12" spans="3:10" x14ac:dyDescent="0.25">
      <c r="C12" s="2" t="s">
        <v>3827</v>
      </c>
      <c r="D12">
        <v>9</v>
      </c>
      <c r="F12" s="2" t="s">
        <v>3491</v>
      </c>
      <c r="G12">
        <v>183</v>
      </c>
      <c r="I12" s="2" t="s">
        <v>44</v>
      </c>
      <c r="J12">
        <v>75</v>
      </c>
    </row>
    <row r="13" spans="3:10" x14ac:dyDescent="0.25">
      <c r="C13" s="2" t="s">
        <v>1</v>
      </c>
      <c r="D13">
        <v>7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23</v>
      </c>
      <c r="D14">
        <v>5</v>
      </c>
      <c r="F14" s="2" t="s">
        <v>3492</v>
      </c>
      <c r="G14">
        <v>173</v>
      </c>
      <c r="I14" s="2" t="s">
        <v>41</v>
      </c>
      <c r="J14">
        <v>58</v>
      </c>
    </row>
    <row r="15" spans="3:10" x14ac:dyDescent="0.25">
      <c r="C15" s="2" t="s">
        <v>9</v>
      </c>
      <c r="D15">
        <v>5</v>
      </c>
      <c r="F15" s="2" t="s">
        <v>65</v>
      </c>
      <c r="G15">
        <v>474</v>
      </c>
      <c r="I15" s="2" t="s">
        <v>47</v>
      </c>
      <c r="J15">
        <v>54</v>
      </c>
    </row>
    <row r="16" spans="3:10" x14ac:dyDescent="0.25">
      <c r="C16" s="2" t="s">
        <v>7</v>
      </c>
      <c r="D16">
        <v>5</v>
      </c>
      <c r="I16" s="2" t="s">
        <v>53</v>
      </c>
      <c r="J16">
        <v>46</v>
      </c>
    </row>
    <row r="17" spans="3:10" x14ac:dyDescent="0.25">
      <c r="C17" s="2" t="s">
        <v>220</v>
      </c>
      <c r="D17">
        <v>5</v>
      </c>
      <c r="I17" s="2" t="s">
        <v>56</v>
      </c>
      <c r="J17">
        <v>41</v>
      </c>
    </row>
    <row r="18" spans="3:10" x14ac:dyDescent="0.25">
      <c r="C18" s="2" t="s">
        <v>3825</v>
      </c>
      <c r="D18">
        <v>5</v>
      </c>
      <c r="I18" s="2" t="s">
        <v>50</v>
      </c>
      <c r="J18">
        <v>40</v>
      </c>
    </row>
    <row r="19" spans="3:10" x14ac:dyDescent="0.25">
      <c r="C19" s="2" t="s">
        <v>318</v>
      </c>
      <c r="D19">
        <v>4</v>
      </c>
      <c r="I19" s="2" t="s">
        <v>59</v>
      </c>
      <c r="J19">
        <v>4</v>
      </c>
    </row>
    <row r="20" spans="3:10" x14ac:dyDescent="0.25">
      <c r="C20" s="2" t="s">
        <v>11</v>
      </c>
      <c r="D20">
        <v>4</v>
      </c>
      <c r="F20" s="1" t="s">
        <v>3807</v>
      </c>
      <c r="G20" t="s">
        <v>0</v>
      </c>
      <c r="I20" s="2" t="s">
        <v>65</v>
      </c>
      <c r="J20">
        <v>463</v>
      </c>
    </row>
    <row r="21" spans="3:10" x14ac:dyDescent="0.25">
      <c r="C21" s="2" t="s">
        <v>13</v>
      </c>
      <c r="D21">
        <v>4</v>
      </c>
      <c r="F21" s="2" t="s">
        <v>2</v>
      </c>
      <c r="G21">
        <v>26</v>
      </c>
    </row>
    <row r="22" spans="3:10" x14ac:dyDescent="0.25">
      <c r="C22" s="2" t="s">
        <v>169</v>
      </c>
      <c r="D22">
        <v>4</v>
      </c>
      <c r="F22" s="2" t="s">
        <v>6</v>
      </c>
      <c r="G22">
        <v>21</v>
      </c>
    </row>
    <row r="23" spans="3:10" x14ac:dyDescent="0.25">
      <c r="C23" s="2" t="s">
        <v>337</v>
      </c>
      <c r="D23">
        <v>3</v>
      </c>
      <c r="F23" s="2" t="s">
        <v>10</v>
      </c>
      <c r="G23">
        <v>14</v>
      </c>
      <c r="I23" s="1" t="s">
        <v>3868</v>
      </c>
      <c r="J23" t="s">
        <v>3869</v>
      </c>
    </row>
    <row r="24" spans="3:10" x14ac:dyDescent="0.25">
      <c r="C24" s="2" t="s">
        <v>86</v>
      </c>
      <c r="D24">
        <v>3</v>
      </c>
      <c r="F24" s="2" t="s">
        <v>8</v>
      </c>
      <c r="G24">
        <v>13</v>
      </c>
      <c r="I24" s="40">
        <v>0</v>
      </c>
      <c r="J24" s="43">
        <v>35</v>
      </c>
    </row>
    <row r="25" spans="3:10" x14ac:dyDescent="0.25">
      <c r="C25" s="2" t="s">
        <v>63</v>
      </c>
      <c r="D25">
        <v>3</v>
      </c>
      <c r="F25" s="2" t="s">
        <v>12</v>
      </c>
      <c r="G25">
        <v>12</v>
      </c>
      <c r="I25" s="40">
        <v>1</v>
      </c>
      <c r="J25" s="43">
        <v>55</v>
      </c>
    </row>
    <row r="26" spans="3:10" x14ac:dyDescent="0.25">
      <c r="C26" s="2" t="s">
        <v>3649</v>
      </c>
      <c r="D26">
        <v>3</v>
      </c>
      <c r="F26" s="2" t="s">
        <v>16</v>
      </c>
      <c r="G26">
        <v>10</v>
      </c>
      <c r="I26" s="40">
        <v>2</v>
      </c>
      <c r="J26" s="43">
        <v>49</v>
      </c>
    </row>
    <row r="27" spans="3:10" x14ac:dyDescent="0.25">
      <c r="C27" s="2" t="s">
        <v>233</v>
      </c>
      <c r="D27">
        <v>3</v>
      </c>
      <c r="F27" s="2" t="s">
        <v>20</v>
      </c>
      <c r="G27">
        <v>10</v>
      </c>
      <c r="I27" s="40">
        <v>3</v>
      </c>
      <c r="J27" s="43">
        <v>30</v>
      </c>
    </row>
    <row r="28" spans="3:10" x14ac:dyDescent="0.25">
      <c r="C28" s="2" t="s">
        <v>17</v>
      </c>
      <c r="D28">
        <v>3</v>
      </c>
      <c r="F28" s="2" t="s">
        <v>22</v>
      </c>
      <c r="G28">
        <v>9</v>
      </c>
      <c r="I28" s="40">
        <v>4</v>
      </c>
      <c r="J28" s="43">
        <v>23</v>
      </c>
    </row>
    <row r="29" spans="3:10" x14ac:dyDescent="0.25">
      <c r="C29" s="2" t="s">
        <v>292</v>
      </c>
      <c r="D29">
        <v>3</v>
      </c>
      <c r="F29" s="2" t="s">
        <v>32</v>
      </c>
      <c r="G29">
        <v>9</v>
      </c>
      <c r="I29" s="40">
        <v>5</v>
      </c>
      <c r="J29" s="43">
        <v>24</v>
      </c>
    </row>
    <row r="30" spans="3:10" x14ac:dyDescent="0.25">
      <c r="C30" s="2" t="s">
        <v>269</v>
      </c>
      <c r="D30">
        <v>3</v>
      </c>
      <c r="F30" s="2" t="s">
        <v>18</v>
      </c>
      <c r="G30">
        <v>8</v>
      </c>
      <c r="I30" s="40">
        <v>6</v>
      </c>
      <c r="J30" s="43">
        <v>13</v>
      </c>
    </row>
    <row r="31" spans="3:10" x14ac:dyDescent="0.25">
      <c r="C31" s="2" t="s">
        <v>51</v>
      </c>
      <c r="D31">
        <v>3</v>
      </c>
      <c r="F31" s="2" t="s">
        <v>26</v>
      </c>
      <c r="G31">
        <v>8</v>
      </c>
      <c r="I31" s="40">
        <v>7</v>
      </c>
      <c r="J31" s="43">
        <v>7</v>
      </c>
    </row>
    <row r="32" spans="3:10" x14ac:dyDescent="0.25">
      <c r="C32" s="2" t="s">
        <v>31</v>
      </c>
      <c r="D32">
        <v>3</v>
      </c>
      <c r="F32" s="2" t="s">
        <v>24</v>
      </c>
      <c r="G32">
        <v>7</v>
      </c>
      <c r="I32" s="40">
        <v>8</v>
      </c>
      <c r="J32" s="43">
        <v>13</v>
      </c>
    </row>
    <row r="33" spans="3:10" x14ac:dyDescent="0.25">
      <c r="C33" s="2" t="s">
        <v>15</v>
      </c>
      <c r="D33">
        <v>3</v>
      </c>
      <c r="F33" s="2" t="s">
        <v>30</v>
      </c>
      <c r="G33">
        <v>7</v>
      </c>
      <c r="I33" s="40">
        <v>9</v>
      </c>
      <c r="J33" s="43">
        <v>9</v>
      </c>
    </row>
    <row r="34" spans="3:10" x14ac:dyDescent="0.25">
      <c r="C34" s="2" t="s">
        <v>173</v>
      </c>
      <c r="D34">
        <v>3</v>
      </c>
      <c r="F34" s="2" t="s">
        <v>14</v>
      </c>
      <c r="G34">
        <v>7</v>
      </c>
      <c r="I34" s="40">
        <v>10</v>
      </c>
      <c r="J34" s="43">
        <v>7</v>
      </c>
    </row>
    <row r="35" spans="3:10" x14ac:dyDescent="0.25">
      <c r="C35" s="2" t="s">
        <v>93</v>
      </c>
      <c r="D35">
        <v>3</v>
      </c>
      <c r="F35" s="2" t="s">
        <v>34</v>
      </c>
      <c r="G35">
        <v>7</v>
      </c>
      <c r="I35" s="40">
        <v>11</v>
      </c>
      <c r="J35" s="43">
        <v>9</v>
      </c>
    </row>
    <row r="36" spans="3:10" x14ac:dyDescent="0.25">
      <c r="C36" s="2" t="s">
        <v>99</v>
      </c>
      <c r="D36">
        <v>3</v>
      </c>
      <c r="F36" s="2" t="s">
        <v>94</v>
      </c>
      <c r="G36">
        <v>6</v>
      </c>
      <c r="I36" s="40">
        <v>12</v>
      </c>
      <c r="J36" s="43">
        <v>1</v>
      </c>
    </row>
    <row r="37" spans="3:10" x14ac:dyDescent="0.25">
      <c r="C37" s="2" t="s">
        <v>27</v>
      </c>
      <c r="D37">
        <v>3</v>
      </c>
      <c r="F37" s="2" t="s">
        <v>81</v>
      </c>
      <c r="G37">
        <v>6</v>
      </c>
      <c r="I37" s="40">
        <v>13</v>
      </c>
      <c r="J37" s="43">
        <v>6</v>
      </c>
    </row>
    <row r="38" spans="3:10" x14ac:dyDescent="0.25">
      <c r="C38" s="2" t="s">
        <v>3826</v>
      </c>
      <c r="D38">
        <v>3</v>
      </c>
      <c r="F38" s="2" t="s">
        <v>67</v>
      </c>
      <c r="G38">
        <v>6</v>
      </c>
      <c r="I38" s="40">
        <v>14</v>
      </c>
      <c r="J38" s="43">
        <v>15</v>
      </c>
    </row>
    <row r="39" spans="3:10" x14ac:dyDescent="0.25">
      <c r="C39" s="2" t="s">
        <v>19</v>
      </c>
      <c r="D39">
        <v>3</v>
      </c>
      <c r="F39" s="2" t="s">
        <v>55</v>
      </c>
      <c r="G39">
        <v>6</v>
      </c>
      <c r="I39" s="40">
        <v>15</v>
      </c>
      <c r="J39" s="43">
        <v>5</v>
      </c>
    </row>
    <row r="40" spans="3:10" x14ac:dyDescent="0.25">
      <c r="C40" s="2" t="s">
        <v>111</v>
      </c>
      <c r="D40">
        <v>3</v>
      </c>
      <c r="F40" s="2" t="s">
        <v>28</v>
      </c>
      <c r="G40">
        <v>5</v>
      </c>
      <c r="I40" s="40">
        <v>16</v>
      </c>
      <c r="J40" s="43">
        <v>6</v>
      </c>
    </row>
    <row r="41" spans="3:10" x14ac:dyDescent="0.25">
      <c r="C41" s="2" t="s">
        <v>66</v>
      </c>
      <c r="D41">
        <v>3</v>
      </c>
      <c r="F41" s="2" t="s">
        <v>37</v>
      </c>
      <c r="G41">
        <v>5</v>
      </c>
      <c r="I41" s="40">
        <v>17</v>
      </c>
      <c r="J41" s="43">
        <v>11</v>
      </c>
    </row>
    <row r="42" spans="3:10" x14ac:dyDescent="0.25">
      <c r="C42" s="2" t="s">
        <v>80</v>
      </c>
      <c r="D42">
        <v>3</v>
      </c>
      <c r="F42" s="2" t="s">
        <v>58</v>
      </c>
      <c r="G42">
        <v>5</v>
      </c>
      <c r="I42" s="40">
        <v>18</v>
      </c>
      <c r="J42" s="43">
        <v>12</v>
      </c>
    </row>
    <row r="43" spans="3:10" x14ac:dyDescent="0.25">
      <c r="C43" s="2" t="s">
        <v>25</v>
      </c>
      <c r="D43">
        <v>3</v>
      </c>
      <c r="F43" s="2" t="s">
        <v>100</v>
      </c>
      <c r="G43">
        <v>5</v>
      </c>
      <c r="I43" s="40">
        <v>19</v>
      </c>
      <c r="J43" s="43">
        <v>8</v>
      </c>
    </row>
    <row r="44" spans="3:10" x14ac:dyDescent="0.25">
      <c r="C44" s="2" t="s">
        <v>3824</v>
      </c>
      <c r="D44">
        <v>3</v>
      </c>
      <c r="F44" s="2" t="s">
        <v>199</v>
      </c>
      <c r="G44">
        <v>4</v>
      </c>
      <c r="I44" s="40">
        <v>20</v>
      </c>
      <c r="J44" s="43">
        <v>4</v>
      </c>
    </row>
    <row r="45" spans="3:10" x14ac:dyDescent="0.25">
      <c r="C45" s="2" t="s">
        <v>235</v>
      </c>
      <c r="D45">
        <v>3</v>
      </c>
      <c r="F45" s="2" t="s">
        <v>87</v>
      </c>
      <c r="G45">
        <v>4</v>
      </c>
      <c r="I45" s="40">
        <v>21</v>
      </c>
      <c r="J45" s="43">
        <v>6</v>
      </c>
    </row>
    <row r="46" spans="3:10" x14ac:dyDescent="0.25">
      <c r="C46" s="2" t="s">
        <v>84</v>
      </c>
      <c r="D46">
        <v>3</v>
      </c>
      <c r="F46" s="2" t="s">
        <v>644</v>
      </c>
      <c r="G46">
        <v>4</v>
      </c>
      <c r="I46" s="40">
        <v>22</v>
      </c>
      <c r="J46" s="43">
        <v>6</v>
      </c>
    </row>
    <row r="47" spans="3:10" x14ac:dyDescent="0.25">
      <c r="C47" s="2" t="s">
        <v>113</v>
      </c>
      <c r="D47">
        <v>3</v>
      </c>
      <c r="F47" s="2" t="s">
        <v>61</v>
      </c>
      <c r="G47">
        <v>4</v>
      </c>
      <c r="I47" s="40">
        <v>23</v>
      </c>
      <c r="J47" s="43">
        <v>8</v>
      </c>
    </row>
    <row r="48" spans="3:10" x14ac:dyDescent="0.25">
      <c r="C48" s="2" t="s">
        <v>204</v>
      </c>
      <c r="D48">
        <v>3</v>
      </c>
      <c r="F48" s="2" t="s">
        <v>64</v>
      </c>
      <c r="G48">
        <v>4</v>
      </c>
      <c r="I48" s="40">
        <v>24</v>
      </c>
      <c r="J48" s="43">
        <v>5</v>
      </c>
    </row>
    <row r="49" spans="3:10" x14ac:dyDescent="0.25">
      <c r="C49" s="2" t="s">
        <v>3640</v>
      </c>
      <c r="D49">
        <v>3</v>
      </c>
      <c r="F49" s="2" t="s">
        <v>89</v>
      </c>
      <c r="G49">
        <v>3</v>
      </c>
      <c r="I49" s="40">
        <v>25</v>
      </c>
      <c r="J49" s="43">
        <v>7</v>
      </c>
    </row>
    <row r="50" spans="3:10" x14ac:dyDescent="0.25">
      <c r="C50" s="2" t="s">
        <v>301</v>
      </c>
      <c r="D50">
        <v>3</v>
      </c>
      <c r="F50" s="2" t="s">
        <v>246</v>
      </c>
      <c r="G50">
        <v>3</v>
      </c>
      <c r="I50" s="40">
        <v>26</v>
      </c>
      <c r="J50" s="43">
        <v>6</v>
      </c>
    </row>
    <row r="51" spans="3:10" x14ac:dyDescent="0.25">
      <c r="C51" s="2" t="s">
        <v>29</v>
      </c>
      <c r="D51">
        <v>3</v>
      </c>
      <c r="F51" s="2" t="s">
        <v>46</v>
      </c>
      <c r="G51">
        <v>3</v>
      </c>
      <c r="I51" s="40">
        <v>27</v>
      </c>
      <c r="J51" s="43">
        <v>3</v>
      </c>
    </row>
    <row r="52" spans="3:10" x14ac:dyDescent="0.25">
      <c r="C52" s="2" t="s">
        <v>57</v>
      </c>
      <c r="D52">
        <v>3</v>
      </c>
      <c r="F52" s="2" t="s">
        <v>112</v>
      </c>
      <c r="G52">
        <v>3</v>
      </c>
      <c r="I52" s="40">
        <v>28</v>
      </c>
      <c r="J52" s="43">
        <v>4</v>
      </c>
    </row>
    <row r="53" spans="3:10" x14ac:dyDescent="0.25">
      <c r="C53" s="2" t="s">
        <v>76</v>
      </c>
      <c r="D53">
        <v>3</v>
      </c>
      <c r="F53" s="2" t="s">
        <v>150</v>
      </c>
      <c r="G53">
        <v>3</v>
      </c>
      <c r="I53" s="40">
        <v>29</v>
      </c>
      <c r="J53" s="43">
        <v>5</v>
      </c>
    </row>
    <row r="54" spans="3:10" x14ac:dyDescent="0.25">
      <c r="C54" s="2" t="s">
        <v>341</v>
      </c>
      <c r="D54">
        <v>2</v>
      </c>
      <c r="F54" s="2" t="s">
        <v>838</v>
      </c>
      <c r="G54">
        <v>3</v>
      </c>
      <c r="I54" s="40">
        <v>30</v>
      </c>
      <c r="J54" s="43">
        <v>1</v>
      </c>
    </row>
    <row r="55" spans="3:10" x14ac:dyDescent="0.25">
      <c r="C55" s="2" t="s">
        <v>105</v>
      </c>
      <c r="D55">
        <v>2</v>
      </c>
      <c r="F55" s="2" t="s">
        <v>52</v>
      </c>
      <c r="G55">
        <v>3</v>
      </c>
      <c r="I55" s="40">
        <v>32</v>
      </c>
      <c r="J55" s="43">
        <v>1</v>
      </c>
    </row>
    <row r="56" spans="3:10" x14ac:dyDescent="0.25">
      <c r="C56" s="2" t="s">
        <v>139</v>
      </c>
      <c r="D56">
        <v>2</v>
      </c>
      <c r="F56" s="2" t="s">
        <v>98</v>
      </c>
      <c r="G56">
        <v>3</v>
      </c>
      <c r="I56" s="40">
        <v>33</v>
      </c>
      <c r="J56" s="43">
        <v>3</v>
      </c>
    </row>
    <row r="57" spans="3:10" x14ac:dyDescent="0.25">
      <c r="C57" s="2" t="s">
        <v>315</v>
      </c>
      <c r="D57">
        <v>2</v>
      </c>
      <c r="F57" s="2" t="s">
        <v>43</v>
      </c>
      <c r="G57">
        <v>3</v>
      </c>
      <c r="I57" s="40">
        <v>34</v>
      </c>
      <c r="J57" s="43">
        <v>2</v>
      </c>
    </row>
    <row r="58" spans="3:10" x14ac:dyDescent="0.25">
      <c r="C58" s="2" t="s">
        <v>54</v>
      </c>
      <c r="D58">
        <v>2</v>
      </c>
      <c r="F58" s="2" t="s">
        <v>729</v>
      </c>
      <c r="G58">
        <v>3</v>
      </c>
      <c r="I58" s="40">
        <v>36</v>
      </c>
      <c r="J58" s="43">
        <v>2</v>
      </c>
    </row>
    <row r="59" spans="3:10" x14ac:dyDescent="0.25">
      <c r="C59" s="2" t="s">
        <v>259</v>
      </c>
      <c r="D59">
        <v>2</v>
      </c>
      <c r="F59" s="2" t="s">
        <v>3734</v>
      </c>
      <c r="G59">
        <v>3</v>
      </c>
      <c r="I59" s="40">
        <v>37</v>
      </c>
      <c r="J59" s="43">
        <v>1</v>
      </c>
    </row>
    <row r="60" spans="3:10" x14ac:dyDescent="0.25">
      <c r="C60" s="2" t="s">
        <v>3652</v>
      </c>
      <c r="D60">
        <v>2</v>
      </c>
      <c r="F60" s="2" t="s">
        <v>49</v>
      </c>
      <c r="G60">
        <v>3</v>
      </c>
      <c r="I60" s="36" t="s">
        <v>65</v>
      </c>
      <c r="J60" s="43">
        <v>402</v>
      </c>
    </row>
    <row r="61" spans="3:10" x14ac:dyDescent="0.25">
      <c r="C61" s="2" t="s">
        <v>343</v>
      </c>
      <c r="D61">
        <v>2</v>
      </c>
      <c r="F61" s="2" t="s">
        <v>71</v>
      </c>
      <c r="G61">
        <v>3</v>
      </c>
    </row>
    <row r="62" spans="3:10" x14ac:dyDescent="0.25">
      <c r="C62" s="2" t="s">
        <v>151</v>
      </c>
      <c r="D62">
        <v>2</v>
      </c>
      <c r="F62" s="2" t="s">
        <v>589</v>
      </c>
      <c r="G62">
        <v>3</v>
      </c>
    </row>
    <row r="63" spans="3:10" x14ac:dyDescent="0.25">
      <c r="C63" s="2" t="s">
        <v>119</v>
      </c>
      <c r="D63">
        <v>2</v>
      </c>
      <c r="F63" s="2" t="s">
        <v>40</v>
      </c>
      <c r="G63">
        <v>3</v>
      </c>
    </row>
    <row r="64" spans="3:10" x14ac:dyDescent="0.25">
      <c r="C64" s="2" t="s">
        <v>109</v>
      </c>
      <c r="D64">
        <v>2</v>
      </c>
      <c r="F64" s="2" t="s">
        <v>144</v>
      </c>
      <c r="G64">
        <v>3</v>
      </c>
    </row>
    <row r="65" spans="3:7" x14ac:dyDescent="0.25">
      <c r="C65" s="2" t="s">
        <v>297</v>
      </c>
      <c r="D65">
        <v>2</v>
      </c>
      <c r="F65" s="2" t="s">
        <v>647</v>
      </c>
      <c r="G65">
        <v>3</v>
      </c>
    </row>
    <row r="66" spans="3:7" x14ac:dyDescent="0.25">
      <c r="C66" s="2" t="s">
        <v>241</v>
      </c>
      <c r="D66">
        <v>2</v>
      </c>
      <c r="F66" s="2" t="s">
        <v>223</v>
      </c>
      <c r="G66">
        <v>3</v>
      </c>
    </row>
    <row r="67" spans="3:7" x14ac:dyDescent="0.25">
      <c r="C67" s="2" t="s">
        <v>3667</v>
      </c>
      <c r="D67">
        <v>2</v>
      </c>
      <c r="F67" s="2" t="s">
        <v>114</v>
      </c>
      <c r="G67">
        <v>3</v>
      </c>
    </row>
    <row r="68" spans="3:7" x14ac:dyDescent="0.25">
      <c r="C68" s="2" t="s">
        <v>328</v>
      </c>
      <c r="D68">
        <v>2</v>
      </c>
      <c r="F68" s="2" t="s">
        <v>1304</v>
      </c>
      <c r="G68">
        <v>2</v>
      </c>
    </row>
    <row r="69" spans="3:7" x14ac:dyDescent="0.25">
      <c r="C69" s="2" t="s">
        <v>263</v>
      </c>
      <c r="D69">
        <v>2</v>
      </c>
      <c r="F69" s="2" t="s">
        <v>106</v>
      </c>
      <c r="G69">
        <v>2</v>
      </c>
    </row>
    <row r="70" spans="3:7" x14ac:dyDescent="0.25">
      <c r="C70" s="2" t="s">
        <v>97</v>
      </c>
      <c r="D70">
        <v>2</v>
      </c>
      <c r="F70" s="2" t="s">
        <v>85</v>
      </c>
      <c r="G70">
        <v>2</v>
      </c>
    </row>
    <row r="71" spans="3:7" x14ac:dyDescent="0.25">
      <c r="C71" s="2" t="s">
        <v>103</v>
      </c>
      <c r="D71">
        <v>2</v>
      </c>
      <c r="F71" s="2" t="s">
        <v>188</v>
      </c>
      <c r="G71">
        <v>2</v>
      </c>
    </row>
    <row r="72" spans="3:7" x14ac:dyDescent="0.25">
      <c r="C72" s="2" t="s">
        <v>143</v>
      </c>
      <c r="D72">
        <v>2</v>
      </c>
      <c r="F72" s="2" t="s">
        <v>718</v>
      </c>
      <c r="G72">
        <v>2</v>
      </c>
    </row>
    <row r="73" spans="3:7" x14ac:dyDescent="0.25">
      <c r="C73" s="2" t="s">
        <v>321</v>
      </c>
      <c r="D73">
        <v>2</v>
      </c>
      <c r="F73" s="2" t="s">
        <v>75</v>
      </c>
      <c r="G73">
        <v>2</v>
      </c>
    </row>
    <row r="74" spans="3:7" x14ac:dyDescent="0.25">
      <c r="C74" s="2" t="s">
        <v>33</v>
      </c>
      <c r="D74">
        <v>2</v>
      </c>
      <c r="F74" s="2" t="s">
        <v>110</v>
      </c>
      <c r="G74">
        <v>2</v>
      </c>
    </row>
    <row r="75" spans="3:7" x14ac:dyDescent="0.25">
      <c r="C75" s="2" t="s">
        <v>107</v>
      </c>
      <c r="D75">
        <v>2</v>
      </c>
      <c r="F75" s="2" t="s">
        <v>3606</v>
      </c>
      <c r="G75">
        <v>2</v>
      </c>
    </row>
    <row r="76" spans="3:7" x14ac:dyDescent="0.25">
      <c r="C76" s="2" t="s">
        <v>210</v>
      </c>
      <c r="D76">
        <v>2</v>
      </c>
      <c r="F76" s="2" t="s">
        <v>946</v>
      </c>
      <c r="G76">
        <v>2</v>
      </c>
    </row>
    <row r="77" spans="3:7" x14ac:dyDescent="0.25">
      <c r="C77" s="2" t="s">
        <v>3751</v>
      </c>
      <c r="D77">
        <v>2</v>
      </c>
      <c r="F77" s="2" t="s">
        <v>79</v>
      </c>
      <c r="G77">
        <v>2</v>
      </c>
    </row>
    <row r="78" spans="3:7" x14ac:dyDescent="0.25">
      <c r="C78" s="2" t="s">
        <v>42</v>
      </c>
      <c r="D78">
        <v>2</v>
      </c>
      <c r="F78" s="2" t="s">
        <v>96</v>
      </c>
      <c r="G78">
        <v>2</v>
      </c>
    </row>
    <row r="79" spans="3:7" x14ac:dyDescent="0.25">
      <c r="C79" s="2" t="s">
        <v>295</v>
      </c>
      <c r="D79">
        <v>2</v>
      </c>
      <c r="F79" s="2" t="s">
        <v>77</v>
      </c>
      <c r="G79">
        <v>2</v>
      </c>
    </row>
    <row r="80" spans="3:7" x14ac:dyDescent="0.25">
      <c r="C80" s="2" t="s">
        <v>78</v>
      </c>
      <c r="D80">
        <v>2</v>
      </c>
      <c r="F80" s="2" t="s">
        <v>102</v>
      </c>
      <c r="G80">
        <v>2</v>
      </c>
    </row>
    <row r="81" spans="3:7" x14ac:dyDescent="0.25">
      <c r="C81" s="2" t="s">
        <v>251</v>
      </c>
      <c r="D81">
        <v>2</v>
      </c>
      <c r="F81" s="2" t="s">
        <v>215</v>
      </c>
      <c r="G81">
        <v>2</v>
      </c>
    </row>
    <row r="82" spans="3:7" x14ac:dyDescent="0.25">
      <c r="C82" s="2" t="s">
        <v>91</v>
      </c>
      <c r="D82">
        <v>2</v>
      </c>
      <c r="F82" s="2" t="s">
        <v>116</v>
      </c>
      <c r="G82">
        <v>2</v>
      </c>
    </row>
    <row r="83" spans="3:7" x14ac:dyDescent="0.25">
      <c r="C83" s="2" t="s">
        <v>185</v>
      </c>
      <c r="D83">
        <v>2</v>
      </c>
      <c r="F83" s="2" t="s">
        <v>108</v>
      </c>
      <c r="G83">
        <v>2</v>
      </c>
    </row>
    <row r="84" spans="3:7" x14ac:dyDescent="0.25">
      <c r="C84" s="2" t="s">
        <v>60</v>
      </c>
      <c r="D84">
        <v>2</v>
      </c>
      <c r="F84" s="2" t="s">
        <v>3530</v>
      </c>
      <c r="G84">
        <v>2</v>
      </c>
    </row>
    <row r="85" spans="3:7" x14ac:dyDescent="0.25">
      <c r="C85" s="2" t="s">
        <v>115</v>
      </c>
      <c r="D85">
        <v>2</v>
      </c>
      <c r="F85" s="2" t="s">
        <v>3616</v>
      </c>
      <c r="G85">
        <v>2</v>
      </c>
    </row>
    <row r="86" spans="3:7" x14ac:dyDescent="0.25">
      <c r="C86" s="2" t="s">
        <v>127</v>
      </c>
      <c r="D86">
        <v>2</v>
      </c>
      <c r="F86" s="2" t="s">
        <v>83</v>
      </c>
      <c r="G86">
        <v>2</v>
      </c>
    </row>
    <row r="87" spans="3:7" x14ac:dyDescent="0.25">
      <c r="C87" s="2" t="s">
        <v>3639</v>
      </c>
      <c r="D87">
        <v>2</v>
      </c>
      <c r="F87" s="2" t="s">
        <v>3482</v>
      </c>
      <c r="G87">
        <v>2</v>
      </c>
    </row>
    <row r="88" spans="3:7" x14ac:dyDescent="0.25">
      <c r="C88" s="2" t="s">
        <v>45</v>
      </c>
      <c r="D88">
        <v>2</v>
      </c>
      <c r="F88" s="2" t="s">
        <v>468</v>
      </c>
      <c r="G88">
        <v>2</v>
      </c>
    </row>
    <row r="89" spans="3:7" x14ac:dyDescent="0.25">
      <c r="C89" s="2" t="s">
        <v>117</v>
      </c>
      <c r="D89">
        <v>2</v>
      </c>
      <c r="F89" s="2" t="s">
        <v>217</v>
      </c>
      <c r="G89">
        <v>2</v>
      </c>
    </row>
    <row r="90" spans="3:7" x14ac:dyDescent="0.25">
      <c r="C90" s="2" t="s">
        <v>216</v>
      </c>
      <c r="D90">
        <v>2</v>
      </c>
      <c r="F90" s="2" t="s">
        <v>207</v>
      </c>
      <c r="G90">
        <v>2</v>
      </c>
    </row>
    <row r="91" spans="3:7" x14ac:dyDescent="0.25">
      <c r="C91" s="2" t="s">
        <v>39</v>
      </c>
      <c r="D91">
        <v>2</v>
      </c>
      <c r="F91" s="2" t="s">
        <v>92</v>
      </c>
      <c r="G91">
        <v>2</v>
      </c>
    </row>
    <row r="92" spans="3:7" x14ac:dyDescent="0.25">
      <c r="C92" s="2" t="s">
        <v>68</v>
      </c>
      <c r="D92">
        <v>2</v>
      </c>
      <c r="F92" s="2" t="s">
        <v>221</v>
      </c>
      <c r="G92">
        <v>2</v>
      </c>
    </row>
    <row r="93" spans="3:7" x14ac:dyDescent="0.25">
      <c r="C93" s="2" t="s">
        <v>290</v>
      </c>
      <c r="D93">
        <v>2</v>
      </c>
      <c r="F93" s="2" t="s">
        <v>3488</v>
      </c>
      <c r="G93">
        <v>2</v>
      </c>
    </row>
    <row r="94" spans="3:7" x14ac:dyDescent="0.25">
      <c r="C94" s="2" t="s">
        <v>101</v>
      </c>
      <c r="D94">
        <v>2</v>
      </c>
      <c r="F94" s="2" t="s">
        <v>559</v>
      </c>
      <c r="G94">
        <v>2</v>
      </c>
    </row>
    <row r="95" spans="3:7" x14ac:dyDescent="0.25">
      <c r="C95" s="2" t="s">
        <v>36</v>
      </c>
      <c r="D95">
        <v>2</v>
      </c>
      <c r="F95" s="2" t="s">
        <v>104</v>
      </c>
      <c r="G95">
        <v>2</v>
      </c>
    </row>
    <row r="96" spans="3:7" x14ac:dyDescent="0.25">
      <c r="C96" s="2" t="s">
        <v>3644</v>
      </c>
      <c r="D96">
        <v>2</v>
      </c>
      <c r="F96" s="2" t="s">
        <v>180</v>
      </c>
      <c r="G96">
        <v>2</v>
      </c>
    </row>
    <row r="97" spans="3:7" x14ac:dyDescent="0.25">
      <c r="C97" s="2" t="s">
        <v>70</v>
      </c>
      <c r="D97">
        <v>2</v>
      </c>
      <c r="F97" s="2" t="s">
        <v>3638</v>
      </c>
      <c r="G97">
        <v>2</v>
      </c>
    </row>
    <row r="98" spans="3:7" x14ac:dyDescent="0.25">
      <c r="C98" s="2" t="s">
        <v>82</v>
      </c>
      <c r="D98">
        <v>2</v>
      </c>
      <c r="F98" s="2" t="s">
        <v>231</v>
      </c>
      <c r="G98">
        <v>2</v>
      </c>
    </row>
    <row r="99" spans="3:7" x14ac:dyDescent="0.25">
      <c r="C99" s="2" t="s">
        <v>125</v>
      </c>
      <c r="D99">
        <v>2</v>
      </c>
      <c r="F99" s="2" t="s">
        <v>266</v>
      </c>
      <c r="G99">
        <v>2</v>
      </c>
    </row>
    <row r="100" spans="3:7" x14ac:dyDescent="0.25">
      <c r="C100" s="2" t="s">
        <v>72</v>
      </c>
      <c r="D100">
        <v>2</v>
      </c>
      <c r="F100" s="2" t="s">
        <v>73</v>
      </c>
      <c r="G100">
        <v>2</v>
      </c>
    </row>
    <row r="101" spans="3:7" x14ac:dyDescent="0.25">
      <c r="C101" s="2" t="s">
        <v>196</v>
      </c>
      <c r="D101">
        <v>2</v>
      </c>
      <c r="F101" s="2" t="s">
        <v>3543</v>
      </c>
      <c r="G101">
        <v>2</v>
      </c>
    </row>
    <row r="102" spans="3:7" x14ac:dyDescent="0.25">
      <c r="C102" s="2" t="s">
        <v>3648</v>
      </c>
      <c r="D102">
        <v>2</v>
      </c>
      <c r="F102" s="2" t="s">
        <v>69</v>
      </c>
      <c r="G102">
        <v>2</v>
      </c>
    </row>
    <row r="103" spans="3:7" x14ac:dyDescent="0.25">
      <c r="C103" s="2" t="s">
        <v>279</v>
      </c>
      <c r="D103">
        <v>2</v>
      </c>
      <c r="F103" s="2" t="s">
        <v>201</v>
      </c>
      <c r="G103">
        <v>1</v>
      </c>
    </row>
    <row r="104" spans="3:7" x14ac:dyDescent="0.25">
      <c r="C104" s="2" t="s">
        <v>48</v>
      </c>
      <c r="D104">
        <v>2</v>
      </c>
      <c r="F104" s="2" t="s">
        <v>941</v>
      </c>
      <c r="G104">
        <v>1</v>
      </c>
    </row>
    <row r="105" spans="3:7" x14ac:dyDescent="0.25">
      <c r="C105" s="2" t="s">
        <v>282</v>
      </c>
      <c r="D105">
        <v>2</v>
      </c>
      <c r="F105" s="2" t="s">
        <v>192</v>
      </c>
      <c r="G105">
        <v>1</v>
      </c>
    </row>
    <row r="106" spans="3:7" x14ac:dyDescent="0.25">
      <c r="C106" s="2" t="s">
        <v>226</v>
      </c>
      <c r="D106">
        <v>2</v>
      </c>
      <c r="F106" s="2" t="s">
        <v>140</v>
      </c>
      <c r="G106">
        <v>1</v>
      </c>
    </row>
    <row r="107" spans="3:7" x14ac:dyDescent="0.25">
      <c r="C107" s="2" t="s">
        <v>286</v>
      </c>
      <c r="D107">
        <v>2</v>
      </c>
      <c r="F107" s="2" t="s">
        <v>132</v>
      </c>
      <c r="G107">
        <v>1</v>
      </c>
    </row>
    <row r="108" spans="3:7" x14ac:dyDescent="0.25">
      <c r="C108" s="2" t="s">
        <v>177</v>
      </c>
      <c r="D108">
        <v>2</v>
      </c>
      <c r="F108" s="2" t="s">
        <v>3490</v>
      </c>
      <c r="G108">
        <v>1</v>
      </c>
    </row>
    <row r="109" spans="3:7" x14ac:dyDescent="0.25">
      <c r="C109" s="2" t="s">
        <v>3664</v>
      </c>
      <c r="D109">
        <v>2</v>
      </c>
      <c r="F109" s="2" t="s">
        <v>236</v>
      </c>
      <c r="G109">
        <v>1</v>
      </c>
    </row>
    <row r="110" spans="3:7" x14ac:dyDescent="0.25">
      <c r="C110" s="2" t="s">
        <v>339</v>
      </c>
      <c r="D110">
        <v>2</v>
      </c>
      <c r="F110" s="2" t="s">
        <v>1313</v>
      </c>
      <c r="G110">
        <v>1</v>
      </c>
    </row>
    <row r="111" spans="3:7" x14ac:dyDescent="0.25">
      <c r="C111" s="2" t="s">
        <v>141</v>
      </c>
      <c r="D111">
        <v>2</v>
      </c>
      <c r="F111" s="2" t="s">
        <v>232</v>
      </c>
      <c r="G111">
        <v>1</v>
      </c>
    </row>
    <row r="112" spans="3:7" x14ac:dyDescent="0.25">
      <c r="C112" s="2" t="s">
        <v>3817</v>
      </c>
      <c r="D112">
        <v>2</v>
      </c>
      <c r="F112" s="2" t="s">
        <v>190</v>
      </c>
      <c r="G112">
        <v>1</v>
      </c>
    </row>
    <row r="113" spans="3:7" x14ac:dyDescent="0.25">
      <c r="C113" s="2" t="s">
        <v>288</v>
      </c>
      <c r="D113">
        <v>2</v>
      </c>
      <c r="F113" s="2" t="s">
        <v>252</v>
      </c>
      <c r="G113">
        <v>1</v>
      </c>
    </row>
    <row r="114" spans="3:7" x14ac:dyDescent="0.25">
      <c r="C114" s="2" t="s">
        <v>3821</v>
      </c>
      <c r="D114">
        <v>2</v>
      </c>
      <c r="F114" s="2" t="s">
        <v>1299</v>
      </c>
      <c r="G114">
        <v>1</v>
      </c>
    </row>
    <row r="115" spans="3:7" x14ac:dyDescent="0.25">
      <c r="C115" s="2" t="s">
        <v>228</v>
      </c>
      <c r="D115">
        <v>2</v>
      </c>
      <c r="F115" s="2" t="s">
        <v>276</v>
      </c>
      <c r="G115">
        <v>1</v>
      </c>
    </row>
    <row r="116" spans="3:7" x14ac:dyDescent="0.25">
      <c r="C116" s="2" t="s">
        <v>95</v>
      </c>
      <c r="D116">
        <v>2</v>
      </c>
      <c r="F116" s="2" t="s">
        <v>148</v>
      </c>
      <c r="G116">
        <v>1</v>
      </c>
    </row>
    <row r="117" spans="3:7" x14ac:dyDescent="0.25">
      <c r="C117" s="2" t="s">
        <v>74</v>
      </c>
      <c r="D117">
        <v>2</v>
      </c>
      <c r="F117" s="2" t="s">
        <v>205</v>
      </c>
      <c r="G117">
        <v>1</v>
      </c>
    </row>
    <row r="118" spans="3:7" x14ac:dyDescent="0.25">
      <c r="C118" s="2" t="s">
        <v>273</v>
      </c>
      <c r="D118">
        <v>2</v>
      </c>
      <c r="F118" s="2" t="s">
        <v>152</v>
      </c>
      <c r="G118">
        <v>1</v>
      </c>
    </row>
    <row r="119" spans="3:7" x14ac:dyDescent="0.25">
      <c r="C119" s="2" t="s">
        <v>88</v>
      </c>
      <c r="D119">
        <v>2</v>
      </c>
      <c r="F119" s="2" t="s">
        <v>264</v>
      </c>
      <c r="G119">
        <v>1</v>
      </c>
    </row>
    <row r="120" spans="3:7" x14ac:dyDescent="0.25">
      <c r="C120" s="2" t="s">
        <v>329</v>
      </c>
      <c r="D120">
        <v>2</v>
      </c>
      <c r="F120" s="2" t="s">
        <v>3785</v>
      </c>
      <c r="G120">
        <v>1</v>
      </c>
    </row>
    <row r="121" spans="3:7" x14ac:dyDescent="0.25">
      <c r="C121" s="2" t="s">
        <v>336</v>
      </c>
      <c r="D121">
        <v>2</v>
      </c>
      <c r="F121" s="2" t="s">
        <v>170</v>
      </c>
      <c r="G121">
        <v>1</v>
      </c>
    </row>
    <row r="122" spans="3:7" x14ac:dyDescent="0.25">
      <c r="C122" s="2" t="s">
        <v>287</v>
      </c>
      <c r="D122">
        <v>1</v>
      </c>
      <c r="F122" s="2" t="s">
        <v>156</v>
      </c>
      <c r="G122">
        <v>1</v>
      </c>
    </row>
    <row r="123" spans="3:7" x14ac:dyDescent="0.25">
      <c r="C123" s="2" t="s">
        <v>137</v>
      </c>
      <c r="D123">
        <v>1</v>
      </c>
      <c r="F123" s="2" t="s">
        <v>118</v>
      </c>
      <c r="G123">
        <v>1</v>
      </c>
    </row>
    <row r="124" spans="3:7" x14ac:dyDescent="0.25">
      <c r="C124" s="2" t="s">
        <v>175</v>
      </c>
      <c r="D124">
        <v>1</v>
      </c>
      <c r="F124" s="2" t="s">
        <v>160</v>
      </c>
      <c r="G124">
        <v>1</v>
      </c>
    </row>
    <row r="125" spans="3:7" x14ac:dyDescent="0.25">
      <c r="C125" s="2" t="s">
        <v>191</v>
      </c>
      <c r="D125">
        <v>1</v>
      </c>
      <c r="F125" s="2" t="s">
        <v>248</v>
      </c>
      <c r="G125">
        <v>1</v>
      </c>
    </row>
    <row r="126" spans="3:7" x14ac:dyDescent="0.25">
      <c r="C126" s="2" t="s">
        <v>304</v>
      </c>
      <c r="D126">
        <v>1</v>
      </c>
      <c r="F126" s="2" t="s">
        <v>164</v>
      </c>
      <c r="G126">
        <v>1</v>
      </c>
    </row>
    <row r="127" spans="3:7" x14ac:dyDescent="0.25">
      <c r="C127" s="2" t="s">
        <v>194</v>
      </c>
      <c r="D127">
        <v>1</v>
      </c>
      <c r="F127" s="2" t="s">
        <v>124</v>
      </c>
      <c r="G127">
        <v>1</v>
      </c>
    </row>
    <row r="128" spans="3:7" x14ac:dyDescent="0.25">
      <c r="C128" s="2" t="s">
        <v>326</v>
      </c>
      <c r="D128">
        <v>1</v>
      </c>
      <c r="F128" s="2" t="s">
        <v>787</v>
      </c>
      <c r="G128">
        <v>1</v>
      </c>
    </row>
    <row r="129" spans="3:7" x14ac:dyDescent="0.25">
      <c r="C129" s="2" t="s">
        <v>198</v>
      </c>
      <c r="D129">
        <v>1</v>
      </c>
      <c r="F129" s="2" t="s">
        <v>3731</v>
      </c>
      <c r="G129">
        <v>1</v>
      </c>
    </row>
    <row r="130" spans="3:7" x14ac:dyDescent="0.25">
      <c r="C130" s="2" t="s">
        <v>3675</v>
      </c>
      <c r="D130">
        <v>1</v>
      </c>
      <c r="F130" s="2" t="s">
        <v>709</v>
      </c>
      <c r="G130">
        <v>1</v>
      </c>
    </row>
    <row r="131" spans="3:7" x14ac:dyDescent="0.25">
      <c r="C131" s="2" t="s">
        <v>3762</v>
      </c>
      <c r="D131">
        <v>1</v>
      </c>
      <c r="F131" s="2" t="s">
        <v>197</v>
      </c>
      <c r="G131">
        <v>1</v>
      </c>
    </row>
    <row r="132" spans="3:7" x14ac:dyDescent="0.25">
      <c r="C132" s="2" t="s">
        <v>165</v>
      </c>
      <c r="D132">
        <v>1</v>
      </c>
      <c r="F132" s="2" t="s">
        <v>1302</v>
      </c>
      <c r="G132">
        <v>1</v>
      </c>
    </row>
    <row r="133" spans="3:7" x14ac:dyDescent="0.25">
      <c r="C133" s="2" t="s">
        <v>3756</v>
      </c>
      <c r="D133">
        <v>1</v>
      </c>
      <c r="F133" s="2" t="s">
        <v>268</v>
      </c>
      <c r="G133">
        <v>1</v>
      </c>
    </row>
    <row r="134" spans="3:7" x14ac:dyDescent="0.25">
      <c r="C134" s="2" t="s">
        <v>224</v>
      </c>
      <c r="D134">
        <v>1</v>
      </c>
      <c r="F134" s="2" t="s">
        <v>3839</v>
      </c>
      <c r="G134">
        <v>1</v>
      </c>
    </row>
    <row r="135" spans="3:7" x14ac:dyDescent="0.25">
      <c r="C135" s="2" t="s">
        <v>206</v>
      </c>
      <c r="D135">
        <v>1</v>
      </c>
      <c r="F135" s="2" t="s">
        <v>229</v>
      </c>
      <c r="G135">
        <v>1</v>
      </c>
    </row>
    <row r="136" spans="3:7" x14ac:dyDescent="0.25">
      <c r="C136" s="2" t="s">
        <v>218</v>
      </c>
      <c r="D136">
        <v>1</v>
      </c>
      <c r="F136" s="2" t="s">
        <v>278</v>
      </c>
      <c r="G136">
        <v>1</v>
      </c>
    </row>
    <row r="137" spans="3:7" x14ac:dyDescent="0.25">
      <c r="C137" s="2" t="s">
        <v>3758</v>
      </c>
      <c r="D137">
        <v>1</v>
      </c>
      <c r="F137" s="2" t="s">
        <v>3804</v>
      </c>
      <c r="G137">
        <v>1</v>
      </c>
    </row>
    <row r="138" spans="3:7" x14ac:dyDescent="0.25">
      <c r="C138" s="2" t="s">
        <v>163</v>
      </c>
      <c r="D138">
        <v>1</v>
      </c>
      <c r="F138" s="2" t="s">
        <v>1311</v>
      </c>
      <c r="G138">
        <v>1</v>
      </c>
    </row>
    <row r="139" spans="3:7" x14ac:dyDescent="0.25">
      <c r="C139" s="2" t="s">
        <v>3645</v>
      </c>
      <c r="D139">
        <v>1</v>
      </c>
      <c r="F139" s="2" t="s">
        <v>176</v>
      </c>
      <c r="G139">
        <v>1</v>
      </c>
    </row>
    <row r="140" spans="3:7" x14ac:dyDescent="0.25">
      <c r="C140" s="2" t="s">
        <v>3643</v>
      </c>
      <c r="D140">
        <v>1</v>
      </c>
      <c r="F140" s="2" t="s">
        <v>186</v>
      </c>
      <c r="G140">
        <v>1</v>
      </c>
    </row>
    <row r="141" spans="3:7" x14ac:dyDescent="0.25">
      <c r="C141" s="2" t="s">
        <v>265</v>
      </c>
      <c r="D141">
        <v>1</v>
      </c>
      <c r="F141" s="2" t="s">
        <v>126</v>
      </c>
      <c r="G141">
        <v>1</v>
      </c>
    </row>
    <row r="142" spans="3:7" x14ac:dyDescent="0.25">
      <c r="C142" s="2" t="s">
        <v>3811</v>
      </c>
      <c r="D142">
        <v>1</v>
      </c>
      <c r="F142" s="2" t="s">
        <v>796</v>
      </c>
      <c r="G142">
        <v>1</v>
      </c>
    </row>
    <row r="143" spans="3:7" x14ac:dyDescent="0.25">
      <c r="C143" s="2" t="s">
        <v>3647</v>
      </c>
      <c r="D143">
        <v>1</v>
      </c>
      <c r="F143" s="2" t="s">
        <v>3703</v>
      </c>
      <c r="G143">
        <v>1</v>
      </c>
    </row>
    <row r="144" spans="3:7" x14ac:dyDescent="0.25">
      <c r="C144" s="2" t="s">
        <v>208</v>
      </c>
      <c r="D144">
        <v>1</v>
      </c>
      <c r="F144" s="2" t="s">
        <v>3477</v>
      </c>
      <c r="G144">
        <v>1</v>
      </c>
    </row>
    <row r="145" spans="3:7" x14ac:dyDescent="0.25">
      <c r="C145" s="2" t="s">
        <v>3646</v>
      </c>
      <c r="D145">
        <v>1</v>
      </c>
      <c r="F145" s="2" t="s">
        <v>272</v>
      </c>
      <c r="G145">
        <v>1</v>
      </c>
    </row>
    <row r="146" spans="3:7" x14ac:dyDescent="0.25">
      <c r="C146" s="2" t="s">
        <v>212</v>
      </c>
      <c r="D146">
        <v>1</v>
      </c>
      <c r="F146" s="2" t="s">
        <v>280</v>
      </c>
      <c r="G146">
        <v>1</v>
      </c>
    </row>
    <row r="147" spans="3:7" x14ac:dyDescent="0.25">
      <c r="C147" s="2" t="s">
        <v>214</v>
      </c>
      <c r="D147">
        <v>1</v>
      </c>
      <c r="F147" s="2" t="s">
        <v>3484</v>
      </c>
      <c r="G147">
        <v>1</v>
      </c>
    </row>
    <row r="148" spans="3:7" x14ac:dyDescent="0.25">
      <c r="C148" s="2" t="s">
        <v>306</v>
      </c>
      <c r="D148">
        <v>1</v>
      </c>
      <c r="F148" s="2" t="s">
        <v>514</v>
      </c>
      <c r="G148">
        <v>1</v>
      </c>
    </row>
    <row r="149" spans="3:7" x14ac:dyDescent="0.25">
      <c r="C149" s="2" t="s">
        <v>3764</v>
      </c>
      <c r="D149">
        <v>1</v>
      </c>
      <c r="F149" s="2" t="s">
        <v>162</v>
      </c>
      <c r="G149">
        <v>1</v>
      </c>
    </row>
    <row r="150" spans="3:7" x14ac:dyDescent="0.25">
      <c r="C150" s="2" t="s">
        <v>312</v>
      </c>
      <c r="D150">
        <v>1</v>
      </c>
      <c r="F150" s="2" t="s">
        <v>1270</v>
      </c>
      <c r="G150">
        <v>1</v>
      </c>
    </row>
    <row r="151" spans="3:7" x14ac:dyDescent="0.25">
      <c r="C151" s="2" t="s">
        <v>237</v>
      </c>
      <c r="D151">
        <v>1</v>
      </c>
      <c r="F151" s="2" t="s">
        <v>3721</v>
      </c>
      <c r="G151">
        <v>1</v>
      </c>
    </row>
    <row r="152" spans="3:7" x14ac:dyDescent="0.25">
      <c r="C152" s="2" t="s">
        <v>3759</v>
      </c>
      <c r="D152">
        <v>1</v>
      </c>
      <c r="F152" s="2" t="s">
        <v>219</v>
      </c>
      <c r="G152">
        <v>1</v>
      </c>
    </row>
    <row r="153" spans="3:7" x14ac:dyDescent="0.25">
      <c r="C153" s="2" t="s">
        <v>222</v>
      </c>
      <c r="D153">
        <v>1</v>
      </c>
      <c r="F153" s="2" t="s">
        <v>256</v>
      </c>
      <c r="G153">
        <v>1</v>
      </c>
    </row>
    <row r="154" spans="3:7" x14ac:dyDescent="0.25">
      <c r="C154" s="2" t="s">
        <v>3678</v>
      </c>
      <c r="D154">
        <v>1</v>
      </c>
      <c r="F154" s="2" t="s">
        <v>195</v>
      </c>
      <c r="G154">
        <v>1</v>
      </c>
    </row>
    <row r="155" spans="3:7" x14ac:dyDescent="0.25">
      <c r="C155" s="2" t="s">
        <v>3653</v>
      </c>
      <c r="D155">
        <v>1</v>
      </c>
      <c r="F155" s="2" t="s">
        <v>128</v>
      </c>
      <c r="G155">
        <v>1</v>
      </c>
    </row>
    <row r="156" spans="3:7" x14ac:dyDescent="0.25">
      <c r="C156" s="2" t="s">
        <v>155</v>
      </c>
      <c r="D156">
        <v>1</v>
      </c>
      <c r="F156" s="2" t="s">
        <v>250</v>
      </c>
      <c r="G156">
        <v>1</v>
      </c>
    </row>
    <row r="157" spans="3:7" x14ac:dyDescent="0.25">
      <c r="C157" s="2" t="s">
        <v>4534</v>
      </c>
      <c r="D157">
        <v>1</v>
      </c>
      <c r="F157" s="2" t="s">
        <v>136</v>
      </c>
      <c r="G157">
        <v>1</v>
      </c>
    </row>
    <row r="158" spans="3:7" x14ac:dyDescent="0.25">
      <c r="C158" s="2" t="s">
        <v>3820</v>
      </c>
      <c r="D158">
        <v>1</v>
      </c>
      <c r="F158" s="2" t="s">
        <v>3792</v>
      </c>
      <c r="G158">
        <v>1</v>
      </c>
    </row>
    <row r="159" spans="3:7" x14ac:dyDescent="0.25">
      <c r="C159" s="2" t="s">
        <v>230</v>
      </c>
      <c r="D159">
        <v>1</v>
      </c>
      <c r="F159" s="2" t="s">
        <v>3799</v>
      </c>
      <c r="G159">
        <v>1</v>
      </c>
    </row>
    <row r="160" spans="3:7" x14ac:dyDescent="0.25">
      <c r="C160" s="2" t="s">
        <v>179</v>
      </c>
      <c r="D160">
        <v>1</v>
      </c>
      <c r="F160" s="2" t="s">
        <v>168</v>
      </c>
      <c r="G160">
        <v>1</v>
      </c>
    </row>
    <row r="161" spans="3:7" x14ac:dyDescent="0.25">
      <c r="C161" s="2" t="s">
        <v>3654</v>
      </c>
      <c r="D161">
        <v>1</v>
      </c>
      <c r="F161" s="2" t="s">
        <v>154</v>
      </c>
      <c r="G161">
        <v>1</v>
      </c>
    </row>
    <row r="162" spans="3:7" x14ac:dyDescent="0.25">
      <c r="C162" s="2" t="s">
        <v>277</v>
      </c>
      <c r="D162">
        <v>1</v>
      </c>
      <c r="F162" s="2" t="s">
        <v>3727</v>
      </c>
      <c r="G162">
        <v>1</v>
      </c>
    </row>
    <row r="163" spans="3:7" x14ac:dyDescent="0.25">
      <c r="C163" s="2" t="s">
        <v>3656</v>
      </c>
      <c r="D163">
        <v>1</v>
      </c>
      <c r="F163" s="2" t="s">
        <v>134</v>
      </c>
      <c r="G163">
        <v>1</v>
      </c>
    </row>
    <row r="164" spans="3:7" x14ac:dyDescent="0.25">
      <c r="C164" s="2" t="s">
        <v>3830</v>
      </c>
      <c r="D164">
        <v>1</v>
      </c>
      <c r="F164" s="2" t="s">
        <v>211</v>
      </c>
      <c r="G164">
        <v>1</v>
      </c>
    </row>
    <row r="165" spans="3:7" x14ac:dyDescent="0.25">
      <c r="C165" s="2" t="s">
        <v>298</v>
      </c>
      <c r="D165">
        <v>1</v>
      </c>
      <c r="F165" s="2" t="s">
        <v>158</v>
      </c>
      <c r="G165">
        <v>1</v>
      </c>
    </row>
    <row r="166" spans="3:7" x14ac:dyDescent="0.25">
      <c r="C166" s="2" t="s">
        <v>200</v>
      </c>
      <c r="D166">
        <v>1</v>
      </c>
      <c r="F166" s="2" t="s">
        <v>193</v>
      </c>
      <c r="G166">
        <v>1</v>
      </c>
    </row>
    <row r="167" spans="3:7" x14ac:dyDescent="0.25">
      <c r="C167" s="2" t="s">
        <v>3829</v>
      </c>
      <c r="D167">
        <v>1</v>
      </c>
      <c r="F167" s="2" t="s">
        <v>184</v>
      </c>
      <c r="G167">
        <v>1</v>
      </c>
    </row>
    <row r="168" spans="3:7" x14ac:dyDescent="0.25">
      <c r="C168" s="2" t="s">
        <v>4533</v>
      </c>
      <c r="D168">
        <v>1</v>
      </c>
      <c r="F168" s="2" t="s">
        <v>3634</v>
      </c>
      <c r="G168">
        <v>1</v>
      </c>
    </row>
    <row r="169" spans="3:7" x14ac:dyDescent="0.25">
      <c r="C169" s="2" t="s">
        <v>320</v>
      </c>
      <c r="D169">
        <v>1</v>
      </c>
      <c r="F169" s="2" t="s">
        <v>3610</v>
      </c>
      <c r="G169">
        <v>1</v>
      </c>
    </row>
    <row r="170" spans="3:7" x14ac:dyDescent="0.25">
      <c r="C170" s="2" t="s">
        <v>3668</v>
      </c>
      <c r="D170">
        <v>1</v>
      </c>
      <c r="F170" s="2" t="s">
        <v>238</v>
      </c>
      <c r="G170">
        <v>1</v>
      </c>
    </row>
    <row r="171" spans="3:7" x14ac:dyDescent="0.25">
      <c r="C171" s="2" t="s">
        <v>249</v>
      </c>
      <c r="D171">
        <v>1</v>
      </c>
      <c r="F171" s="2" t="s">
        <v>3748</v>
      </c>
      <c r="G171">
        <v>1</v>
      </c>
    </row>
    <row r="172" spans="3:7" x14ac:dyDescent="0.25">
      <c r="C172" s="2" t="s">
        <v>294</v>
      </c>
      <c r="D172">
        <v>1</v>
      </c>
      <c r="F172" s="2" t="s">
        <v>650</v>
      </c>
      <c r="G172">
        <v>1</v>
      </c>
    </row>
    <row r="173" spans="3:7" x14ac:dyDescent="0.25">
      <c r="C173" s="2" t="s">
        <v>257</v>
      </c>
      <c r="D173">
        <v>1</v>
      </c>
      <c r="F173" s="2" t="s">
        <v>539</v>
      </c>
      <c r="G173">
        <v>1</v>
      </c>
    </row>
    <row r="174" spans="3:7" x14ac:dyDescent="0.25">
      <c r="C174" s="2" t="s">
        <v>300</v>
      </c>
      <c r="D174">
        <v>1</v>
      </c>
      <c r="F174" s="2" t="s">
        <v>1272</v>
      </c>
      <c r="G174">
        <v>1</v>
      </c>
    </row>
    <row r="175" spans="3:7" x14ac:dyDescent="0.25">
      <c r="C175" s="2" t="s">
        <v>261</v>
      </c>
      <c r="D175">
        <v>1</v>
      </c>
      <c r="F175" s="2" t="s">
        <v>146</v>
      </c>
      <c r="G175">
        <v>1</v>
      </c>
    </row>
    <row r="176" spans="3:7" x14ac:dyDescent="0.25">
      <c r="C176" s="2" t="s">
        <v>310</v>
      </c>
      <c r="D176">
        <v>1</v>
      </c>
      <c r="F176" s="2" t="s">
        <v>227</v>
      </c>
      <c r="G176">
        <v>1</v>
      </c>
    </row>
    <row r="177" spans="3:7" x14ac:dyDescent="0.25">
      <c r="C177" s="2" t="s">
        <v>3663</v>
      </c>
      <c r="D177">
        <v>1</v>
      </c>
      <c r="F177" s="2" t="s">
        <v>3738</v>
      </c>
      <c r="G177">
        <v>1</v>
      </c>
    </row>
    <row r="178" spans="3:7" x14ac:dyDescent="0.25">
      <c r="C178" s="2" t="s">
        <v>3670</v>
      </c>
      <c r="D178">
        <v>1</v>
      </c>
      <c r="F178" s="2" t="s">
        <v>3628</v>
      </c>
      <c r="G178">
        <v>1</v>
      </c>
    </row>
    <row r="179" spans="3:7" x14ac:dyDescent="0.25">
      <c r="C179" s="2" t="s">
        <v>159</v>
      </c>
      <c r="D179">
        <v>1</v>
      </c>
      <c r="F179" s="2" t="s">
        <v>203</v>
      </c>
      <c r="G179">
        <v>1</v>
      </c>
    </row>
    <row r="180" spans="3:7" x14ac:dyDescent="0.25">
      <c r="C180" s="2" t="s">
        <v>129</v>
      </c>
      <c r="D180">
        <v>1</v>
      </c>
      <c r="F180" s="2" t="s">
        <v>1286</v>
      </c>
      <c r="G180">
        <v>1</v>
      </c>
    </row>
    <row r="181" spans="3:7" x14ac:dyDescent="0.25">
      <c r="C181" s="2" t="s">
        <v>202</v>
      </c>
      <c r="D181">
        <v>1</v>
      </c>
      <c r="F181" s="2" t="s">
        <v>260</v>
      </c>
      <c r="G181">
        <v>1</v>
      </c>
    </row>
    <row r="182" spans="3:7" x14ac:dyDescent="0.25">
      <c r="C182" s="2" t="s">
        <v>3665</v>
      </c>
      <c r="D182">
        <v>1</v>
      </c>
      <c r="F182" s="2" t="s">
        <v>3750</v>
      </c>
      <c r="G182">
        <v>1</v>
      </c>
    </row>
    <row r="183" spans="3:7" x14ac:dyDescent="0.25">
      <c r="C183" s="2" t="s">
        <v>3669</v>
      </c>
      <c r="D183">
        <v>1</v>
      </c>
      <c r="F183" s="2" t="s">
        <v>225</v>
      </c>
      <c r="G183">
        <v>1</v>
      </c>
    </row>
    <row r="184" spans="3:7" x14ac:dyDescent="0.25">
      <c r="C184" s="2" t="s">
        <v>289</v>
      </c>
      <c r="D184">
        <v>1</v>
      </c>
      <c r="F184" s="2" t="s">
        <v>274</v>
      </c>
      <c r="G184">
        <v>1</v>
      </c>
    </row>
    <row r="185" spans="3:7" x14ac:dyDescent="0.25">
      <c r="C185" s="2" t="s">
        <v>334</v>
      </c>
      <c r="D185">
        <v>1</v>
      </c>
      <c r="F185" s="2" t="s">
        <v>166</v>
      </c>
      <c r="G185">
        <v>1</v>
      </c>
    </row>
    <row r="186" spans="3:7" x14ac:dyDescent="0.25">
      <c r="C186" s="2" t="s">
        <v>3657</v>
      </c>
      <c r="D186">
        <v>1</v>
      </c>
      <c r="F186" s="2" t="s">
        <v>242</v>
      </c>
      <c r="G186">
        <v>1</v>
      </c>
    </row>
    <row r="187" spans="3:7" x14ac:dyDescent="0.25">
      <c r="C187" s="2" t="s">
        <v>335</v>
      </c>
      <c r="D187">
        <v>1</v>
      </c>
      <c r="F187" s="2" t="s">
        <v>142</v>
      </c>
      <c r="G187">
        <v>1</v>
      </c>
    </row>
    <row r="188" spans="3:7" x14ac:dyDescent="0.25">
      <c r="C188" s="2" t="s">
        <v>4531</v>
      </c>
      <c r="D188">
        <v>1</v>
      </c>
      <c r="F188" s="2" t="s">
        <v>406</v>
      </c>
      <c r="G188">
        <v>1</v>
      </c>
    </row>
    <row r="189" spans="3:7" x14ac:dyDescent="0.25">
      <c r="C189" s="2" t="s">
        <v>3828</v>
      </c>
      <c r="D189">
        <v>1</v>
      </c>
      <c r="F189" s="2" t="s">
        <v>174</v>
      </c>
      <c r="G189">
        <v>1</v>
      </c>
    </row>
    <row r="190" spans="3:7" x14ac:dyDescent="0.25">
      <c r="C190" s="2" t="s">
        <v>324</v>
      </c>
      <c r="D190">
        <v>1</v>
      </c>
      <c r="F190" s="2" t="s">
        <v>120</v>
      </c>
      <c r="G190">
        <v>1</v>
      </c>
    </row>
    <row r="191" spans="3:7" x14ac:dyDescent="0.25">
      <c r="C191" s="2" t="s">
        <v>340</v>
      </c>
      <c r="D191">
        <v>1</v>
      </c>
      <c r="F191" s="2" t="s">
        <v>1319</v>
      </c>
      <c r="G191">
        <v>1</v>
      </c>
    </row>
    <row r="192" spans="3:7" x14ac:dyDescent="0.25">
      <c r="C192" s="2" t="s">
        <v>243</v>
      </c>
      <c r="D192">
        <v>1</v>
      </c>
      <c r="F192" s="2" t="s">
        <v>209</v>
      </c>
      <c r="G192">
        <v>1</v>
      </c>
    </row>
    <row r="193" spans="3:7" x14ac:dyDescent="0.25">
      <c r="C193" s="2" t="s">
        <v>3661</v>
      </c>
      <c r="D193">
        <v>1</v>
      </c>
      <c r="F193" s="2" t="s">
        <v>240</v>
      </c>
      <c r="G193">
        <v>1</v>
      </c>
    </row>
    <row r="194" spans="3:7" x14ac:dyDescent="0.25">
      <c r="C194" s="2" t="s">
        <v>3815</v>
      </c>
      <c r="D194">
        <v>1</v>
      </c>
      <c r="F194" s="2" t="s">
        <v>3687</v>
      </c>
      <c r="G194">
        <v>1</v>
      </c>
    </row>
    <row r="195" spans="3:7" x14ac:dyDescent="0.25">
      <c r="C195" s="2" t="s">
        <v>342</v>
      </c>
      <c r="D195">
        <v>1</v>
      </c>
      <c r="F195" s="2" t="s">
        <v>178</v>
      </c>
      <c r="G195">
        <v>1</v>
      </c>
    </row>
    <row r="196" spans="3:7" x14ac:dyDescent="0.25">
      <c r="C196" s="2" t="s">
        <v>3818</v>
      </c>
      <c r="D196">
        <v>1</v>
      </c>
      <c r="F196" s="2" t="s">
        <v>3806</v>
      </c>
      <c r="G196">
        <v>1</v>
      </c>
    </row>
    <row r="197" spans="3:7" x14ac:dyDescent="0.25">
      <c r="C197" s="2" t="s">
        <v>3662</v>
      </c>
      <c r="D197">
        <v>1</v>
      </c>
      <c r="F197" s="2" t="s">
        <v>244</v>
      </c>
      <c r="G197">
        <v>1</v>
      </c>
    </row>
    <row r="198" spans="3:7" x14ac:dyDescent="0.25">
      <c r="C198" s="2" t="s">
        <v>3822</v>
      </c>
      <c r="D198">
        <v>1</v>
      </c>
      <c r="F198" s="2" t="s">
        <v>122</v>
      </c>
      <c r="G198">
        <v>1</v>
      </c>
    </row>
    <row r="199" spans="3:7" x14ac:dyDescent="0.25">
      <c r="C199" s="2" t="s">
        <v>245</v>
      </c>
      <c r="D199">
        <v>1</v>
      </c>
      <c r="F199" s="2" t="s">
        <v>3707</v>
      </c>
      <c r="G199">
        <v>1</v>
      </c>
    </row>
    <row r="200" spans="3:7" x14ac:dyDescent="0.25">
      <c r="C200" s="2" t="s">
        <v>3836</v>
      </c>
      <c r="D200">
        <v>1</v>
      </c>
      <c r="F200" s="2" t="s">
        <v>254</v>
      </c>
      <c r="G200">
        <v>1</v>
      </c>
    </row>
    <row r="201" spans="3:7" x14ac:dyDescent="0.25">
      <c r="C201" s="2" t="s">
        <v>293</v>
      </c>
      <c r="D201">
        <v>1</v>
      </c>
      <c r="F201" s="2" t="s">
        <v>3709</v>
      </c>
      <c r="G201">
        <v>1</v>
      </c>
    </row>
    <row r="202" spans="3:7" x14ac:dyDescent="0.25">
      <c r="C202" s="2" t="s">
        <v>183</v>
      </c>
      <c r="D202">
        <v>1</v>
      </c>
      <c r="F202" s="2" t="s">
        <v>1267</v>
      </c>
      <c r="G202">
        <v>1</v>
      </c>
    </row>
    <row r="203" spans="3:7" x14ac:dyDescent="0.25">
      <c r="C203" s="2" t="s">
        <v>3674</v>
      </c>
      <c r="D203">
        <v>1</v>
      </c>
      <c r="F203" s="2" t="s">
        <v>182</v>
      </c>
      <c r="G203">
        <v>1</v>
      </c>
    </row>
    <row r="204" spans="3:7" x14ac:dyDescent="0.25">
      <c r="C204" s="2" t="s">
        <v>330</v>
      </c>
      <c r="D204">
        <v>1</v>
      </c>
      <c r="F204" s="2" t="s">
        <v>258</v>
      </c>
      <c r="G204">
        <v>1</v>
      </c>
    </row>
    <row r="205" spans="3:7" x14ac:dyDescent="0.25">
      <c r="C205" s="2" t="s">
        <v>4532</v>
      </c>
      <c r="D205">
        <v>1</v>
      </c>
      <c r="F205" s="2" t="s">
        <v>130</v>
      </c>
      <c r="G205">
        <v>1</v>
      </c>
    </row>
    <row r="206" spans="3:7" x14ac:dyDescent="0.25">
      <c r="C206" s="2" t="s">
        <v>333</v>
      </c>
      <c r="D206">
        <v>1</v>
      </c>
      <c r="F206" s="2" t="s">
        <v>262</v>
      </c>
      <c r="G206">
        <v>1</v>
      </c>
    </row>
    <row r="207" spans="3:7" x14ac:dyDescent="0.25">
      <c r="C207" s="2" t="s">
        <v>299</v>
      </c>
      <c r="D207">
        <v>1</v>
      </c>
      <c r="F207" s="2" t="s">
        <v>498</v>
      </c>
      <c r="G207">
        <v>1</v>
      </c>
    </row>
    <row r="208" spans="3:7" x14ac:dyDescent="0.25">
      <c r="C208" s="2" t="s">
        <v>187</v>
      </c>
      <c r="D208">
        <v>1</v>
      </c>
      <c r="F208" s="2" t="s">
        <v>3537</v>
      </c>
      <c r="G208">
        <v>1</v>
      </c>
    </row>
    <row r="209" spans="3:7" x14ac:dyDescent="0.25">
      <c r="C209" s="2" t="s">
        <v>253</v>
      </c>
      <c r="D209">
        <v>1</v>
      </c>
      <c r="F209" s="2" t="s">
        <v>3744</v>
      </c>
      <c r="G209">
        <v>1</v>
      </c>
    </row>
    <row r="210" spans="3:7" x14ac:dyDescent="0.25">
      <c r="C210" s="2" t="s">
        <v>157</v>
      </c>
      <c r="D210">
        <v>1</v>
      </c>
      <c r="F210" s="2" t="s">
        <v>213</v>
      </c>
      <c r="G210">
        <v>1</v>
      </c>
    </row>
    <row r="211" spans="3:7" x14ac:dyDescent="0.25">
      <c r="C211" s="2" t="s">
        <v>3768</v>
      </c>
      <c r="D211">
        <v>1</v>
      </c>
      <c r="F211" s="2" t="s">
        <v>3778</v>
      </c>
      <c r="G211">
        <v>1</v>
      </c>
    </row>
    <row r="212" spans="3:7" x14ac:dyDescent="0.25">
      <c r="C212" s="2" t="s">
        <v>3672</v>
      </c>
      <c r="D212">
        <v>1</v>
      </c>
      <c r="F212" s="2" t="s">
        <v>270</v>
      </c>
      <c r="G212">
        <v>1</v>
      </c>
    </row>
    <row r="213" spans="3:7" x14ac:dyDescent="0.25">
      <c r="C213" s="2" t="s">
        <v>303</v>
      </c>
      <c r="D213">
        <v>1</v>
      </c>
      <c r="F213" s="2" t="s">
        <v>234</v>
      </c>
      <c r="G213">
        <v>1</v>
      </c>
    </row>
    <row r="214" spans="3:7" x14ac:dyDescent="0.25">
      <c r="C214" s="2" t="s">
        <v>284</v>
      </c>
      <c r="D214">
        <v>1</v>
      </c>
      <c r="F214" s="2" t="s">
        <v>138</v>
      </c>
      <c r="G214">
        <v>1</v>
      </c>
    </row>
    <row r="215" spans="3:7" x14ac:dyDescent="0.25">
      <c r="C215" s="2" t="s">
        <v>305</v>
      </c>
      <c r="D215">
        <v>1</v>
      </c>
      <c r="F215" s="2" t="s">
        <v>604</v>
      </c>
      <c r="G215">
        <v>1</v>
      </c>
    </row>
    <row r="216" spans="3:7" x14ac:dyDescent="0.25">
      <c r="C216" s="2" t="s">
        <v>3666</v>
      </c>
      <c r="D216">
        <v>1</v>
      </c>
      <c r="F216" s="2" t="s">
        <v>378</v>
      </c>
      <c r="G216">
        <v>1</v>
      </c>
    </row>
    <row r="217" spans="3:7" x14ac:dyDescent="0.25">
      <c r="C217" s="2" t="s">
        <v>307</v>
      </c>
      <c r="D217">
        <v>1</v>
      </c>
      <c r="F217" s="2" t="s">
        <v>172</v>
      </c>
      <c r="G217">
        <v>1</v>
      </c>
    </row>
    <row r="218" spans="3:7" x14ac:dyDescent="0.25">
      <c r="C218" s="2" t="s">
        <v>3650</v>
      </c>
      <c r="D218">
        <v>1</v>
      </c>
      <c r="F218" s="2" t="s">
        <v>65</v>
      </c>
      <c r="G218">
        <v>474</v>
      </c>
    </row>
    <row r="219" spans="3:7" x14ac:dyDescent="0.25">
      <c r="C219" s="2" t="s">
        <v>309</v>
      </c>
      <c r="D219">
        <v>1</v>
      </c>
      <c r="F219"/>
      <c r="G219"/>
    </row>
    <row r="220" spans="3:7" x14ac:dyDescent="0.25">
      <c r="C220" s="2" t="s">
        <v>3754</v>
      </c>
      <c r="D220">
        <v>1</v>
      </c>
      <c r="F220"/>
      <c r="G220"/>
    </row>
    <row r="221" spans="3:7" x14ac:dyDescent="0.25">
      <c r="C221" s="2" t="s">
        <v>311</v>
      </c>
      <c r="D221">
        <v>1</v>
      </c>
      <c r="F221"/>
      <c r="G221"/>
    </row>
    <row r="222" spans="3:7" x14ac:dyDescent="0.25">
      <c r="C222" s="2" t="s">
        <v>123</v>
      </c>
      <c r="D222">
        <v>1</v>
      </c>
      <c r="F222"/>
      <c r="G222"/>
    </row>
    <row r="223" spans="3:7" x14ac:dyDescent="0.25">
      <c r="C223" s="2" t="s">
        <v>313</v>
      </c>
      <c r="D223">
        <v>1</v>
      </c>
      <c r="F223"/>
      <c r="G223"/>
    </row>
    <row r="224" spans="3:7" x14ac:dyDescent="0.25">
      <c r="C224" s="2" t="s">
        <v>3755</v>
      </c>
      <c r="D224">
        <v>1</v>
      </c>
      <c r="F224"/>
      <c r="G224"/>
    </row>
    <row r="225" spans="3:7" x14ac:dyDescent="0.25">
      <c r="C225" s="2" t="s">
        <v>3651</v>
      </c>
      <c r="D225">
        <v>1</v>
      </c>
      <c r="F225"/>
      <c r="G225"/>
    </row>
    <row r="226" spans="3:7" x14ac:dyDescent="0.25">
      <c r="C226" s="2" t="s">
        <v>3767</v>
      </c>
      <c r="D226">
        <v>1</v>
      </c>
      <c r="F226"/>
      <c r="G226"/>
    </row>
    <row r="227" spans="3:7" x14ac:dyDescent="0.25">
      <c r="C227" s="2" t="s">
        <v>317</v>
      </c>
      <c r="D227">
        <v>1</v>
      </c>
      <c r="F227"/>
      <c r="G227"/>
    </row>
    <row r="228" spans="3:7" x14ac:dyDescent="0.25">
      <c r="C228" s="2" t="s">
        <v>296</v>
      </c>
      <c r="D228">
        <v>1</v>
      </c>
      <c r="F228"/>
      <c r="G228"/>
    </row>
    <row r="229" spans="3:7" x14ac:dyDescent="0.25">
      <c r="C229" s="2" t="s">
        <v>3809</v>
      </c>
      <c r="D229">
        <v>1</v>
      </c>
      <c r="F229"/>
      <c r="G229"/>
    </row>
    <row r="230" spans="3:7" x14ac:dyDescent="0.25">
      <c r="C230" s="2" t="s">
        <v>291</v>
      </c>
      <c r="D230">
        <v>1</v>
      </c>
      <c r="F230"/>
      <c r="G230"/>
    </row>
    <row r="231" spans="3:7" x14ac:dyDescent="0.25">
      <c r="C231" s="2" t="s">
        <v>3671</v>
      </c>
      <c r="D231">
        <v>1</v>
      </c>
      <c r="F231"/>
      <c r="G231"/>
    </row>
    <row r="232" spans="3:7" x14ac:dyDescent="0.25">
      <c r="C232" s="2" t="s">
        <v>308</v>
      </c>
      <c r="D232">
        <v>1</v>
      </c>
      <c r="F232"/>
      <c r="G232"/>
    </row>
    <row r="233" spans="3:7" x14ac:dyDescent="0.25">
      <c r="C233" s="2" t="s">
        <v>319</v>
      </c>
      <c r="D233">
        <v>1</v>
      </c>
      <c r="F233"/>
      <c r="G233"/>
    </row>
    <row r="234" spans="3:7" x14ac:dyDescent="0.25">
      <c r="C234" s="2" t="s">
        <v>302</v>
      </c>
      <c r="D234">
        <v>1</v>
      </c>
      <c r="F234"/>
      <c r="G234"/>
    </row>
    <row r="235" spans="3:7" x14ac:dyDescent="0.25">
      <c r="C235" s="2" t="s">
        <v>3677</v>
      </c>
      <c r="D235">
        <v>1</v>
      </c>
      <c r="F235"/>
      <c r="G235"/>
    </row>
    <row r="236" spans="3:7" x14ac:dyDescent="0.25">
      <c r="C236" s="2" t="s">
        <v>314</v>
      </c>
      <c r="D236">
        <v>1</v>
      </c>
      <c r="F236"/>
      <c r="G236"/>
    </row>
    <row r="237" spans="3:7" x14ac:dyDescent="0.25">
      <c r="C237" s="2" t="s">
        <v>323</v>
      </c>
      <c r="D237">
        <v>1</v>
      </c>
      <c r="F237"/>
      <c r="G237"/>
    </row>
    <row r="238" spans="3:7" x14ac:dyDescent="0.25">
      <c r="C238" s="2" t="s">
        <v>3655</v>
      </c>
      <c r="D238">
        <v>1</v>
      </c>
      <c r="F238"/>
      <c r="G238"/>
    </row>
    <row r="239" spans="3:7" x14ac:dyDescent="0.25">
      <c r="C239" s="2" t="s">
        <v>3770</v>
      </c>
      <c r="D239">
        <v>1</v>
      </c>
      <c r="F239"/>
      <c r="G239"/>
    </row>
    <row r="240" spans="3:7" x14ac:dyDescent="0.25">
      <c r="C240" s="2" t="s">
        <v>285</v>
      </c>
      <c r="D240">
        <v>1</v>
      </c>
      <c r="F240"/>
      <c r="G240"/>
    </row>
    <row r="241" spans="3:7" x14ac:dyDescent="0.25">
      <c r="C241" s="2" t="s">
        <v>3842</v>
      </c>
      <c r="D241">
        <v>1</v>
      </c>
      <c r="F241"/>
      <c r="G241"/>
    </row>
    <row r="242" spans="3:7" x14ac:dyDescent="0.25">
      <c r="C242" s="2" t="s">
        <v>322</v>
      </c>
      <c r="D242">
        <v>1</v>
      </c>
      <c r="F242"/>
      <c r="G242"/>
    </row>
    <row r="243" spans="3:7" x14ac:dyDescent="0.25">
      <c r="C243" s="2" t="s">
        <v>327</v>
      </c>
      <c r="D243">
        <v>1</v>
      </c>
      <c r="F243"/>
      <c r="G243"/>
    </row>
    <row r="244" spans="3:7" x14ac:dyDescent="0.25">
      <c r="C244" s="2" t="s">
        <v>247</v>
      </c>
      <c r="D244">
        <v>1</v>
      </c>
      <c r="F244"/>
      <c r="G244"/>
    </row>
    <row r="245" spans="3:7" x14ac:dyDescent="0.25">
      <c r="C245" s="2" t="s">
        <v>325</v>
      </c>
      <c r="D245">
        <v>1</v>
      </c>
      <c r="F245"/>
      <c r="G245"/>
    </row>
    <row r="246" spans="3:7" x14ac:dyDescent="0.25">
      <c r="C246" s="2" t="s">
        <v>3812</v>
      </c>
      <c r="D246">
        <v>1</v>
      </c>
      <c r="F246"/>
      <c r="G246"/>
    </row>
    <row r="247" spans="3:7" x14ac:dyDescent="0.25">
      <c r="C247" s="2" t="s">
        <v>331</v>
      </c>
      <c r="D247">
        <v>1</v>
      </c>
      <c r="F247"/>
      <c r="G247"/>
    </row>
    <row r="248" spans="3:7" x14ac:dyDescent="0.25">
      <c r="C248" s="2" t="s">
        <v>131</v>
      </c>
      <c r="D248">
        <v>1</v>
      </c>
      <c r="F248"/>
      <c r="G248"/>
    </row>
    <row r="249" spans="3:7" x14ac:dyDescent="0.25">
      <c r="C249" s="2" t="s">
        <v>332</v>
      </c>
      <c r="D249">
        <v>1</v>
      </c>
      <c r="F249"/>
      <c r="G249"/>
    </row>
    <row r="250" spans="3:7" x14ac:dyDescent="0.25">
      <c r="C250" s="2" t="s">
        <v>135</v>
      </c>
      <c r="D250">
        <v>1</v>
      </c>
      <c r="F250"/>
      <c r="G250"/>
    </row>
    <row r="251" spans="3:7" x14ac:dyDescent="0.25">
      <c r="C251" s="2" t="s">
        <v>149</v>
      </c>
      <c r="D251">
        <v>1</v>
      </c>
      <c r="F251"/>
      <c r="G251"/>
    </row>
    <row r="252" spans="3:7" x14ac:dyDescent="0.25">
      <c r="C252" s="2" t="s">
        <v>316</v>
      </c>
      <c r="D252">
        <v>1</v>
      </c>
      <c r="F252"/>
      <c r="G252"/>
    </row>
    <row r="253" spans="3:7" x14ac:dyDescent="0.25">
      <c r="C253" s="2" t="s">
        <v>133</v>
      </c>
      <c r="D253">
        <v>1</v>
      </c>
      <c r="F253"/>
      <c r="G253"/>
    </row>
    <row r="254" spans="3:7" x14ac:dyDescent="0.25">
      <c r="C254" s="2" t="s">
        <v>145</v>
      </c>
      <c r="D254">
        <v>1</v>
      </c>
      <c r="F254"/>
      <c r="G254"/>
    </row>
    <row r="255" spans="3:7" x14ac:dyDescent="0.25">
      <c r="C255" s="2" t="s">
        <v>3833</v>
      </c>
      <c r="D255">
        <v>1</v>
      </c>
      <c r="F255"/>
      <c r="G255"/>
    </row>
    <row r="256" spans="3:7" x14ac:dyDescent="0.25">
      <c r="C256" s="2" t="s">
        <v>147</v>
      </c>
      <c r="D256">
        <v>1</v>
      </c>
      <c r="F256"/>
      <c r="G256"/>
    </row>
    <row r="257" spans="3:7" x14ac:dyDescent="0.25">
      <c r="C257" s="2" t="s">
        <v>255</v>
      </c>
      <c r="D257">
        <v>1</v>
      </c>
      <c r="F257"/>
      <c r="G257"/>
    </row>
    <row r="258" spans="3:7" x14ac:dyDescent="0.25">
      <c r="C258" s="2" t="s">
        <v>3808</v>
      </c>
      <c r="D258">
        <v>1</v>
      </c>
      <c r="F258"/>
      <c r="G258"/>
    </row>
    <row r="259" spans="3:7" x14ac:dyDescent="0.25">
      <c r="C259" s="2" t="s">
        <v>3765</v>
      </c>
      <c r="D259">
        <v>1</v>
      </c>
      <c r="F259"/>
      <c r="G259"/>
    </row>
    <row r="260" spans="3:7" x14ac:dyDescent="0.25">
      <c r="C260" s="2" t="s">
        <v>239</v>
      </c>
      <c r="D260">
        <v>1</v>
      </c>
      <c r="F260"/>
      <c r="G260"/>
    </row>
    <row r="261" spans="3:7" x14ac:dyDescent="0.25">
      <c r="C261" s="2" t="s">
        <v>3769</v>
      </c>
      <c r="D261">
        <v>1</v>
      </c>
      <c r="F261"/>
      <c r="G261"/>
    </row>
    <row r="262" spans="3:7" x14ac:dyDescent="0.25">
      <c r="C262" s="2" t="s">
        <v>121</v>
      </c>
      <c r="D262">
        <v>1</v>
      </c>
      <c r="F262"/>
      <c r="G262"/>
    </row>
    <row r="263" spans="3:7" x14ac:dyDescent="0.25">
      <c r="C263" s="2" t="s">
        <v>3676</v>
      </c>
      <c r="D263">
        <v>1</v>
      </c>
      <c r="F263"/>
      <c r="G263"/>
    </row>
    <row r="264" spans="3:7" x14ac:dyDescent="0.25">
      <c r="C264" s="2" t="s">
        <v>3813</v>
      </c>
      <c r="D264">
        <v>1</v>
      </c>
      <c r="F264"/>
      <c r="G264"/>
    </row>
    <row r="265" spans="3:7" x14ac:dyDescent="0.25">
      <c r="C265" s="2" t="s">
        <v>3673</v>
      </c>
      <c r="D265">
        <v>1</v>
      </c>
      <c r="F265"/>
      <c r="G265"/>
    </row>
    <row r="266" spans="3:7" x14ac:dyDescent="0.25">
      <c r="C266" s="2" t="s">
        <v>3814</v>
      </c>
      <c r="D266">
        <v>1</v>
      </c>
      <c r="F266"/>
      <c r="G266"/>
    </row>
    <row r="267" spans="3:7" x14ac:dyDescent="0.25">
      <c r="C267" s="2" t="s">
        <v>189</v>
      </c>
      <c r="D267">
        <v>1</v>
      </c>
      <c r="F267"/>
      <c r="G267"/>
    </row>
    <row r="268" spans="3:7" x14ac:dyDescent="0.25">
      <c r="C268" s="2" t="s">
        <v>3760</v>
      </c>
      <c r="D268">
        <v>1</v>
      </c>
      <c r="F268"/>
      <c r="G268"/>
    </row>
    <row r="269" spans="3:7" x14ac:dyDescent="0.25">
      <c r="C269" s="2" t="s">
        <v>3810</v>
      </c>
      <c r="D269">
        <v>1</v>
      </c>
      <c r="F269"/>
      <c r="G269"/>
    </row>
    <row r="270" spans="3:7" x14ac:dyDescent="0.25">
      <c r="C270" s="2" t="s">
        <v>3816</v>
      </c>
      <c r="D270">
        <v>1</v>
      </c>
      <c r="F270"/>
      <c r="G270"/>
    </row>
    <row r="271" spans="3:7" x14ac:dyDescent="0.25">
      <c r="C271" s="2" t="s">
        <v>3766</v>
      </c>
      <c r="D271">
        <v>1</v>
      </c>
      <c r="F271"/>
      <c r="G271"/>
    </row>
    <row r="272" spans="3:7" x14ac:dyDescent="0.25">
      <c r="C272" s="2" t="s">
        <v>167</v>
      </c>
      <c r="D272">
        <v>1</v>
      </c>
      <c r="F272"/>
      <c r="G272"/>
    </row>
    <row r="273" spans="3:7" x14ac:dyDescent="0.25">
      <c r="C273" s="2" t="s">
        <v>3679</v>
      </c>
      <c r="D273">
        <v>1</v>
      </c>
      <c r="F273"/>
      <c r="G273"/>
    </row>
    <row r="274" spans="3:7" x14ac:dyDescent="0.25">
      <c r="C274" s="2" t="s">
        <v>3819</v>
      </c>
      <c r="D274">
        <v>1</v>
      </c>
      <c r="F274"/>
      <c r="G274"/>
    </row>
    <row r="275" spans="3:7" x14ac:dyDescent="0.25">
      <c r="C275" s="2" t="s">
        <v>3641</v>
      </c>
      <c r="D275">
        <v>1</v>
      </c>
      <c r="F275"/>
      <c r="G275"/>
    </row>
    <row r="276" spans="3:7" x14ac:dyDescent="0.25">
      <c r="C276" s="2" t="s">
        <v>171</v>
      </c>
      <c r="D276">
        <v>1</v>
      </c>
      <c r="F276"/>
      <c r="G276"/>
    </row>
    <row r="277" spans="3:7" x14ac:dyDescent="0.25">
      <c r="C277" s="2" t="s">
        <v>153</v>
      </c>
      <c r="D277">
        <v>1</v>
      </c>
      <c r="F277"/>
      <c r="G277"/>
    </row>
    <row r="278" spans="3:7" x14ac:dyDescent="0.25">
      <c r="C278" s="2" t="s">
        <v>3823</v>
      </c>
      <c r="D278">
        <v>1</v>
      </c>
      <c r="F278"/>
      <c r="G278"/>
    </row>
    <row r="279" spans="3:7" x14ac:dyDescent="0.25">
      <c r="C279" s="2" t="s">
        <v>3753</v>
      </c>
      <c r="D279">
        <v>1</v>
      </c>
      <c r="F279"/>
      <c r="G279"/>
    </row>
    <row r="280" spans="3:7" x14ac:dyDescent="0.25">
      <c r="C280" s="2" t="s">
        <v>3752</v>
      </c>
      <c r="D280">
        <v>1</v>
      </c>
      <c r="F280"/>
      <c r="G280"/>
    </row>
    <row r="281" spans="3:7" x14ac:dyDescent="0.25">
      <c r="C281" s="2" t="s">
        <v>267</v>
      </c>
      <c r="D281">
        <v>1</v>
      </c>
      <c r="F281"/>
      <c r="G281"/>
    </row>
    <row r="282" spans="3:7" x14ac:dyDescent="0.25">
      <c r="C282" s="2" t="s">
        <v>3835</v>
      </c>
      <c r="D282">
        <v>1</v>
      </c>
      <c r="F282"/>
      <c r="G282"/>
    </row>
    <row r="283" spans="3:7" x14ac:dyDescent="0.25">
      <c r="C283" s="2" t="s">
        <v>3659</v>
      </c>
      <c r="D283">
        <v>1</v>
      </c>
      <c r="F283"/>
      <c r="G283"/>
    </row>
    <row r="284" spans="3:7" x14ac:dyDescent="0.25">
      <c r="C284" s="2" t="s">
        <v>3834</v>
      </c>
      <c r="D284">
        <v>1</v>
      </c>
      <c r="F284"/>
      <c r="G284"/>
    </row>
    <row r="285" spans="3:7" x14ac:dyDescent="0.25">
      <c r="C285" s="2" t="s">
        <v>271</v>
      </c>
      <c r="D285">
        <v>1</v>
      </c>
      <c r="F285"/>
      <c r="G285"/>
    </row>
    <row r="286" spans="3:7" x14ac:dyDescent="0.25">
      <c r="C286" s="2" t="s">
        <v>3837</v>
      </c>
      <c r="D286">
        <v>1</v>
      </c>
      <c r="F286"/>
      <c r="G286"/>
    </row>
    <row r="287" spans="3:7" x14ac:dyDescent="0.25">
      <c r="C287" s="2" t="s">
        <v>3660</v>
      </c>
      <c r="D287">
        <v>1</v>
      </c>
    </row>
    <row r="288" spans="3:7" x14ac:dyDescent="0.25">
      <c r="C288" s="2" t="s">
        <v>181</v>
      </c>
      <c r="D288">
        <v>1</v>
      </c>
    </row>
    <row r="289" spans="3:4" x14ac:dyDescent="0.25">
      <c r="C289" s="2" t="s">
        <v>3763</v>
      </c>
      <c r="D289">
        <v>1</v>
      </c>
    </row>
    <row r="290" spans="3:4" x14ac:dyDescent="0.25">
      <c r="C290" s="2" t="s">
        <v>3757</v>
      </c>
      <c r="D290">
        <v>1</v>
      </c>
    </row>
    <row r="291" spans="3:4" x14ac:dyDescent="0.25">
      <c r="C291" s="2" t="s">
        <v>275</v>
      </c>
      <c r="D291">
        <v>1</v>
      </c>
    </row>
    <row r="292" spans="3:4" x14ac:dyDescent="0.25">
      <c r="C292" s="2" t="s">
        <v>281</v>
      </c>
      <c r="D292">
        <v>1</v>
      </c>
    </row>
    <row r="293" spans="3:4" x14ac:dyDescent="0.25">
      <c r="C293" s="2" t="s">
        <v>3642</v>
      </c>
      <c r="D293">
        <v>1</v>
      </c>
    </row>
    <row r="294" spans="3:4" x14ac:dyDescent="0.25">
      <c r="C294" s="2" t="s">
        <v>3832</v>
      </c>
      <c r="D294">
        <v>1</v>
      </c>
    </row>
    <row r="295" spans="3:4" x14ac:dyDescent="0.25">
      <c r="C295" s="2" t="s">
        <v>3831</v>
      </c>
      <c r="D295">
        <v>1</v>
      </c>
    </row>
    <row r="296" spans="3:4" x14ac:dyDescent="0.25">
      <c r="C296" s="2" t="s">
        <v>283</v>
      </c>
      <c r="D296">
        <v>1</v>
      </c>
    </row>
    <row r="297" spans="3:4" x14ac:dyDescent="0.25">
      <c r="C297" s="2" t="s">
        <v>161</v>
      </c>
      <c r="D297">
        <v>1</v>
      </c>
    </row>
    <row r="298" spans="3:4" x14ac:dyDescent="0.25">
      <c r="C298" s="2" t="s">
        <v>3761</v>
      </c>
      <c r="D298">
        <v>1</v>
      </c>
    </row>
    <row r="299" spans="3:4" x14ac:dyDescent="0.25">
      <c r="C299" s="2" t="s">
        <v>3658</v>
      </c>
      <c r="D299">
        <v>1</v>
      </c>
    </row>
    <row r="300" spans="3:4" x14ac:dyDescent="0.25">
      <c r="C300" s="2" t="s">
        <v>338</v>
      </c>
      <c r="D300">
        <v>1</v>
      </c>
    </row>
    <row r="301" spans="3:4" x14ac:dyDescent="0.25">
      <c r="C301" s="2" t="s">
        <v>65</v>
      </c>
      <c r="D301">
        <v>474</v>
      </c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210" activePane="bottomLeft" state="frozen"/>
      <selection activeCell="F1" sqref="F1"/>
      <selection pane="bottomLeft" sqref="A1:XFD1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18</v>
      </c>
    </row>
    <row r="54" spans="1:28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18</v>
      </c>
    </row>
    <row r="67" spans="1:28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18</v>
      </c>
    </row>
    <row r="72" spans="1:28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18</v>
      </c>
    </row>
    <row r="118" spans="1:28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18</v>
      </c>
    </row>
    <row r="181" spans="1:28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18</v>
      </c>
    </row>
    <row r="279" spans="1:28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18</v>
      </c>
    </row>
    <row r="332" spans="1:28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18</v>
      </c>
    </row>
    <row r="407" spans="1:28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18</v>
      </c>
    </row>
    <row r="478" spans="1:28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18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18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18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18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18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18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18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18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18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3840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3866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5</v>
      </c>
    </row>
    <row r="978" spans="1:28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3843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4528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4530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16280</v>
      </c>
      <c r="B990" t="str">
        <f>_xlfn.CONCAT(bron[[#This Row],[personeelsnr]]," ",bron[[#This Row],[achternaam]]," ",bron[[#This Row],[voornaam]])</f>
        <v>16280 Bouckhout Ingeborg</v>
      </c>
      <c r="C990" t="str">
        <f>VLOOKUP(bron[[#This Row],[personeelsnr]],'data hastus'!$A:$C,2,0)</f>
        <v>Bouckhout</v>
      </c>
      <c r="D990" t="str">
        <f>VLOOKUP(bron[[#This Row],[personeelsnr]],'data hastus'!$A:$C,3,0)</f>
        <v>Ingeborg</v>
      </c>
      <c r="E990" s="2" t="str">
        <f>VLOOKUP(bron[[#This Row],[personeelsnr]],'data hastus'!A:K,11,FALSE)</f>
        <v>Lucie Vande Velde</v>
      </c>
      <c r="F990" s="10"/>
      <c r="G990" s="28"/>
      <c r="H990" s="28"/>
      <c r="I990" s="28"/>
      <c r="S990" s="25">
        <f>SUM(bron[[#This Row],[Januari]:[December]])</f>
        <v>0</v>
      </c>
      <c r="T990" s="30">
        <v>45994</v>
      </c>
      <c r="U990" s="5" t="s">
        <v>4537</v>
      </c>
      <c r="V990" s="26"/>
      <c r="W990" s="26"/>
      <c r="X990" t="s">
        <v>3527</v>
      </c>
      <c r="Y990" t="s">
        <v>4538</v>
      </c>
      <c r="Z990" s="2">
        <v>6320</v>
      </c>
      <c r="AA990" s="32" t="s">
        <v>3538</v>
      </c>
      <c r="AB990">
        <f>COUNTIF(B:B,bron[[#This Row],[volledige naam]])</f>
        <v>1</v>
      </c>
    </row>
    <row r="991" spans="1:28" x14ac:dyDescent="0.25">
      <c r="A991" s="38">
        <v>39184</v>
      </c>
      <c r="B991" t="str">
        <f>_xlfn.CONCAT(bron[[#This Row],[personeelsnr]]," ",bron[[#This Row],[achternaam]]," ",bron[[#This Row],[voornaam]])</f>
        <v>39184 Shinwari Yasin</v>
      </c>
      <c r="C991" t="str">
        <f>VLOOKUP(bron[[#This Row],[personeelsnr]],'data hastus'!$A:$C,2,0)</f>
        <v>Shinwari</v>
      </c>
      <c r="D991" t="str">
        <f>VLOOKUP(bron[[#This Row],[personeelsnr]],'data hastus'!$A:$C,3,0)</f>
        <v>Yasin</v>
      </c>
      <c r="E991" s="2" t="str">
        <f>VLOOKUP(bron[[#This Row],[personeelsnr]],'data hastus'!A:K,11,FALSE)</f>
        <v>Christoff Rotty</v>
      </c>
      <c r="F991" s="10"/>
      <c r="G991" s="28"/>
      <c r="H991" s="28"/>
      <c r="I991" s="28"/>
      <c r="S991" s="25">
        <f>SUM(bron[[#This Row],[Januari]:[December]])</f>
        <v>0</v>
      </c>
      <c r="T991" s="30">
        <v>45983</v>
      </c>
      <c r="U991" s="5" t="s">
        <v>4539</v>
      </c>
      <c r="V991" s="26"/>
      <c r="W991" s="26"/>
      <c r="X991" t="s">
        <v>3528</v>
      </c>
      <c r="Y991" t="s">
        <v>166</v>
      </c>
      <c r="Z991" s="2">
        <v>6359</v>
      </c>
      <c r="AA991" s="32" t="s">
        <v>3538</v>
      </c>
      <c r="AB991">
        <f>COUNTIF(B:B,bron[[#This Row],[volledige naam]])</f>
        <v>3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</sheetData>
  <sheetProtection sort="0" autoFilter="0"/>
  <phoneticPr fontId="1" type="noConversion"/>
  <conditionalFormatting sqref="F2:F992">
    <cfRule type="cellIs" dxfId="40" priority="5" operator="equal">
      <formula>0</formula>
    </cfRule>
    <cfRule type="cellIs" dxfId="39" priority="7" operator="between">
      <formula>1</formula>
      <formula>4</formula>
    </cfRule>
    <cfRule type="cellIs" dxfId="38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7" priority="1" operator="equal">
      <formula>0</formula>
    </cfRule>
    <cfRule type="cellIs" dxfId="26" priority="2" operator="between">
      <formula>1</formula>
      <formula>4</formula>
    </cfRule>
    <cfRule type="cellIs" dxfId="25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tabSelected="1" topLeftCell="H7" workbookViewId="0">
      <selection activeCell="J52" sqref="J52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16.5703125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COUNTIF(BRON!A:A,'schades-leeftijd'!A2)</f>
        <v>1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COUNTIF(BRON!A:A,'schades-leeftijd'!A3)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COUNTIF(BRON!A:A,'schades-leeftijd'!A4)</f>
        <v>0</v>
      </c>
      <c r="I4" s="1" t="s">
        <v>3807</v>
      </c>
      <c r="J4" t="s">
        <v>4527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COUNTIF(BRON!A:A,'schades-leeftijd'!A5)</f>
        <v>1</v>
      </c>
      <c r="I5" s="2">
        <v>19</v>
      </c>
      <c r="J5" s="35">
        <v>0.5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COUNTIF(BRON!A:A,'schades-leeftijd'!A6)</f>
        <v>1</v>
      </c>
      <c r="I6" s="2">
        <v>21</v>
      </c>
      <c r="J6" s="35">
        <v>1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COUNTIF(BRON!A:A,'schades-leeftijd'!A7)</f>
        <v>1</v>
      </c>
      <c r="I7" s="2">
        <v>22</v>
      </c>
      <c r="J7" s="35">
        <v>2.2857142857142856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COUNTIF(BRON!A:A,'schades-leeftijd'!A8)</f>
        <v>1</v>
      </c>
      <c r="I8" s="2">
        <v>23</v>
      </c>
      <c r="J8" s="35">
        <v>0.5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COUNTIF(BRON!A:A,'schades-leeftijd'!A9)</f>
        <v>1</v>
      </c>
      <c r="I9" s="2">
        <v>24</v>
      </c>
      <c r="J9" s="35">
        <v>0.83333333333333337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COUNTIF(BRON!A:A,'schades-leeftijd'!A10)</f>
        <v>4</v>
      </c>
      <c r="I10" s="2">
        <v>25</v>
      </c>
      <c r="J10" s="35">
        <v>2.2857142857142856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COUNTIF(BRON!A:A,'schades-leeftijd'!A11)</f>
        <v>1</v>
      </c>
      <c r="I11" s="2">
        <v>26</v>
      </c>
      <c r="J11" s="35">
        <v>1.8823529411764706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COUNTIF(BRON!A:A,'schades-leeftijd'!A12)</f>
        <v>1</v>
      </c>
      <c r="I12" s="2">
        <v>27</v>
      </c>
      <c r="J12" s="35">
        <v>1.8461538461538463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COUNTIF(BRON!A:A,'schades-leeftijd'!A13)</f>
        <v>1</v>
      </c>
      <c r="I13" s="2">
        <v>28</v>
      </c>
      <c r="J13" s="35">
        <v>2.2000000000000002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COUNTIF(BRON!A:A,'schades-leeftijd'!A14)</f>
        <v>5</v>
      </c>
      <c r="I14" s="2">
        <v>29</v>
      </c>
      <c r="J14" s="35">
        <v>1.1111111111111112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COUNTIF(BRON!A:A,'schades-leeftijd'!A15)</f>
        <v>1</v>
      </c>
      <c r="I15" s="2">
        <v>30</v>
      </c>
      <c r="J15" s="35">
        <v>2.4615384615384617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COUNTIF(BRON!A:A,'schades-leeftijd'!A16)</f>
        <v>1</v>
      </c>
      <c r="I16" s="2">
        <v>31</v>
      </c>
      <c r="J16" s="35">
        <v>2.1666666666666665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COUNTIF(BRON!A:A,'schades-leeftijd'!A17)</f>
        <v>3</v>
      </c>
      <c r="I17" s="2">
        <v>32</v>
      </c>
      <c r="J17" s="35">
        <v>1.6875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COUNTIF(BRON!A:A,'schades-leeftijd'!A18)</f>
        <v>1</v>
      </c>
      <c r="I18" s="2">
        <v>33</v>
      </c>
      <c r="J18" s="35">
        <v>2.1111111111111112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COUNTIF(BRON!A:A,'schades-leeftijd'!A19)</f>
        <v>0</v>
      </c>
      <c r="I19" s="2">
        <v>34</v>
      </c>
      <c r="J19" s="35">
        <v>1.6666666666666667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COUNTIF(BRON!A:A,'schades-leeftijd'!A20)</f>
        <v>1</v>
      </c>
      <c r="I20" s="2">
        <v>35</v>
      </c>
      <c r="J20" s="35">
        <v>1.6666666666666667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COUNTIF(BRON!A:A,'schades-leeftijd'!A21)</f>
        <v>1</v>
      </c>
      <c r="I21" s="2">
        <v>36</v>
      </c>
      <c r="J21" s="35">
        <v>1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COUNTIF(BRON!A:A,'schades-leeftijd'!A22)</f>
        <v>0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COUNTIF(BRON!A:A,'schades-leeftijd'!A23)</f>
        <v>1</v>
      </c>
      <c r="I23" s="2">
        <v>38</v>
      </c>
      <c r="J23" s="35">
        <v>1.7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COUNTIF(BRON!A:A,'schades-leeftijd'!A24)</f>
        <v>1</v>
      </c>
      <c r="I24" s="2">
        <v>39</v>
      </c>
      <c r="J24" s="35">
        <v>1.2307692307692308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COUNTIF(BRON!A:A,'schades-leeftijd'!A25)</f>
        <v>0</v>
      </c>
      <c r="I25" s="2">
        <v>40</v>
      </c>
      <c r="J25" s="35">
        <v>1.8571428571428572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COUNTIF(BRON!A:A,'schades-leeftijd'!A26)</f>
        <v>0</v>
      </c>
      <c r="I26" s="2">
        <v>41</v>
      </c>
      <c r="J26" s="35">
        <v>1.7058823529411764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COUNTIF(BRON!A:A,'schades-leeftijd'!A27)</f>
        <v>1</v>
      </c>
      <c r="I27" s="2">
        <v>42</v>
      </c>
      <c r="J27" s="35">
        <v>1.9473684210526316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COUNTIF(BRON!A:A,'schades-leeftijd'!A28)</f>
        <v>2</v>
      </c>
      <c r="I28" s="2">
        <v>43</v>
      </c>
      <c r="J28" s="35">
        <v>2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COUNTIF(BRON!A:A,'schades-leeftijd'!A29)</f>
        <v>0</v>
      </c>
      <c r="I29" s="2">
        <v>44</v>
      </c>
      <c r="J29" s="35">
        <v>0.63636363636363635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COUNTIF(BRON!A:A,'schades-leeftijd'!A30)</f>
        <v>1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COUNTIF(BRON!A:A,'schades-leeftijd'!A31)</f>
        <v>2</v>
      </c>
      <c r="I31" s="2">
        <v>46</v>
      </c>
      <c r="J31" s="35">
        <v>1.7857142857142858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COUNTIF(BRON!A:A,'schades-leeftijd'!A32)</f>
        <v>0</v>
      </c>
      <c r="I32" s="2">
        <v>47</v>
      </c>
      <c r="J32" s="35">
        <v>1.9166666666666667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COUNTIF(BRON!A:A,'schades-leeftijd'!A33)</f>
        <v>2</v>
      </c>
      <c r="I33" s="2">
        <v>48</v>
      </c>
      <c r="J33" s="35">
        <v>1.65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COUNTIF(BRON!A:A,'schades-leeftijd'!A34)</f>
        <v>0</v>
      </c>
      <c r="I34" s="2">
        <v>49</v>
      </c>
      <c r="J34" s="35">
        <v>0.95454545454545459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COUNTIF(BRON!A:A,'schades-leeftijd'!A35)</f>
        <v>1</v>
      </c>
      <c r="I35" s="2">
        <v>50</v>
      </c>
      <c r="J35" s="35">
        <v>1.5454545454545454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COUNTIF(BRON!A:A,'schades-leeftijd'!A36)</f>
        <v>1</v>
      </c>
      <c r="I36" s="2">
        <v>51</v>
      </c>
      <c r="J36" s="35">
        <v>1.2941176470588236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COUNTIF(BRON!A:A,'schades-leeftijd'!A37)</f>
        <v>2</v>
      </c>
      <c r="I37" s="2">
        <v>52</v>
      </c>
      <c r="J37" s="35">
        <v>1.4666666666666666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COUNTIF(BRON!A:A,'schades-leeftijd'!A38)</f>
        <v>2</v>
      </c>
      <c r="I38" s="2">
        <v>53</v>
      </c>
      <c r="J38" s="35">
        <v>0.83333333333333337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COUNTIF(BRON!A:A,'schades-leeftijd'!A39)</f>
        <v>2</v>
      </c>
      <c r="I39" s="2">
        <v>54</v>
      </c>
      <c r="J39" s="35">
        <v>1.5714285714285714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COUNTIF(BRON!A:A,'schades-leeftijd'!A40)</f>
        <v>0</v>
      </c>
      <c r="I40" s="2">
        <v>55</v>
      </c>
      <c r="J40" s="35">
        <v>0.58823529411764708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COUNTIF(BRON!A:A,'schades-leeftijd'!A41)</f>
        <v>3</v>
      </c>
      <c r="I41" s="2">
        <v>56</v>
      </c>
      <c r="J41" s="35">
        <v>1.1666666666666667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COUNTIF(BRON!A:A,'schades-leeftijd'!A42)</f>
        <v>1</v>
      </c>
      <c r="I42" s="2">
        <v>57</v>
      </c>
      <c r="J42" s="35">
        <v>1.4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COUNTIF(BRON!A:A,'schades-leeftijd'!A43)</f>
        <v>0</v>
      </c>
      <c r="I43" s="2">
        <v>58</v>
      </c>
      <c r="J43" s="35">
        <v>0.5625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COUNTIF(BRON!A:A,'schades-leeftijd'!A44)</f>
        <v>1</v>
      </c>
      <c r="I44" s="2">
        <v>59</v>
      </c>
      <c r="J44" s="35">
        <v>1.9090909090909092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COUNTIF(BRON!A:A,'schades-leeftijd'!A45)</f>
        <v>0</v>
      </c>
      <c r="I45" s="2">
        <v>60</v>
      </c>
      <c r="J45" s="35">
        <v>1.3181818181818181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COUNTIF(BRON!A:A,'schades-leeftijd'!A46)</f>
        <v>0</v>
      </c>
      <c r="I46" s="2">
        <v>61</v>
      </c>
      <c r="J46" s="35">
        <v>1.2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COUNTIF(BRON!A:A,'schades-leeftijd'!A47)</f>
        <v>0</v>
      </c>
      <c r="I47" s="2">
        <v>62</v>
      </c>
      <c r="J47" s="35">
        <v>1.5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COUNTIF(BRON!A:A,'schades-leeftijd'!A48)</f>
        <v>1</v>
      </c>
      <c r="I48" s="2">
        <v>63</v>
      </c>
      <c r="J48" s="35">
        <v>0.9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COUNTIF(BRON!A:A,'schades-leeftijd'!A49)</f>
        <v>0</v>
      </c>
      <c r="I49" s="2">
        <v>64</v>
      </c>
      <c r="J49" s="35">
        <v>0.7142857142857143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COUNTIF(BRON!A:A,'schades-leeftijd'!A50)</f>
        <v>1</v>
      </c>
      <c r="I50" s="2">
        <v>65</v>
      </c>
      <c r="J50" s="35">
        <v>1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COUNTIF(BRON!A:A,'schades-leeftijd'!A51)</f>
        <v>1</v>
      </c>
      <c r="I51" s="2">
        <v>66</v>
      </c>
      <c r="J51" s="35">
        <v>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COUNTIF(BRON!A:A,'schades-leeftijd'!A52)</f>
        <v>2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COUNTIF(BRON!A:A,'schades-leeftijd'!A53)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COUNTIF(BRON!A:A,'schades-leeftijd'!A54)</f>
        <v>0</v>
      </c>
      <c r="I54" s="2">
        <v>75</v>
      </c>
      <c r="J54" s="35">
        <v>0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COUNTIF(BRON!A:A,'schades-leeftijd'!A55)</f>
        <v>6</v>
      </c>
      <c r="I55" s="2" t="s">
        <v>65</v>
      </c>
      <c r="J55" s="43">
        <v>1.4797297297297298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COUNTIF(BRON!A:A,'schades-leeftijd'!A56)</f>
        <v>2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COUNTIF(BRON!A:A,'schades-leeftijd'!A57)</f>
        <v>0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COUNTIF(BRON!A:A,'schades-leeftijd'!A58)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COUNTIF(BRON!A:A,'schades-leeftijd'!A59)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COUNTIF(BRON!A:A,'schades-leeftijd'!A60)</f>
        <v>1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COUNTIF(BRON!A:A,'schades-leeftijd'!A61)</f>
        <v>2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COUNTIF(BRON!A:A,'schades-leeftijd'!A62)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COUNTIF(BRON!A:A,'schades-leeftijd'!A63)</f>
        <v>1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COUNTIF(BRON!A:A,'schades-leeftijd'!A64)</f>
        <v>0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COUNTIF(BRON!A:A,'schades-leeftijd'!A65)</f>
        <v>3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COUNTIF(BRON!A:A,'schades-leeftijd'!A66)</f>
        <v>0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COUNTIF(BRON!A:A,'schades-leeftijd'!A67)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COUNTIF(BRON!A:A,'schades-leeftijd'!A68)</f>
        <v>1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COUNTIF(BRON!A:A,'schades-leeftijd'!A69)</f>
        <v>0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COUNTIF(BRON!A:A,'schades-leeftijd'!A70)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COUNTIF(BRON!A:A,'schades-leeftijd'!A71)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COUNTIF(BRON!A:A,'schades-leeftijd'!A72)</f>
        <v>1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COUNTIF(BRON!A:A,'schades-leeftijd'!A73)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COUNTIF(BRON!A:A,'schades-leeftijd'!A74)</f>
        <v>0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COUNTIF(BRON!A:A,'schades-leeftijd'!A75)</f>
        <v>1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COUNTIF(BRON!A:A,'schades-leeftijd'!A76)</f>
        <v>4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COUNTIF(BRON!A:A,'schades-leeftijd'!A77)</f>
        <v>0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COUNTIF(BRON!A:A,'schades-leeftijd'!A78)</f>
        <v>1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COUNTIF(BRON!A:A,'schades-leeftijd'!A79)</f>
        <v>0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COUNTIF(BRON!A:A,'schades-leeftijd'!A80)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COUNTIF(BRON!A:A,'schades-leeftijd'!A81)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COUNTIF(BRON!A:A,'schades-leeftijd'!A82)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COUNTIF(BRON!A:A,'schades-leeftijd'!A83)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COUNTIF(BRON!A:A,'schades-leeftijd'!A84)</f>
        <v>1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COUNTIF(BRON!A:A,'schades-leeftijd'!A85)</f>
        <v>10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COUNTIF(BRON!A:A,'schades-leeftijd'!A86)</f>
        <v>1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COUNTIF(BRON!A:A,'schades-leeftijd'!A87)</f>
        <v>0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COUNTIF(BRON!A:A,'schades-leeftijd'!A88)</f>
        <v>1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COUNTIF(BRON!A:A,'schades-leeftijd'!A89)</f>
        <v>0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COUNTIF(BRON!A:A,'schades-leeftijd'!A90)</f>
        <v>2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COUNTIF(BRON!A:A,'schades-leeftijd'!A91)</f>
        <v>0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COUNTIF(BRON!A:A,'schades-leeftijd'!A92)</f>
        <v>1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COUNTIF(BRON!A:A,'schades-leeftijd'!A93)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COUNTIF(BRON!A:A,'schades-leeftijd'!A94)</f>
        <v>0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COUNTIF(BRON!A:A,'schades-leeftijd'!A95)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COUNTIF(BRON!A:A,'schades-leeftijd'!A96)</f>
        <v>3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COUNTIF(BRON!A:A,'schades-leeftijd'!A97)</f>
        <v>0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COUNTIF(BRON!A:A,'schades-leeftijd'!A98)</f>
        <v>1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COUNTIF(BRON!A:A,'schades-leeftijd'!A99)</f>
        <v>0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COUNTIF(BRON!A:A,'schades-leeftijd'!A100)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COUNTIF(BRON!A:A,'schades-leeftijd'!A101)</f>
        <v>2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COUNTIF(BRON!A:A,'schades-leeftijd'!A102)</f>
        <v>1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COUNTIF(BRON!A:A,'schades-leeftijd'!A103)</f>
        <v>0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COUNTIF(BRON!A:A,'schades-leeftijd'!A104)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COUNTIF(BRON!A:A,'schades-leeftijd'!A105)</f>
        <v>1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COUNTIF(BRON!A:A,'schades-leeftijd'!A106)</f>
        <v>0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COUNTIF(BRON!A:A,'schades-leeftijd'!A107)</f>
        <v>2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COUNTIF(BRON!A:A,'schades-leeftijd'!A108)</f>
        <v>0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COUNTIF(BRON!A:A,'schades-leeftijd'!A109)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COUNTIF(BRON!A:A,'schades-leeftijd'!A110)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COUNTIF(BRON!A:A,'schades-leeftijd'!A111)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COUNTIF(BRON!A:A,'schades-leeftijd'!A112)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COUNTIF(BRON!A:A,'schades-leeftijd'!A113)</f>
        <v>6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COUNTIF(BRON!A:A,'schades-leeftijd'!A114)</f>
        <v>2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COUNTIF(BRON!A:A,'schades-leeftijd'!A115)</f>
        <v>0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COUNTIF(BRON!A:A,'schades-leeftijd'!A116)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COUNTIF(BRON!A:A,'schades-leeftijd'!A117)</f>
        <v>1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COUNTIF(BRON!A:A,'schades-leeftijd'!A118)</f>
        <v>0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COUNTIF(BRON!A:A,'schades-leeftijd'!A119)</f>
        <v>2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COUNTIF(BRON!A:A,'schades-leeftijd'!A120)</f>
        <v>0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COUNTIF(BRON!A:A,'schades-leeftijd'!A121)</f>
        <v>1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COUNTIF(BRON!A:A,'schades-leeftijd'!A122)</f>
        <v>0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COUNTIF(BRON!A:A,'schades-leeftijd'!A123)</f>
        <v>1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COUNTIF(BRON!A:A,'schades-leeftijd'!A124)</f>
        <v>2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COUNTIF(BRON!A:A,'schades-leeftijd'!A125)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COUNTIF(BRON!A:A,'schades-leeftijd'!A126)</f>
        <v>0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COUNTIF(BRON!A:A,'schades-leeftijd'!A127)</f>
        <v>1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COUNTIF(BRON!A:A,'schades-leeftijd'!A128)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COUNTIF(BRON!A:A,'schades-leeftijd'!A129)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COUNTIF(BRON!A:A,'schades-leeftijd'!A130)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COUNTIF(BRON!A:A,'schades-leeftijd'!A131)</f>
        <v>0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COUNTIF(BRON!A:A,'schades-leeftijd'!A132)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COUNTIF(BRON!A:A,'schades-leeftijd'!A133)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COUNTIF(BRON!A:A,'schades-leeftijd'!A134)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COUNTIF(BRON!A:A,'schades-leeftijd'!A135)</f>
        <v>2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COUNTIF(BRON!A:A,'schades-leeftijd'!A136)</f>
        <v>1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COUNTIF(BRON!A:A,'schades-leeftijd'!A137)</f>
        <v>0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COUNTIF(BRON!A:A,'schades-leeftijd'!A138)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COUNTIF(BRON!A:A,'schades-leeftijd'!A139)</f>
        <v>1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COUNTIF(BRON!A:A,'schades-leeftijd'!A140)</f>
        <v>3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COUNTIF(BRON!A:A,'schades-leeftijd'!A141)</f>
        <v>0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COUNTIF(BRON!A:A,'schades-leeftijd'!A142)</f>
        <v>1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COUNTIF(BRON!A:A,'schades-leeftijd'!A143)</f>
        <v>0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COUNTIF(BRON!A:A,'schades-leeftijd'!A144)</f>
        <v>3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COUNTIF(BRON!A:A,'schades-leeftijd'!A145)</f>
        <v>1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COUNTIF(BRON!A:A,'schades-leeftijd'!A146)</f>
        <v>0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COUNTIF(BRON!A:A,'schades-leeftijd'!A147)</f>
        <v>1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COUNTIF(BRON!A:A,'schades-leeftijd'!A148)</f>
        <v>4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COUNTIF(BRON!A:A,'schades-leeftijd'!A149)</f>
        <v>2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COUNTIF(BRON!A:A,'schades-leeftijd'!A150)</f>
        <v>0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COUNTIF(BRON!A:A,'schades-leeftijd'!A151)</f>
        <v>2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COUNTIF(BRON!A:A,'schades-leeftijd'!A152)</f>
        <v>1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COUNTIF(BRON!A:A,'schades-leeftijd'!A153)</f>
        <v>0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COUNTIF(BRON!A:A,'schades-leeftijd'!A154)</f>
        <v>1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COUNTIF(BRON!A:A,'schades-leeftijd'!A155)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COUNTIF(BRON!A:A,'schades-leeftijd'!A156)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COUNTIF(BRON!A:A,'schades-leeftijd'!A157)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COUNTIF(BRON!A:A,'schades-leeftijd'!A158)</f>
        <v>4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COUNTIF(BRON!A:A,'schades-leeftijd'!A159)</f>
        <v>0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COUNTIF(BRON!A:A,'schades-leeftijd'!A160)</f>
        <v>3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COUNTIF(BRON!A:A,'schades-leeftijd'!A161)</f>
        <v>1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COUNTIF(BRON!A:A,'schades-leeftijd'!A162)</f>
        <v>0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COUNTIF(BRON!A:A,'schades-leeftijd'!A163)</f>
        <v>1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COUNTIF(BRON!A:A,'schades-leeftijd'!A164)</f>
        <v>3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COUNTIF(BRON!A:A,'schades-leeftijd'!A165)</f>
        <v>0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COUNTIF(BRON!A:A,'schades-leeftijd'!A166)</f>
        <v>1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COUNTIF(BRON!A:A,'schades-leeftijd'!A167)</f>
        <v>0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COUNTIF(BRON!A:A,'schades-leeftijd'!A168)</f>
        <v>1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COUNTIF(BRON!A:A,'schades-leeftijd'!A169)</f>
        <v>0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COUNTIF(BRON!A:A,'schades-leeftijd'!A170)</f>
        <v>1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COUNTIF(BRON!A:A,'schades-leeftijd'!A171)</f>
        <v>2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COUNTIF(BRON!A:A,'schades-leeftijd'!A172)</f>
        <v>0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COUNTIF(BRON!A:A,'schades-leeftijd'!A173)</f>
        <v>2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COUNTIF(BRON!A:A,'schades-leeftijd'!A174)</f>
        <v>0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COUNTIF(BRON!A:A,'schades-leeftijd'!A175)</f>
        <v>3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COUNTIF(BRON!A:A,'schades-leeftijd'!A176)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COUNTIF(BRON!A:A,'schades-leeftijd'!A177)</f>
        <v>2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COUNTIF(BRON!A:A,'schades-leeftijd'!A178)</f>
        <v>3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COUNTIF(BRON!A:A,'schades-leeftijd'!A179)</f>
        <v>0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COUNTIF(BRON!A:A,'schades-leeftijd'!A180)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COUNTIF(BRON!A:A,'schades-leeftijd'!A181)</f>
        <v>1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COUNTIF(BRON!A:A,'schades-leeftijd'!A182)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COUNTIF(BRON!A:A,'schades-leeftijd'!A183)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COUNTIF(BRON!A:A,'schades-leeftijd'!A184)</f>
        <v>0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COUNTIF(BRON!A:A,'schades-leeftijd'!A185)</f>
        <v>1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COUNTIF(BRON!A:A,'schades-leeftijd'!A186)</f>
        <v>0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COUNTIF(BRON!A:A,'schades-leeftijd'!A187)</f>
        <v>1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COUNTIF(BRON!A:A,'schades-leeftijd'!A188)</f>
        <v>0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COUNTIF(BRON!A:A,'schades-leeftijd'!A189)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COUNTIF(BRON!A:A,'schades-leeftijd'!A190)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COUNTIF(BRON!A:A,'schades-leeftijd'!A191)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COUNTIF(BRON!A:A,'schades-leeftijd'!A192)</f>
        <v>1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COUNTIF(BRON!A:A,'schades-leeftijd'!A193)</f>
        <v>3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COUNTIF(BRON!A:A,'schades-leeftijd'!A194)</f>
        <v>1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COUNTIF(BRON!A:A,'schades-leeftijd'!A195)</f>
        <v>0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COUNTIF(BRON!A:A,'schades-leeftijd'!A196)</f>
        <v>1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COUNTIF(BRON!A:A,'schades-leeftijd'!A197)</f>
        <v>0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COUNTIF(BRON!A:A,'schades-leeftijd'!A198)</f>
        <v>2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COUNTIF(BRON!A:A,'schades-leeftijd'!A199)</f>
        <v>0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COUNTIF(BRON!A:A,'schades-leeftijd'!A200)</f>
        <v>6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COUNTIF(BRON!A:A,'schades-leeftijd'!A201)</f>
        <v>0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COUNTIF(BRON!A:A,'schades-leeftijd'!A202)</f>
        <v>1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COUNTIF(BRON!A:A,'schades-leeftijd'!A203)</f>
        <v>0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COUNTIF(BRON!A:A,'schades-leeftijd'!A204)</f>
        <v>1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COUNTIF(BRON!A:A,'schades-leeftijd'!A205)</f>
        <v>3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COUNTIF(BRON!A:A,'schades-leeftijd'!A206)</f>
        <v>0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COUNTIF(BRON!A:A,'schades-leeftijd'!A207)</f>
        <v>1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COUNTIF(BRON!A:A,'schades-leeftijd'!A208)</f>
        <v>0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COUNTIF(BRON!A:A,'schades-leeftijd'!A209)</f>
        <v>1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COUNTIF(BRON!A:A,'schades-leeftijd'!A210)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COUNTIF(BRON!A:A,'schades-leeftijd'!A211)</f>
        <v>3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COUNTIF(BRON!A:A,'schades-leeftijd'!A212)</f>
        <v>0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COUNTIF(BRON!A:A,'schades-leeftijd'!A213)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COUNTIF(BRON!A:A,'schades-leeftijd'!A214)</f>
        <v>1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COUNTIF(BRON!A:A,'schades-leeftijd'!A215)</f>
        <v>2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COUNTIF(BRON!A:A,'schades-leeftijd'!A216)</f>
        <v>3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COUNTIF(BRON!A:A,'schades-leeftijd'!A217)</f>
        <v>1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COUNTIF(BRON!A:A,'schades-leeftijd'!A218)</f>
        <v>0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COUNTIF(BRON!A:A,'schades-leeftijd'!A219)</f>
        <v>2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COUNTIF(BRON!A:A,'schades-leeftijd'!A220)</f>
        <v>0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COUNTIF(BRON!A:A,'schades-leeftijd'!A221)</f>
        <v>2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COUNTIF(BRON!A:A,'schades-leeftijd'!A222)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COUNTIF(BRON!A:A,'schades-leeftijd'!A223)</f>
        <v>3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COUNTIF(BRON!A:A,'schades-leeftijd'!A224)</f>
        <v>0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COUNTIF(BRON!A:A,'schades-leeftijd'!A225)</f>
        <v>2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COUNTIF(BRON!A:A,'schades-leeftijd'!A226)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COUNTIF(BRON!A:A,'schades-leeftijd'!A227)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COUNTIF(BRON!A:A,'schades-leeftijd'!A228)</f>
        <v>1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COUNTIF(BRON!A:A,'schades-leeftijd'!A229)</f>
        <v>2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COUNTIF(BRON!A:A,'schades-leeftijd'!A230)</f>
        <v>3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COUNTIF(BRON!A:A,'schades-leeftijd'!A231)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COUNTIF(BRON!A:A,'schades-leeftijd'!A232)</f>
        <v>0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COUNTIF(BRON!A:A,'schades-leeftijd'!A233)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COUNTIF(BRON!A:A,'schades-leeftijd'!A234)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COUNTIF(BRON!A:A,'schades-leeftijd'!A235)</f>
        <v>2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COUNTIF(BRON!A:A,'schades-leeftijd'!A236)</f>
        <v>0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COUNTIF(BRON!A:A,'schades-leeftijd'!A237)</f>
        <v>1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COUNTIF(BRON!A:A,'schades-leeftijd'!A238)</f>
        <v>2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COUNTIF(BRON!A:A,'schades-leeftijd'!A239)</f>
        <v>0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COUNTIF(BRON!A:A,'schades-leeftijd'!A240)</f>
        <v>5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COUNTIF(BRON!A:A,'schades-leeftijd'!A241)</f>
        <v>1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COUNTIF(BRON!A:A,'schades-leeftijd'!A242)</f>
        <v>2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COUNTIF(BRON!A:A,'schades-leeftijd'!A243)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COUNTIF(BRON!A:A,'schades-leeftijd'!A244)</f>
        <v>1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COUNTIF(BRON!A:A,'schades-leeftijd'!A245)</f>
        <v>0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COUNTIF(BRON!A:A,'schades-leeftijd'!A246)</f>
        <v>2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COUNTIF(BRON!A:A,'schades-leeftijd'!A247)</f>
        <v>1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COUNTIF(BRON!A:A,'schades-leeftijd'!A248)</f>
        <v>0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COUNTIF(BRON!A:A,'schades-leeftijd'!A249)</f>
        <v>1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COUNTIF(BRON!A:A,'schades-leeftijd'!A250)</f>
        <v>0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COUNTIF(BRON!A:A,'schades-leeftijd'!A251)</f>
        <v>2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COUNTIF(BRON!A:A,'schades-leeftijd'!A252)</f>
        <v>1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COUNTIF(BRON!A:A,'schades-leeftijd'!A253)</f>
        <v>4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COUNTIF(BRON!A:A,'schades-leeftijd'!A254)</f>
        <v>0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COUNTIF(BRON!A:A,'schades-leeftijd'!A255)</f>
        <v>2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COUNTIF(BRON!A:A,'schades-leeftijd'!A256)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COUNTIF(BRON!A:A,'schades-leeftijd'!A257)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COUNTIF(BRON!A:A,'schades-leeftijd'!A258)</f>
        <v>3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COUNTIF(BRON!A:A,'schades-leeftijd'!A259)</f>
        <v>6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COUNTIF(BRON!A:A,'schades-leeftijd'!A260)</f>
        <v>0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COUNTIF(BRON!A:A,'schades-leeftijd'!A261)</f>
        <v>2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COUNTIF(BRON!A:A,'schades-leeftijd'!A262)</f>
        <v>3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COUNTIF(BRON!A:A,'schades-leeftijd'!A263)</f>
        <v>2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COUNTIF(BRON!A:A,'schades-leeftijd'!A264)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COUNTIF(BRON!A:A,'schades-leeftijd'!A265)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COUNTIF(BRON!A:A,'schades-leeftijd'!A266)</f>
        <v>0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COUNTIF(BRON!A:A,'schades-leeftijd'!A267)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COUNTIF(BRON!A:A,'schades-leeftijd'!A268)</f>
        <v>1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COUNTIF(BRON!A:A,'schades-leeftijd'!A269)</f>
        <v>0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COUNTIF(BRON!A:A,'schades-leeftijd'!A270)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COUNTIF(BRON!A:A,'schades-leeftijd'!A271)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COUNTIF(BRON!A:A,'schades-leeftijd'!A272)</f>
        <v>4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COUNTIF(BRON!A:A,'schades-leeftijd'!A273)</f>
        <v>1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COUNTIF(BRON!A:A,'schades-leeftijd'!A274)</f>
        <v>2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COUNTIF(BRON!A:A,'schades-leeftijd'!A275)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COUNTIF(BRON!A:A,'schades-leeftijd'!A276)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COUNTIF(BRON!A:A,'schades-leeftijd'!A277)</f>
        <v>0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COUNTIF(BRON!A:A,'schades-leeftijd'!A278)</f>
        <v>5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COUNTIF(BRON!A:A,'schades-leeftijd'!A279)</f>
        <v>4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COUNTIF(BRON!A:A,'schades-leeftijd'!A280)</f>
        <v>3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COUNTIF(BRON!A:A,'schades-leeftijd'!A281)</f>
        <v>5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COUNTIF(BRON!A:A,'schades-leeftijd'!A282)</f>
        <v>0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COUNTIF(BRON!A:A,'schades-leeftijd'!A283)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COUNTIF(BRON!A:A,'schades-leeftijd'!A284)</f>
        <v>1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COUNTIF(BRON!A:A,'schades-leeftijd'!A285)</f>
        <v>0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COUNTIF(BRON!A:A,'schades-leeftijd'!A286)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COUNTIF(BRON!A:A,'schades-leeftijd'!A287)</f>
        <v>2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COUNTIF(BRON!A:A,'schades-leeftijd'!A288)</f>
        <v>1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COUNTIF(BRON!A:A,'schades-leeftijd'!A289)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COUNTIF(BRON!A:A,'schades-leeftijd'!A290)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COUNTIF(BRON!A:A,'schades-leeftijd'!A291)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COUNTIF(BRON!A:A,'schades-leeftijd'!A292)</f>
        <v>0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COUNTIF(BRON!A:A,'schades-leeftijd'!A293)</f>
        <v>2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COUNTIF(BRON!A:A,'schades-leeftijd'!A294)</f>
        <v>0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COUNTIF(BRON!A:A,'schades-leeftijd'!A295)</f>
        <v>2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COUNTIF(BRON!A:A,'schades-leeftijd'!A296)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COUNTIF(BRON!A:A,'schades-leeftijd'!A297)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COUNTIF(BRON!A:A,'schades-leeftijd'!A298)</f>
        <v>0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COUNTIF(BRON!A:A,'schades-leeftijd'!A299)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COUNTIF(BRON!A:A,'schades-leeftijd'!A300)</f>
        <v>2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COUNTIF(BRON!A:A,'schades-leeftijd'!A301)</f>
        <v>1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COUNTIF(BRON!A:A,'schades-leeftijd'!A302)</f>
        <v>4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COUNTIF(BRON!A:A,'schades-leeftijd'!A303)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COUNTIF(BRON!A:A,'schades-leeftijd'!A304)</f>
        <v>0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COUNTIF(BRON!A:A,'schades-leeftijd'!A305)</f>
        <v>1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COUNTIF(BRON!A:A,'schades-leeftijd'!A306)</f>
        <v>2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COUNTIF(BRON!A:A,'schades-leeftijd'!A307)</f>
        <v>1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COUNTIF(BRON!A:A,'schades-leeftijd'!A308)</f>
        <v>0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COUNTIF(BRON!A:A,'schades-leeftijd'!A309)</f>
        <v>1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COUNTIF(BRON!A:A,'schades-leeftijd'!A310)</f>
        <v>3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COUNTIF(BRON!A:A,'schades-leeftijd'!A311)</f>
        <v>1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COUNTIF(BRON!A:A,'schades-leeftijd'!A312)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COUNTIF(BRON!A:A,'schades-leeftijd'!A313)</f>
        <v>0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COUNTIF(BRON!A:A,'schades-leeftijd'!A314)</f>
        <v>4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COUNTIF(BRON!A:A,'schades-leeftijd'!A315)</f>
        <v>1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COUNTIF(BRON!A:A,'schades-leeftijd'!A316)</f>
        <v>0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COUNTIF(BRON!A:A,'schades-leeftijd'!A317)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COUNTIF(BRON!A:A,'schades-leeftijd'!A318)</f>
        <v>3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COUNTIF(BRON!A:A,'schades-leeftijd'!A319)</f>
        <v>1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COUNTIF(BRON!A:A,'schades-leeftijd'!A320)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COUNTIF(BRON!A:A,'schades-leeftijd'!A321)</f>
        <v>2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COUNTIF(BRON!A:A,'schades-leeftijd'!A322)</f>
        <v>3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COUNTIF(BRON!A:A,'schades-leeftijd'!A323)</f>
        <v>1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COUNTIF(BRON!A:A,'schades-leeftijd'!A324)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COUNTIF(BRON!A:A,'schades-leeftijd'!A325)</f>
        <v>0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COUNTIF(BRON!A:A,'schades-leeftijd'!A326)</f>
        <v>2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COUNTIF(BRON!A:A,'schades-leeftijd'!A327)</f>
        <v>0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COUNTIF(BRON!A:A,'schades-leeftijd'!A328)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COUNTIF(BRON!A:A,'schades-leeftijd'!A329)</f>
        <v>3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COUNTIF(BRON!A:A,'schades-leeftijd'!A330)</f>
        <v>0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COUNTIF(BRON!A:A,'schades-leeftijd'!A331)</f>
        <v>5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COUNTIF(BRON!A:A,'schades-leeftijd'!A332)</f>
        <v>1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COUNTIF(BRON!A:A,'schades-leeftijd'!A333)</f>
        <v>3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COUNTIF(BRON!A:A,'schades-leeftijd'!A334)</f>
        <v>1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COUNTIF(BRON!A:A,'schades-leeftijd'!A335)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COUNTIF(BRON!A:A,'schades-leeftijd'!A336)</f>
        <v>0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COUNTIF(BRON!A:A,'schades-leeftijd'!A337)</f>
        <v>3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COUNTIF(BRON!A:A,'schades-leeftijd'!A338)</f>
        <v>1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COUNTIF(BRON!A:A,'schades-leeftijd'!A339)</f>
        <v>0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COUNTIF(BRON!A:A,'schades-leeftijd'!A340)</f>
        <v>2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COUNTIF(BRON!A:A,'schades-leeftijd'!A341)</f>
        <v>1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COUNTIF(BRON!A:A,'schades-leeftijd'!A342)</f>
        <v>3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COUNTIF(BRON!A:A,'schades-leeftijd'!A343)</f>
        <v>0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COUNTIF(BRON!A:A,'schades-leeftijd'!A344)</f>
        <v>10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COUNTIF(BRON!A:A,'schades-leeftijd'!A345)</f>
        <v>5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COUNTIF(BRON!A:A,'schades-leeftijd'!A346)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COUNTIF(BRON!A:A,'schades-leeftijd'!A347)</f>
        <v>3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COUNTIF(BRON!A:A,'schades-leeftijd'!A348)</f>
        <v>1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COUNTIF(BRON!A:A,'schades-leeftijd'!A349)</f>
        <v>0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COUNTIF(BRON!A:A,'schades-leeftijd'!A350)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COUNTIF(BRON!A:A,'schades-leeftijd'!A351)</f>
        <v>2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COUNTIF(BRON!A:A,'schades-leeftijd'!A352)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COUNTIF(BRON!A:A,'schades-leeftijd'!A353)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COUNTIF(BRON!A:A,'schades-leeftijd'!A354)</f>
        <v>1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COUNTIF(BRON!A:A,'schades-leeftijd'!A355)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COUNTIF(BRON!A:A,'schades-leeftijd'!A356)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COUNTIF(BRON!A:A,'schades-leeftijd'!A357)</f>
        <v>0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COUNTIF(BRON!A:A,'schades-leeftijd'!A358)</f>
        <v>2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COUNTIF(BRON!A:A,'schades-leeftijd'!A359)</f>
        <v>4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COUNTIF(BRON!A:A,'schades-leeftijd'!A360)</f>
        <v>1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COUNTIF(BRON!A:A,'schades-leeftijd'!A361)</f>
        <v>3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COUNTIF(BRON!A:A,'schades-leeftijd'!A362)</f>
        <v>4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COUNTIF(BRON!A:A,'schades-leeftijd'!A363)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COUNTIF(BRON!A:A,'schades-leeftijd'!A364)</f>
        <v>3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COUNTIF(BRON!A:A,'schades-leeftijd'!A365)</f>
        <v>5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COUNTIF(BRON!A:A,'schades-leeftijd'!A366)</f>
        <v>6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COUNTIF(BRON!A:A,'schades-leeftijd'!A367)</f>
        <v>1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COUNTIF(BRON!A:A,'schades-leeftijd'!A368)</f>
        <v>0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COUNTIF(BRON!A:A,'schades-leeftijd'!A369)</f>
        <v>2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COUNTIF(BRON!A:A,'schades-leeftijd'!A370)</f>
        <v>8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COUNTIF(BRON!A:A,'schades-leeftijd'!A371)</f>
        <v>1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COUNTIF(BRON!A:A,'schades-leeftijd'!A372)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COUNTIF(BRON!A:A,'schades-leeftijd'!A373)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COUNTIF(BRON!A:A,'schades-leeftijd'!A374)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COUNTIF(BRON!A:A,'schades-leeftijd'!A375)</f>
        <v>3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COUNTIF(BRON!A:A,'schades-leeftijd'!A376)</f>
        <v>0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COUNTIF(BRON!A:A,'schades-leeftijd'!A377)</f>
        <v>1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COUNTIF(BRON!A:A,'schades-leeftijd'!A378)</f>
        <v>2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COUNTIF(BRON!A:A,'schades-leeftijd'!A379)</f>
        <v>3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COUNTIF(BRON!A:A,'schades-leeftijd'!A380)</f>
        <v>1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COUNTIF(BRON!A:A,'schades-leeftijd'!A381)</f>
        <v>0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COUNTIF(BRON!A:A,'schades-leeftijd'!A382)</f>
        <v>1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COUNTIF(BRON!A:A,'schades-leeftijd'!A383)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COUNTIF(BRON!A:A,'schades-leeftijd'!A384)</f>
        <v>0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COUNTIF(BRON!A:A,'schades-leeftijd'!A385)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COUNTIF(BRON!A:A,'schades-leeftijd'!A386)</f>
        <v>4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COUNTIF(BRON!A:A,'schades-leeftijd'!A387)</f>
        <v>3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COUNTIF(BRON!A:A,'schades-leeftijd'!A388)</f>
        <v>5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COUNTIF(BRON!A:A,'schades-leeftijd'!A389)</f>
        <v>0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COUNTIF(BRON!A:A,'schades-leeftijd'!A390)</f>
        <v>1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COUNTIF(BRON!A:A,'schades-leeftijd'!A391)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COUNTIF(BRON!A:A,'schades-leeftijd'!A392)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COUNTIF(BRON!A:A,'schades-leeftijd'!A393)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COUNTIF(BRON!A:A,'schades-leeftijd'!A394)</f>
        <v>3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COUNTIF(BRON!A:A,'schades-leeftijd'!A395)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COUNTIF(BRON!A:A,'schades-leeftijd'!A396)</f>
        <v>4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COUNTIF(BRON!A:A,'schades-leeftijd'!A397)</f>
        <v>3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COUNTIF(BRON!A:A,'schades-leeftijd'!A398)</f>
        <v>0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COUNTIF(BRON!A:A,'schades-leeftijd'!A399)</f>
        <v>1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COUNTIF(BRON!A:A,'schades-leeftijd'!A400)</f>
        <v>2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COUNTIF(BRON!A:A,'schades-leeftijd'!A401)</f>
        <v>4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COUNTIF(BRON!A:A,'schades-leeftijd'!A402)</f>
        <v>5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COUNTIF(BRON!A:A,'schades-leeftijd'!A403)</f>
        <v>4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COUNTIF(BRON!A:A,'schades-leeftijd'!A404)</f>
        <v>7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COUNTIF(BRON!A:A,'schades-leeftijd'!A405)</f>
        <v>3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COUNTIF(BRON!A:A,'schades-leeftijd'!A406)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COUNTIF(BRON!A:A,'schades-leeftijd'!A407)</f>
        <v>2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COUNTIF(BRON!A:A,'schades-leeftijd'!A408)</f>
        <v>0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COUNTIF(BRON!A:A,'schades-leeftijd'!A409)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COUNTIF(BRON!A:A,'schades-leeftijd'!A410)</f>
        <v>1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COUNTIF(BRON!A:A,'schades-leeftijd'!A411)</f>
        <v>3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COUNTIF(BRON!A:A,'schades-leeftijd'!A412)</f>
        <v>4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COUNTIF(BRON!A:A,'schades-leeftijd'!A413)</f>
        <v>3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COUNTIF(BRON!A:A,'schades-leeftijd'!A414)</f>
        <v>0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COUNTIF(BRON!A:A,'schades-leeftijd'!A415)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COUNTIF(BRON!A:A,'schades-leeftijd'!A416)</f>
        <v>1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COUNTIF(BRON!A:A,'schades-leeftijd'!A417)</f>
        <v>5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COUNTIF(BRON!A:A,'schades-leeftijd'!A418)</f>
        <v>2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COUNTIF(BRON!A:A,'schades-leeftijd'!A419)</f>
        <v>4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COUNTIF(BRON!A:A,'schades-leeftijd'!A420)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COUNTIF(BRON!A:A,'schades-leeftijd'!A421)</f>
        <v>6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COUNTIF(BRON!A:A,'schades-leeftijd'!A422)</f>
        <v>2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COUNTIF(BRON!A:A,'schades-leeftijd'!A423)</f>
        <v>0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COUNTIF(BRON!A:A,'schades-leeftijd'!A424)</f>
        <v>5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COUNTIF(BRON!A:A,'schades-leeftijd'!A425)</f>
        <v>1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COUNTIF(BRON!A:A,'schades-leeftijd'!A426)</f>
        <v>4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COUNTIF(BRON!A:A,'schades-leeftijd'!A427)</f>
        <v>2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COUNTIF(BRON!A:A,'schades-leeftijd'!A428)</f>
        <v>6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COUNTIF(BRON!A:A,'schades-leeftijd'!A429)</f>
        <v>5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COUNTIF(BRON!A:A,'schades-leeftijd'!A430)</f>
        <v>1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COUNTIF(BRON!A:A,'schades-leeftijd'!A431)</f>
        <v>4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COUNTIF(BRON!A:A,'schades-leeftijd'!A432)</f>
        <v>0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COUNTIF(BRON!A:A,'schades-leeftijd'!A433)</f>
        <v>2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COUNTIF(BRON!A:A,'schades-leeftijd'!A434)</f>
        <v>7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COUNTIF(BRON!A:A,'schades-leeftijd'!A435)</f>
        <v>2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COUNTIF(BRON!A:A,'schades-leeftijd'!A436)</f>
        <v>1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COUNTIF(BRON!A:A,'schades-leeftijd'!A437)</f>
        <v>2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COUNTIF(BRON!A:A,'schades-leeftijd'!A438)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COUNTIF(BRON!A:A,'schades-leeftijd'!A439)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COUNTIF(BRON!A:A,'schades-leeftijd'!A440)</f>
        <v>4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COUNTIF(BRON!A:A,'schades-leeftijd'!A441)</f>
        <v>1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COUNTIF(BRON!A:A,'schades-leeftijd'!A442)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COUNTIF(BRON!A:A,'schades-leeftijd'!A443)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COUNTIF(BRON!A:A,'schades-leeftijd'!A444)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COUNTIF(BRON!A:A,'schades-leeftijd'!A445)</f>
        <v>2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COUNTIF(BRON!A:A,'schades-leeftijd'!A446)</f>
        <v>1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COUNTIF(BRON!A:A,'schades-leeftijd'!A447)</f>
        <v>9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COUNTIF(BRON!A:A,'schades-leeftijd'!A448)</f>
        <v>2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COUNTIF(BRON!A:A,'schades-leeftijd'!A449)</f>
        <v>0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COUNTIF(BRON!A:A,'schades-leeftijd'!A450)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COUNTIF(BRON!A:A,'schades-leeftijd'!A451)</f>
        <v>2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COUNTIF(BRON!A:A,'schades-leeftijd'!A452)</f>
        <v>1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COUNTIF(BRON!A:A,'schades-leeftijd'!A453)</f>
        <v>2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COUNTIF(BRON!A:A,'schades-leeftijd'!A454)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COUNTIF(BRON!A:A,'schades-leeftijd'!A455)</f>
        <v>3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COUNTIF(BRON!A:A,'schades-leeftijd'!A456)</f>
        <v>7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COUNTIF(BRON!A:A,'schades-leeftijd'!A457)</f>
        <v>4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COUNTIF(BRON!A:A,'schades-leeftijd'!A458)</f>
        <v>10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COUNTIF(BRON!A:A,'schades-leeftijd'!A459)</f>
        <v>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COUNTIF(BRON!A:A,'schades-leeftijd'!A460)</f>
        <v>2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COUNTIF(BRON!A:A,'schades-leeftijd'!A461)</f>
        <v>0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COUNTIF(BRON!A:A,'schades-leeftijd'!A462)</f>
        <v>2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COUNTIF(BRON!A:A,'schades-leeftijd'!A463)</f>
        <v>0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COUNTIF(BRON!A:A,'schades-leeftijd'!A464)</f>
        <v>3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COUNTIF(BRON!A:A,'schades-leeftijd'!A465)</f>
        <v>4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COUNTIF(BRON!A:A,'schades-leeftijd'!A466)</f>
        <v>1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COUNTIF(BRON!A:A,'schades-leeftijd'!A467)</f>
        <v>3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COUNTIF(BRON!A:A,'schades-leeftijd'!A468)</f>
        <v>1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COUNTIF(BRON!A:A,'schades-leeftijd'!A469)</f>
        <v>0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COUNTIF(BRON!A:A,'schades-leeftijd'!A470)</f>
        <v>3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COUNTIF(BRON!A:A,'schades-leeftijd'!A471)</f>
        <v>1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COUNTIF(BRON!A:A,'schades-leeftijd'!A472)</f>
        <v>0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COUNTIF(BRON!A:A,'schades-leeftijd'!A473)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COUNTIF(BRON!A:A,'schades-leeftijd'!A474)</f>
        <v>1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COUNTIF(BRON!A:A,'schades-leeftijd'!A475)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COUNTIF(BRON!A:A,'schades-leeftijd'!A476)</f>
        <v>0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COUNTIF(BRON!A:A,'schades-leeftijd'!A477)</f>
        <v>4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COUNTIF(BRON!A:A,'schades-leeftijd'!A478)</f>
        <v>1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COUNTIF(BRON!A:A,'schades-leeftijd'!A479)</f>
        <v>2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COUNTIF(BRON!A:A,'schades-leeftijd'!A480)</f>
        <v>0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COUNTIF(BRON!A:A,'schades-leeftijd'!A481)</f>
        <v>2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COUNTIF(BRON!A:A,'schades-leeftijd'!A482)</f>
        <v>1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COUNTIF(BRON!A:A,'schades-leeftijd'!A483)</f>
        <v>2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COUNTIF(BRON!A:A,'schades-leeftijd'!A484)</f>
        <v>7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COUNTIF(BRON!A:A,'schades-leeftijd'!A485)</f>
        <v>6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COUNTIF(BRON!A:A,'schades-leeftijd'!A486)</f>
        <v>1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COUNTIF(BRON!A:A,'schades-leeftijd'!A487)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COUNTIF(BRON!A:A,'schades-leeftijd'!A488)</f>
        <v>5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COUNTIF(BRON!A:A,'schades-leeftijd'!A489)</f>
        <v>4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COUNTIF(BRON!A:A,'schades-leeftijd'!A490)</f>
        <v>0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COUNTIF(BRON!A:A,'schades-leeftijd'!A491)</f>
        <v>4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COUNTIF(BRON!A:A,'schades-leeftijd'!A492)</f>
        <v>3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COUNTIF(BRON!A:A,'schades-leeftijd'!A493)</f>
        <v>2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COUNTIF(BRON!A:A,'schades-leeftijd'!A494)</f>
        <v>4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COUNTIF(BRON!A:A,'schades-leeftijd'!A495)</f>
        <v>2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COUNTIF(BRON!A:A,'schades-leeftijd'!A496)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COUNTIF(BRON!A:A,'schades-leeftijd'!A497)</f>
        <v>8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COUNTIF(BRON!A:A,'schades-leeftijd'!A498)</f>
        <v>1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COUNTIF(BRON!A:A,'schades-leeftijd'!A499)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COUNTIF(BRON!A:A,'schades-leeftijd'!A500)</f>
        <v>5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COUNTIF(BRON!A:A,'schades-leeftijd'!A501)</f>
        <v>2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COUNTIF(BRON!A:A,'schades-leeftijd'!A502)</f>
        <v>3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COUNTIF(BRON!A:A,'schades-leeftijd'!A503)</f>
        <v>2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COUNTIF(BRON!A:A,'schades-leeftijd'!A504)</f>
        <v>0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COUNTIF(BRON!A:A,'schades-leeftijd'!A505)</f>
        <v>1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COUNTIF(BRON!A:A,'schades-leeftijd'!A506)</f>
        <v>0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COUNTIF(BRON!A:A,'schades-leeftijd'!A507)</f>
        <v>1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COUNTIF(BRON!A:A,'schades-leeftijd'!A508)</f>
        <v>4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COUNTIF(BRON!A:A,'schades-leeftijd'!A509)</f>
        <v>3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COUNTIF(BRON!A:A,'schades-leeftijd'!A510)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COUNTIF(BRON!A:A,'schades-leeftijd'!A511)</f>
        <v>0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COUNTIF(BRON!A:A,'schades-leeftijd'!A512)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COUNTIF(BRON!A:A,'schades-leeftijd'!A513)</f>
        <v>2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COUNTIF(BRON!A:A,'schades-leeftijd'!A514)</f>
        <v>3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COUNTIF(BRON!A:A,'schades-leeftijd'!A515)</f>
        <v>0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COUNTIF(BRON!A:A,'schades-leeftijd'!A516)</f>
        <v>1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COUNTIF(BRON!A:A,'schades-leeftijd'!A517)</f>
        <v>0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COUNTIF(BRON!A:A,'schades-leeftijd'!A518)</f>
        <v>1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COUNTIF(BRON!A:A,'schades-leeftijd'!A519)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COUNTIF(BRON!A:A,'schades-leeftijd'!A520)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COUNTIF(BRON!A:A,'schades-leeftijd'!A521)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COUNTIF(BRON!A:A,'schades-leeftijd'!A522)</f>
        <v>0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COUNTIF(BRON!A:A,'schades-leeftijd'!A523)</f>
        <v>1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COUNTIF(BRON!A:A,'schades-leeftijd'!A524)</f>
        <v>2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COUNTIF(BRON!A:A,'schades-leeftijd'!A525)</f>
        <v>3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COUNTIF(BRON!A:A,'schades-leeftijd'!A526)</f>
        <v>0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COUNTIF(BRON!A:A,'schades-leeftijd'!A527)</f>
        <v>1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COUNTIF(BRON!A:A,'schades-leeftijd'!A528)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COUNTIF(BRON!A:A,'schades-leeftijd'!A529)</f>
        <v>0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COUNTIF(BRON!A:A,'schades-leeftijd'!A530)</f>
        <v>2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COUNTIF(BRON!A:A,'schades-leeftijd'!A531)</f>
        <v>0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COUNTIF(BRON!A:A,'schades-leeftijd'!A532)</f>
        <v>3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COUNTIF(BRON!A:A,'schades-leeftijd'!A533)</f>
        <v>1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COUNTIF(BRON!A:A,'schades-leeftijd'!A534)</f>
        <v>0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COUNTIF(BRON!A:A,'schades-leeftijd'!A535)</f>
        <v>1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COUNTIF(BRON!A:A,'schades-leeftijd'!A536)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COUNTIF(BRON!A:A,'schades-leeftijd'!A537)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COUNTIF(BRON!A:A,'schades-leeftijd'!A538)</f>
        <v>0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COUNTIF(BRON!A:A,'schades-leeftijd'!A539)</f>
        <v>1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COUNTIF(BRON!A:A,'schades-leeftijd'!A540)</f>
        <v>0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COUNTIF(BRON!A:A,'schades-leeftijd'!A541)</f>
        <v>2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COUNTIF(BRON!A:A,'schades-leeftijd'!A542)</f>
        <v>3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COUNTIF(BRON!A:A,'schades-leeftijd'!A543)</f>
        <v>0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COUNTIF(BRON!A:A,'schades-leeftijd'!A544)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COUNTIF(BRON!A:A,'schades-leeftijd'!A545)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COUNTIF(BRON!A:A,'schades-leeftijd'!A546)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COUNTIF(BRON!A:A,'schades-leeftijd'!A547)</f>
        <v>1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COUNTIF(BRON!A:A,'schades-leeftijd'!A548)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COUNTIF(BRON!A:A,'schades-leeftijd'!A549)</f>
        <v>5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COUNTIF(BRON!A:A,'schades-leeftijd'!A550)</f>
        <v>0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COUNTIF(BRON!A:A,'schades-leeftijd'!A551)</f>
        <v>1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COUNTIF(BRON!A:A,'schades-leeftijd'!A552)</f>
        <v>3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COUNTIF(BRON!A:A,'schades-leeftijd'!A553)</f>
        <v>1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COUNTIF(BRON!A:A,'schades-leeftijd'!A554)</f>
        <v>0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COUNTIF(BRON!A:A,'schades-leeftijd'!A555)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COUNTIF(BRON!A:A,'schades-leeftijd'!A556)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COUNTIF(BRON!A:A,'schades-leeftijd'!A557)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COUNTIF(BRON!A:A,'schades-leeftijd'!A558)</f>
        <v>4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COUNTIF(BRON!A:A,'schades-leeftijd'!A559)</f>
        <v>0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COUNTIF(BRON!A:A,'schades-leeftijd'!A560)</f>
        <v>1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COUNTIF(BRON!A:A,'schades-leeftijd'!A561)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COUNTIF(BRON!A:A,'schades-leeftijd'!A562)</f>
        <v>0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COUNTIF(BRON!A:A,'schades-leeftijd'!A563)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COUNTIF(BRON!A:A,'schades-leeftijd'!A564)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COUNTIF(BRON!A:A,'schades-leeftijd'!A565)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COUNTIF(BRON!A:A,'schades-leeftijd'!A566)</f>
        <v>1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COUNTIF(BRON!A:A,'schades-leeftijd'!A567)</f>
        <v>0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COUNTIF(BRON!A:A,'schades-leeftijd'!A568)</f>
        <v>2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COUNTIF(BRON!A:A,'schades-leeftijd'!A569)</f>
        <v>1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COUNTIF(BRON!A:A,'schades-leeftijd'!A570)</f>
        <v>2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COUNTIF(BRON!A:A,'schades-leeftijd'!A571)</f>
        <v>1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COUNTIF(BRON!A:A,'schades-leeftijd'!A572)</f>
        <v>0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COUNTIF(BRON!A:A,'schades-leeftijd'!A573)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COUNTIF(BRON!A:A,'schades-leeftijd'!A574)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COUNTIF(BRON!A:A,'schades-leeftijd'!A575)</f>
        <v>1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COUNTIF(BRON!A:A,'schades-leeftijd'!A576)</f>
        <v>0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COUNTIF(BRON!A:A,'schades-leeftijd'!A577)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COUNTIF(BRON!A:A,'schades-leeftijd'!A578)</f>
        <v>1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COUNTIF(BRON!A:A,'schades-leeftijd'!A579)</f>
        <v>0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COUNTIF(BRON!A:A,'schades-leeftijd'!A580)</f>
        <v>2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COUNTIF(BRON!A:A,'schades-leeftijd'!A581)</f>
        <v>0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COUNTIF(BRON!A:A,'schades-leeftijd'!A582)</f>
        <v>1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COUNTIF(BRON!A:A,'schades-leeftijd'!A583)</f>
        <v>0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COUNTIF(BRON!A:A,'schades-leeftijd'!A584)</f>
        <v>4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COUNTIF(BRON!A:A,'schades-leeftijd'!A585)</f>
        <v>1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COUNTIF(BRON!A:A,'schades-leeftijd'!A586)</f>
        <v>0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COUNTIF(BRON!A:A,'schades-leeftijd'!A587)</f>
        <v>1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COUNTIF(BRON!A:A,'schades-leeftijd'!A588)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COUNTIF(BRON!A:A,'schades-leeftijd'!A589)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COUNTIF(BRON!A:A,'schades-leeftijd'!A590)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COUNTIF(BRON!A:A,'schades-leeftijd'!A591)</f>
        <v>0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COUNTIF(BRON!A:A,'schades-leeftijd'!A592)</f>
        <v>1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COUNTIF(BRON!A:A,'schades-leeftijd'!A593)</f>
        <v>0</v>
      </c>
    </row>
  </sheetData>
  <pageMargins left="0.7" right="0.7" top="0.75" bottom="0.75" header="0.3" footer="0.3"/>
  <pageSetup paperSize="8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zoomScale="90" zoomScaleNormal="90" workbookViewId="0">
      <selection activeCell="F18" sqref="F18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3868</v>
      </c>
      <c r="H1" t="s">
        <v>3887</v>
      </c>
    </row>
    <row r="2" spans="1:11" x14ac:dyDescent="0.25">
      <c r="A2" s="34" t="s">
        <v>3898</v>
      </c>
      <c r="B2" s="34" t="s">
        <v>2296</v>
      </c>
      <c r="C2" s="34" t="s">
        <v>1495</v>
      </c>
      <c r="D2">
        <v>3926</v>
      </c>
      <c r="E2" s="34" t="s">
        <v>3854</v>
      </c>
      <c r="F2" s="3">
        <v>29885.041666666701</v>
      </c>
      <c r="G2" s="38">
        <f ca="1">TRUNC(YEARFRAC(F2,TODAY(),1))</f>
        <v>44</v>
      </c>
      <c r="H2">
        <f>COUNTIF(BRON!A:A,Tabel6[[#This Row],[Personeelsnummer]])</f>
        <v>0</v>
      </c>
    </row>
    <row r="3" spans="1:11" x14ac:dyDescent="0.25">
      <c r="A3" s="34" t="s">
        <v>3899</v>
      </c>
      <c r="B3" s="34" t="s">
        <v>2968</v>
      </c>
      <c r="C3" s="34" t="s">
        <v>2967</v>
      </c>
      <c r="D3">
        <v>4419</v>
      </c>
      <c r="E3" s="34" t="s">
        <v>3855</v>
      </c>
      <c r="F3" s="3">
        <v>32223.041666666701</v>
      </c>
      <c r="G3" s="38">
        <f ca="1">TRUNC(YEARFRAC(F3,TODAY(),1))</f>
        <v>37</v>
      </c>
      <c r="H3">
        <f>COUNTIF(BRON!A:A,Tabel6[[#This Row],[Personeelsnummer]])</f>
        <v>4</v>
      </c>
      <c r="J3" s="1" t="s">
        <v>3807</v>
      </c>
      <c r="K3" t="s">
        <v>4527</v>
      </c>
    </row>
    <row r="4" spans="1:11" x14ac:dyDescent="0.25">
      <c r="A4" s="34" t="s">
        <v>3900</v>
      </c>
      <c r="B4" s="34" t="s">
        <v>2820</v>
      </c>
      <c r="C4" s="34" t="s">
        <v>2819</v>
      </c>
      <c r="D4">
        <v>4525</v>
      </c>
      <c r="E4" s="34" t="s">
        <v>3851</v>
      </c>
      <c r="F4" s="3">
        <v>32489.041666666701</v>
      </c>
      <c r="G4" s="38">
        <f ca="1">TRUNC(YEARFRAC(F4,TODAY(),1))</f>
        <v>36</v>
      </c>
      <c r="H4">
        <f>COUNTIF(BRON!A:A,Tabel6[[#This Row],[Personeelsnummer]])</f>
        <v>0</v>
      </c>
      <c r="J4" s="40">
        <v>0</v>
      </c>
      <c r="K4" s="35">
        <v>1.0163934426229508</v>
      </c>
    </row>
    <row r="5" spans="1:11" x14ac:dyDescent="0.25">
      <c r="A5" s="34" t="s">
        <v>3901</v>
      </c>
      <c r="B5" s="34" t="s">
        <v>2562</v>
      </c>
      <c r="C5" s="34" t="s">
        <v>2561</v>
      </c>
      <c r="D5">
        <v>4608</v>
      </c>
      <c r="E5" s="34" t="s">
        <v>3855</v>
      </c>
      <c r="F5" s="3">
        <v>32644.083333333299</v>
      </c>
      <c r="G5" s="38">
        <f ca="1">TRUNC(YEARFRAC(F5,TODAY(),1))</f>
        <v>36</v>
      </c>
      <c r="H5">
        <f>COUNTIF(BRON!A:A,Tabel6[[#This Row],[Personeelsnummer]])</f>
        <v>1</v>
      </c>
      <c r="J5" s="40">
        <v>1</v>
      </c>
      <c r="K5" s="35">
        <v>2.2028985507246377</v>
      </c>
    </row>
    <row r="6" spans="1:11" x14ac:dyDescent="0.25">
      <c r="A6" s="34" t="s">
        <v>3902</v>
      </c>
      <c r="B6" s="34" t="s">
        <v>2581</v>
      </c>
      <c r="C6" s="34" t="s">
        <v>1950</v>
      </c>
      <c r="D6">
        <v>4720</v>
      </c>
      <c r="E6" s="34" t="s">
        <v>3856</v>
      </c>
      <c r="F6" s="3">
        <v>32797.083333333299</v>
      </c>
      <c r="G6" s="38">
        <f ca="1">TRUNC(YEARFRAC(F6,TODAY(),1))</f>
        <v>36</v>
      </c>
      <c r="H6">
        <f>COUNTIF(BRON!A:A,Tabel6[[#This Row],[Personeelsnummer]])</f>
        <v>1</v>
      </c>
      <c r="J6" s="40">
        <v>2</v>
      </c>
      <c r="K6" s="35">
        <v>2.7272727272727271</v>
      </c>
    </row>
    <row r="7" spans="1:11" x14ac:dyDescent="0.25">
      <c r="A7" s="34" t="s">
        <v>3903</v>
      </c>
      <c r="B7" s="34" t="s">
        <v>2925</v>
      </c>
      <c r="C7" s="34" t="s">
        <v>2924</v>
      </c>
      <c r="D7">
        <v>4764</v>
      </c>
      <c r="E7" s="34" t="s">
        <v>3854</v>
      </c>
      <c r="F7" s="3">
        <v>32924.041666666701</v>
      </c>
      <c r="G7" s="38">
        <f ca="1">TRUNC(YEARFRAC(F7,TODAY(),1))</f>
        <v>35</v>
      </c>
      <c r="H7">
        <f>COUNTIF(BRON!A:A,Tabel6[[#This Row],[Personeelsnummer]])</f>
        <v>0</v>
      </c>
      <c r="J7" s="40">
        <v>3</v>
      </c>
      <c r="K7" s="35">
        <v>1.8421052631578947</v>
      </c>
    </row>
    <row r="8" spans="1:11" x14ac:dyDescent="0.25">
      <c r="A8" s="34" t="s">
        <v>3904</v>
      </c>
      <c r="B8" s="34" t="s">
        <v>1733</v>
      </c>
      <c r="C8" s="34" t="s">
        <v>1735</v>
      </c>
      <c r="D8">
        <v>4793</v>
      </c>
      <c r="E8" s="34" t="s">
        <v>3855</v>
      </c>
      <c r="F8" s="3">
        <v>32951.041666666701</v>
      </c>
      <c r="G8" s="38">
        <f ca="1">TRUNC(YEARFRAC(F8,TODAY(),1))</f>
        <v>35</v>
      </c>
      <c r="H8">
        <f>COUNTIF(BRON!A:A,Tabel6[[#This Row],[Personeelsnummer]])</f>
        <v>0</v>
      </c>
      <c r="J8" s="40">
        <v>4</v>
      </c>
      <c r="K8" s="35">
        <v>1.9393939393939394</v>
      </c>
    </row>
    <row r="9" spans="1:11" x14ac:dyDescent="0.25">
      <c r="A9" s="34" t="s">
        <v>3905</v>
      </c>
      <c r="B9" s="34" t="s">
        <v>2785</v>
      </c>
      <c r="C9" s="34" t="s">
        <v>2784</v>
      </c>
      <c r="D9">
        <v>4943</v>
      </c>
      <c r="E9" s="34" t="s">
        <v>3857</v>
      </c>
      <c r="F9" s="3">
        <v>33098.083333333299</v>
      </c>
      <c r="G9" s="38">
        <f ca="1">TRUNC(YEARFRAC(F9,TODAY(),1))</f>
        <v>35</v>
      </c>
      <c r="H9">
        <f>COUNTIF(BRON!A:A,Tabel6[[#This Row],[Personeelsnummer]])</f>
        <v>0</v>
      </c>
      <c r="J9" s="40">
        <v>5</v>
      </c>
      <c r="K9" s="35">
        <v>1.2571428571428571</v>
      </c>
    </row>
    <row r="10" spans="1:11" x14ac:dyDescent="0.25">
      <c r="A10" s="34" t="s">
        <v>3906</v>
      </c>
      <c r="B10" s="34" t="s">
        <v>1929</v>
      </c>
      <c r="C10" s="34" t="s">
        <v>1495</v>
      </c>
      <c r="D10">
        <v>5061</v>
      </c>
      <c r="E10" s="34" t="s">
        <v>3851</v>
      </c>
      <c r="F10" s="3">
        <v>33287.041666666701</v>
      </c>
      <c r="G10" s="38">
        <f ca="1">TRUNC(YEARFRAC(F10,TODAY(),1))</f>
        <v>34</v>
      </c>
      <c r="H10">
        <f>COUNTIF(BRON!A:A,Tabel6[[#This Row],[Personeelsnummer]])</f>
        <v>0</v>
      </c>
      <c r="J10" s="40">
        <v>6</v>
      </c>
      <c r="K10" s="35">
        <v>1.6</v>
      </c>
    </row>
    <row r="11" spans="1:11" x14ac:dyDescent="0.25">
      <c r="A11" s="34" t="s">
        <v>3907</v>
      </c>
      <c r="B11" s="34" t="s">
        <v>1351</v>
      </c>
      <c r="C11" s="34" t="s">
        <v>3276</v>
      </c>
      <c r="D11">
        <v>5063</v>
      </c>
      <c r="E11" s="34" t="s">
        <v>3855</v>
      </c>
      <c r="F11" s="3">
        <v>33287.041666666701</v>
      </c>
      <c r="G11" s="38">
        <f ca="1">TRUNC(YEARFRAC(F11,TODAY(),1))</f>
        <v>34</v>
      </c>
      <c r="H11">
        <f>COUNTIF(BRON!A:A,Tabel6[[#This Row],[Personeelsnummer]])</f>
        <v>1</v>
      </c>
      <c r="J11" s="40">
        <v>7</v>
      </c>
      <c r="K11" s="35">
        <v>2.2222222222222223</v>
      </c>
    </row>
    <row r="12" spans="1:11" x14ac:dyDescent="0.25">
      <c r="A12" s="34" t="s">
        <v>3908</v>
      </c>
      <c r="B12" s="34" t="s">
        <v>2509</v>
      </c>
      <c r="C12" s="34" t="s">
        <v>1959</v>
      </c>
      <c r="D12">
        <v>5080</v>
      </c>
      <c r="E12" s="34" t="s">
        <v>3856</v>
      </c>
      <c r="F12" s="3">
        <v>33308.041666666701</v>
      </c>
      <c r="G12" s="38">
        <f ca="1">TRUNC(YEARFRAC(F12,TODAY(),1))</f>
        <v>34</v>
      </c>
      <c r="H12">
        <f>COUNTIF(BRON!A:A,Tabel6[[#This Row],[Personeelsnummer]])</f>
        <v>0</v>
      </c>
      <c r="J12" s="40">
        <v>8</v>
      </c>
      <c r="K12" s="35">
        <v>1.25</v>
      </c>
    </row>
    <row r="13" spans="1:11" x14ac:dyDescent="0.25">
      <c r="A13" s="34" t="s">
        <v>3909</v>
      </c>
      <c r="B13" s="34" t="s">
        <v>1605</v>
      </c>
      <c r="C13" s="34" t="s">
        <v>1560</v>
      </c>
      <c r="D13">
        <v>5559</v>
      </c>
      <c r="E13" s="34" t="s">
        <v>3858</v>
      </c>
      <c r="F13" s="3">
        <v>33546.041666666701</v>
      </c>
      <c r="G13" s="38">
        <f ca="1">TRUNC(YEARFRAC(F13,TODAY(),1))</f>
        <v>34</v>
      </c>
      <c r="H13">
        <f>COUNTIF(BRON!A:A,Tabel6[[#This Row],[Personeelsnummer]])</f>
        <v>2</v>
      </c>
      <c r="J13" s="40">
        <v>9</v>
      </c>
      <c r="K13" s="35">
        <v>1.7272727272727273</v>
      </c>
    </row>
    <row r="14" spans="1:11" x14ac:dyDescent="0.25">
      <c r="A14" s="34" t="s">
        <v>3910</v>
      </c>
      <c r="B14" s="34" t="s">
        <v>1911</v>
      </c>
      <c r="C14" s="34" t="s">
        <v>1910</v>
      </c>
      <c r="D14">
        <v>5599</v>
      </c>
      <c r="E14" s="34" t="s">
        <v>3858</v>
      </c>
      <c r="F14" s="3">
        <v>33609.041666666701</v>
      </c>
      <c r="G14" s="38">
        <f ca="1">TRUNC(YEARFRAC(F14,TODAY(),1))</f>
        <v>33</v>
      </c>
      <c r="H14">
        <f>COUNTIF(BRON!A:A,Tabel6[[#This Row],[Personeelsnummer]])</f>
        <v>1</v>
      </c>
      <c r="J14" s="40">
        <v>10</v>
      </c>
      <c r="K14" s="35">
        <v>0.92307692307692313</v>
      </c>
    </row>
    <row r="15" spans="1:11" x14ac:dyDescent="0.25">
      <c r="A15" s="34" t="s">
        <v>3911</v>
      </c>
      <c r="B15" s="34" t="s">
        <v>2675</v>
      </c>
      <c r="C15" s="34" t="s">
        <v>2674</v>
      </c>
      <c r="D15">
        <v>5718</v>
      </c>
      <c r="E15" s="34" t="s">
        <v>3851</v>
      </c>
      <c r="F15" s="3">
        <v>33707.083333333299</v>
      </c>
      <c r="G15" s="38">
        <f ca="1">TRUNC(YEARFRAC(F15,TODAY(),1))</f>
        <v>33</v>
      </c>
      <c r="H15">
        <f>COUNTIF(BRON!A:A,Tabel6[[#This Row],[Personeelsnummer]])</f>
        <v>2</v>
      </c>
      <c r="J15" s="40">
        <v>11</v>
      </c>
      <c r="K15" s="35">
        <v>1.1875</v>
      </c>
    </row>
    <row r="16" spans="1:11" x14ac:dyDescent="0.25">
      <c r="A16" s="34" t="s">
        <v>3912</v>
      </c>
      <c r="B16" s="34" t="s">
        <v>1782</v>
      </c>
      <c r="C16" s="34" t="s">
        <v>1781</v>
      </c>
      <c r="D16">
        <v>5813</v>
      </c>
      <c r="E16" s="34" t="s">
        <v>3855</v>
      </c>
      <c r="F16" s="3">
        <v>33742.083333333299</v>
      </c>
      <c r="G16" s="38">
        <f ca="1">TRUNC(YEARFRAC(F16,TODAY(),1))</f>
        <v>33</v>
      </c>
      <c r="H16">
        <f>COUNTIF(BRON!A:A,Tabel6[[#This Row],[Personeelsnummer]])</f>
        <v>1</v>
      </c>
      <c r="J16" s="40">
        <v>12</v>
      </c>
      <c r="K16" s="35">
        <v>0.14285714285714285</v>
      </c>
    </row>
    <row r="17" spans="1:11" x14ac:dyDescent="0.25">
      <c r="A17" s="34" t="s">
        <v>3913</v>
      </c>
      <c r="B17" s="34" t="s">
        <v>3404</v>
      </c>
      <c r="C17" s="34" t="s">
        <v>3403</v>
      </c>
      <c r="D17">
        <v>6049</v>
      </c>
      <c r="E17" s="34" t="s">
        <v>3855</v>
      </c>
      <c r="F17" s="3">
        <v>33819.083333333299</v>
      </c>
      <c r="G17" s="38">
        <f ca="1">TRUNC(YEARFRAC(F17,TODAY(),1))</f>
        <v>33</v>
      </c>
      <c r="H17">
        <f>COUNTIF(BRON!A:A,Tabel6[[#This Row],[Personeelsnummer]])</f>
        <v>0</v>
      </c>
      <c r="J17" s="40">
        <v>13</v>
      </c>
      <c r="K17" s="35">
        <v>1.1111111111111112</v>
      </c>
    </row>
    <row r="18" spans="1:11" x14ac:dyDescent="0.25">
      <c r="A18" s="34" t="s">
        <v>3914</v>
      </c>
      <c r="B18" s="34" t="s">
        <v>2905</v>
      </c>
      <c r="C18" s="34" t="s">
        <v>2904</v>
      </c>
      <c r="D18">
        <v>6067</v>
      </c>
      <c r="E18" s="34" t="s">
        <v>3855</v>
      </c>
      <c r="F18" s="3">
        <v>33848.083333333299</v>
      </c>
      <c r="G18" s="38">
        <f ca="1">TRUNC(YEARFRAC(F18,TODAY(),1))</f>
        <v>33</v>
      </c>
      <c r="H18">
        <f>COUNTIF(BRON!A:A,Tabel6[[#This Row],[Personeelsnummer]])</f>
        <v>0</v>
      </c>
      <c r="J18" s="40">
        <v>14</v>
      </c>
      <c r="K18" s="35">
        <v>1.0833333333333333</v>
      </c>
    </row>
    <row r="19" spans="1:11" x14ac:dyDescent="0.25">
      <c r="A19" s="34" t="s">
        <v>3915</v>
      </c>
      <c r="B19" s="34" t="s">
        <v>1991</v>
      </c>
      <c r="C19" s="34" t="s">
        <v>1994</v>
      </c>
      <c r="D19">
        <v>6092</v>
      </c>
      <c r="E19" s="34" t="s">
        <v>3858</v>
      </c>
      <c r="F19" s="3">
        <v>33868.083333333299</v>
      </c>
      <c r="G19" s="38">
        <f ca="1">TRUNC(YEARFRAC(F19,TODAY(),1))</f>
        <v>33</v>
      </c>
      <c r="H19">
        <f>COUNTIF(BRON!A:A,Tabel6[[#This Row],[Personeelsnummer]])</f>
        <v>0</v>
      </c>
      <c r="J19" s="40">
        <v>15</v>
      </c>
      <c r="K19" s="35">
        <v>1.4285714285714286</v>
      </c>
    </row>
    <row r="20" spans="1:11" x14ac:dyDescent="0.25">
      <c r="A20" s="34" t="s">
        <v>3916</v>
      </c>
      <c r="B20" s="34" t="s">
        <v>3329</v>
      </c>
      <c r="C20" s="34" t="s">
        <v>1255</v>
      </c>
      <c r="D20">
        <v>6229</v>
      </c>
      <c r="E20" s="34" t="s">
        <v>3856</v>
      </c>
      <c r="F20" s="3">
        <v>34008.041666666701</v>
      </c>
      <c r="G20" s="38">
        <f ca="1">TRUNC(YEARFRAC(F20,TODAY(),1))</f>
        <v>32</v>
      </c>
      <c r="H20">
        <f>COUNTIF(BRON!A:A,Tabel6[[#This Row],[Personeelsnummer]])</f>
        <v>1</v>
      </c>
      <c r="J20" s="40">
        <v>16</v>
      </c>
      <c r="K20" s="35">
        <v>0.66666666666666663</v>
      </c>
    </row>
    <row r="21" spans="1:11" x14ac:dyDescent="0.25">
      <c r="A21" s="34" t="s">
        <v>3917</v>
      </c>
      <c r="B21" s="34" t="s">
        <v>3015</v>
      </c>
      <c r="C21" s="34" t="s">
        <v>3014</v>
      </c>
      <c r="D21">
        <v>6309</v>
      </c>
      <c r="E21" s="34" t="s">
        <v>3851</v>
      </c>
      <c r="F21" s="3">
        <v>34078.083333333299</v>
      </c>
      <c r="G21" s="38">
        <f ca="1">TRUNC(YEARFRAC(F21,TODAY(),1))</f>
        <v>32</v>
      </c>
      <c r="H21">
        <f>COUNTIF(BRON!A:A,Tabel6[[#This Row],[Personeelsnummer]])</f>
        <v>0</v>
      </c>
      <c r="J21" s="40">
        <v>17</v>
      </c>
      <c r="K21" s="35">
        <v>0.75</v>
      </c>
    </row>
    <row r="22" spans="1:11" x14ac:dyDescent="0.25">
      <c r="A22" s="34" t="s">
        <v>3918</v>
      </c>
      <c r="B22" s="34" t="s">
        <v>1326</v>
      </c>
      <c r="C22" s="34" t="s">
        <v>2815</v>
      </c>
      <c r="D22">
        <v>7422</v>
      </c>
      <c r="E22" s="34" t="s">
        <v>3854</v>
      </c>
      <c r="F22" s="3">
        <v>34834.083333333299</v>
      </c>
      <c r="G22" s="38">
        <f ca="1">TRUNC(YEARFRAC(F22,TODAY(),1))</f>
        <v>30</v>
      </c>
      <c r="H22">
        <f>COUNTIF(BRON!A:A,Tabel6[[#This Row],[Personeelsnummer]])</f>
        <v>0</v>
      </c>
      <c r="J22" s="40">
        <v>18</v>
      </c>
      <c r="K22" s="35">
        <v>0.75862068965517238</v>
      </c>
    </row>
    <row r="23" spans="1:11" x14ac:dyDescent="0.25">
      <c r="A23" s="34" t="s">
        <v>3919</v>
      </c>
      <c r="B23" s="34" t="s">
        <v>3045</v>
      </c>
      <c r="C23" s="34" t="s">
        <v>2350</v>
      </c>
      <c r="D23">
        <v>7746</v>
      </c>
      <c r="E23" s="34" t="s">
        <v>3853</v>
      </c>
      <c r="F23" s="3">
        <v>34932.083333333299</v>
      </c>
      <c r="G23" s="38">
        <f ca="1">TRUNC(YEARFRAC(F23,TODAY(),1))</f>
        <v>30</v>
      </c>
      <c r="H23">
        <f>COUNTIF(BRON!A:A,Tabel6[[#This Row],[Personeelsnummer]])</f>
        <v>1</v>
      </c>
      <c r="J23" s="40">
        <v>19</v>
      </c>
      <c r="K23" s="35">
        <v>1.375</v>
      </c>
    </row>
    <row r="24" spans="1:11" x14ac:dyDescent="0.25">
      <c r="A24" s="34" t="s">
        <v>3920</v>
      </c>
      <c r="B24" s="34" t="s">
        <v>1659</v>
      </c>
      <c r="C24" s="34" t="s">
        <v>1658</v>
      </c>
      <c r="D24">
        <v>7748</v>
      </c>
      <c r="E24" s="34" t="s">
        <v>3855</v>
      </c>
      <c r="F24" s="3">
        <v>34932.083333333299</v>
      </c>
      <c r="G24" s="38">
        <f ca="1">TRUNC(YEARFRAC(F24,TODAY(),1))</f>
        <v>30</v>
      </c>
      <c r="H24">
        <f>COUNTIF(BRON!A:A,Tabel6[[#This Row],[Personeelsnummer]])</f>
        <v>0</v>
      </c>
      <c r="J24" s="40">
        <v>20</v>
      </c>
      <c r="K24" s="35">
        <v>0.7</v>
      </c>
    </row>
    <row r="25" spans="1:11" x14ac:dyDescent="0.25">
      <c r="A25" s="34" t="s">
        <v>3921</v>
      </c>
      <c r="B25" s="34" t="s">
        <v>1842</v>
      </c>
      <c r="C25" s="34" t="s">
        <v>1841</v>
      </c>
      <c r="D25">
        <v>8016</v>
      </c>
      <c r="E25" s="34" t="s">
        <v>3859</v>
      </c>
      <c r="F25" s="3">
        <v>35065.041666666701</v>
      </c>
      <c r="G25" s="38">
        <f ca="1">TRUNC(YEARFRAC(F25,TODAY(),1))</f>
        <v>29</v>
      </c>
      <c r="H25">
        <f>COUNTIF(BRON!A:A,Tabel6[[#This Row],[Personeelsnummer]])</f>
        <v>2</v>
      </c>
      <c r="J25" s="40">
        <v>21</v>
      </c>
      <c r="K25" s="35">
        <v>1.5</v>
      </c>
    </row>
    <row r="26" spans="1:11" x14ac:dyDescent="0.25">
      <c r="A26" s="34" t="s">
        <v>3922</v>
      </c>
      <c r="B26" s="34" t="s">
        <v>1452</v>
      </c>
      <c r="C26" s="34" t="s">
        <v>1460</v>
      </c>
      <c r="D26">
        <v>8196</v>
      </c>
      <c r="E26" s="34" t="s">
        <v>3853</v>
      </c>
      <c r="F26" s="3">
        <v>35177.083333333299</v>
      </c>
      <c r="G26" s="38">
        <f ca="1">TRUNC(YEARFRAC(F26,TODAY(),1))</f>
        <v>29</v>
      </c>
      <c r="H26">
        <f>COUNTIF(BRON!A:A,Tabel6[[#This Row],[Personeelsnummer]])</f>
        <v>0</v>
      </c>
      <c r="J26" s="40">
        <v>22</v>
      </c>
      <c r="K26" s="35">
        <v>0.76923076923076927</v>
      </c>
    </row>
    <row r="27" spans="1:11" x14ac:dyDescent="0.25">
      <c r="A27" s="34" t="s">
        <v>3923</v>
      </c>
      <c r="B27" s="34" t="s">
        <v>2579</v>
      </c>
      <c r="C27" s="34" t="s">
        <v>2578</v>
      </c>
      <c r="D27">
        <v>8391</v>
      </c>
      <c r="E27" s="34" t="s">
        <v>3856</v>
      </c>
      <c r="F27" s="3">
        <v>35219.083333333299</v>
      </c>
      <c r="G27" s="38">
        <f ca="1">TRUNC(YEARFRAC(F27,TODAY(),1))</f>
        <v>29</v>
      </c>
      <c r="H27">
        <f>COUNTIF(BRON!A:A,Tabel6[[#This Row],[Personeelsnummer]])</f>
        <v>1</v>
      </c>
      <c r="J27" s="40">
        <v>23</v>
      </c>
      <c r="K27" s="35">
        <v>1.1818181818181819</v>
      </c>
    </row>
    <row r="28" spans="1:11" x14ac:dyDescent="0.25">
      <c r="A28" s="34" t="s">
        <v>3924</v>
      </c>
      <c r="B28" s="34" t="s">
        <v>1733</v>
      </c>
      <c r="C28" s="34" t="s">
        <v>1732</v>
      </c>
      <c r="D28">
        <v>8393</v>
      </c>
      <c r="E28" s="34" t="s">
        <v>3858</v>
      </c>
      <c r="F28" s="3">
        <v>35219.083333333299</v>
      </c>
      <c r="G28" s="38">
        <f ca="1">TRUNC(YEARFRAC(F28,TODAY(),1))</f>
        <v>29</v>
      </c>
      <c r="H28">
        <f>COUNTIF(BRON!A:A,Tabel6[[#This Row],[Personeelsnummer]])</f>
        <v>0</v>
      </c>
      <c r="J28" s="40">
        <v>24</v>
      </c>
      <c r="K28" s="35">
        <v>0.55555555555555558</v>
      </c>
    </row>
    <row r="29" spans="1:11" x14ac:dyDescent="0.25">
      <c r="A29" s="34" t="s">
        <v>3925</v>
      </c>
      <c r="B29" s="34" t="s">
        <v>3329</v>
      </c>
      <c r="C29" s="34" t="s">
        <v>3328</v>
      </c>
      <c r="D29">
        <v>8394</v>
      </c>
      <c r="E29" s="34" t="s">
        <v>3855</v>
      </c>
      <c r="F29" s="3">
        <v>35219.083333333299</v>
      </c>
      <c r="G29" s="38">
        <f ca="1">TRUNC(YEARFRAC(F29,TODAY(),1))</f>
        <v>29</v>
      </c>
      <c r="H29">
        <f>COUNTIF(BRON!A:A,Tabel6[[#This Row],[Personeelsnummer]])</f>
        <v>4</v>
      </c>
      <c r="J29" s="40">
        <v>25</v>
      </c>
      <c r="K29" s="35">
        <v>1.8571428571428572</v>
      </c>
    </row>
    <row r="30" spans="1:11" x14ac:dyDescent="0.25">
      <c r="A30" s="34" t="s">
        <v>3926</v>
      </c>
      <c r="B30" s="34" t="s">
        <v>3347</v>
      </c>
      <c r="C30" s="34" t="s">
        <v>3346</v>
      </c>
      <c r="D30">
        <v>8708</v>
      </c>
      <c r="E30" s="34" t="s">
        <v>3855</v>
      </c>
      <c r="F30" s="3">
        <v>35303.083333333299</v>
      </c>
      <c r="G30" s="38">
        <f ca="1">TRUNC(YEARFRAC(F30,TODAY(),1))</f>
        <v>29</v>
      </c>
      <c r="H30">
        <f>COUNTIF(BRON!A:A,Tabel6[[#This Row],[Personeelsnummer]])</f>
        <v>1</v>
      </c>
      <c r="J30" s="40">
        <v>26</v>
      </c>
      <c r="K30" s="35">
        <v>1.5</v>
      </c>
    </row>
    <row r="31" spans="1:11" x14ac:dyDescent="0.25">
      <c r="A31" s="34" t="s">
        <v>3927</v>
      </c>
      <c r="B31" s="34" t="s">
        <v>3088</v>
      </c>
      <c r="C31" s="34" t="s">
        <v>3087</v>
      </c>
      <c r="D31">
        <v>8792</v>
      </c>
      <c r="E31" s="34" t="s">
        <v>3854</v>
      </c>
      <c r="F31" s="3">
        <v>35338.083333333299</v>
      </c>
      <c r="G31" s="38">
        <f ca="1">TRUNC(YEARFRAC(F31,TODAY(),1))</f>
        <v>29</v>
      </c>
      <c r="H31">
        <f>COUNTIF(BRON!A:A,Tabel6[[#This Row],[Personeelsnummer]])</f>
        <v>0</v>
      </c>
      <c r="J31" s="40">
        <v>27</v>
      </c>
      <c r="K31" s="35">
        <v>0.6</v>
      </c>
    </row>
    <row r="32" spans="1:11" x14ac:dyDescent="0.25">
      <c r="A32" s="34" t="s">
        <v>3928</v>
      </c>
      <c r="B32" s="34" t="s">
        <v>2296</v>
      </c>
      <c r="C32" s="34" t="s">
        <v>2295</v>
      </c>
      <c r="D32">
        <v>8918</v>
      </c>
      <c r="E32" s="34" t="s">
        <v>3851</v>
      </c>
      <c r="F32" s="3">
        <v>35394.041666666701</v>
      </c>
      <c r="G32" s="38">
        <f ca="1">TRUNC(YEARFRAC(F32,TODAY(),1))</f>
        <v>29</v>
      </c>
      <c r="H32">
        <f>COUNTIF(BRON!A:A,Tabel6[[#This Row],[Personeelsnummer]])</f>
        <v>1</v>
      </c>
      <c r="J32" s="40">
        <v>28</v>
      </c>
      <c r="K32" s="35">
        <v>0.8</v>
      </c>
    </row>
    <row r="33" spans="1:11" x14ac:dyDescent="0.25">
      <c r="A33" s="34" t="s">
        <v>3889</v>
      </c>
      <c r="B33" s="34" t="s">
        <v>3002</v>
      </c>
      <c r="C33" s="34" t="s">
        <v>3001</v>
      </c>
      <c r="D33">
        <v>9667</v>
      </c>
      <c r="E33" s="34" t="s">
        <v>3851</v>
      </c>
      <c r="F33" s="3">
        <v>35667.083333333299</v>
      </c>
      <c r="G33" s="38">
        <f ca="1">TRUNC(YEARFRAC(F33,TODAY(),1))</f>
        <v>28</v>
      </c>
      <c r="H33">
        <f>COUNTIF(BRON!A:A,Tabel6[[#This Row],[Personeelsnummer]])</f>
        <v>0</v>
      </c>
      <c r="J33" s="40">
        <v>29</v>
      </c>
      <c r="K33" s="35">
        <v>1.125</v>
      </c>
    </row>
    <row r="34" spans="1:11" x14ac:dyDescent="0.25">
      <c r="A34" s="34" t="s">
        <v>3929</v>
      </c>
      <c r="B34" s="34" t="s">
        <v>3055</v>
      </c>
      <c r="C34" s="34" t="s">
        <v>3054</v>
      </c>
      <c r="D34">
        <v>9062</v>
      </c>
      <c r="E34" s="34" t="s">
        <v>3851</v>
      </c>
      <c r="F34" s="3">
        <v>35478.041666666701</v>
      </c>
      <c r="G34" s="38">
        <f ca="1">TRUNC(YEARFRAC(F34,TODAY(),1))</f>
        <v>28</v>
      </c>
      <c r="H34">
        <f>COUNTIF(BRON!A:A,Tabel6[[#This Row],[Personeelsnummer]])</f>
        <v>1</v>
      </c>
      <c r="J34" s="40">
        <v>30</v>
      </c>
      <c r="K34" s="35">
        <v>0.33333333333333331</v>
      </c>
    </row>
    <row r="35" spans="1:11" x14ac:dyDescent="0.25">
      <c r="A35" s="34" t="s">
        <v>3930</v>
      </c>
      <c r="B35" s="34" t="s">
        <v>3092</v>
      </c>
      <c r="C35" s="34" t="s">
        <v>3091</v>
      </c>
      <c r="D35">
        <v>9065</v>
      </c>
      <c r="E35" s="34" t="s">
        <v>3856</v>
      </c>
      <c r="F35" s="3">
        <v>35478.041666666701</v>
      </c>
      <c r="G35" s="38">
        <f ca="1">TRUNC(YEARFRAC(F35,TODAY(),1))</f>
        <v>28</v>
      </c>
      <c r="H35">
        <f>COUNTIF(BRON!A:A,Tabel6[[#This Row],[Personeelsnummer]])</f>
        <v>1</v>
      </c>
      <c r="J35" s="40">
        <v>32</v>
      </c>
      <c r="K35" s="35">
        <v>0.5</v>
      </c>
    </row>
    <row r="36" spans="1:11" x14ac:dyDescent="0.25">
      <c r="A36" s="34" t="s">
        <v>3931</v>
      </c>
      <c r="B36" s="34" t="s">
        <v>1824</v>
      </c>
      <c r="C36" s="34" t="s">
        <v>979</v>
      </c>
      <c r="D36">
        <v>9158</v>
      </c>
      <c r="E36" s="34" t="s">
        <v>3858</v>
      </c>
      <c r="F36" s="3">
        <v>35513.041666666701</v>
      </c>
      <c r="G36" s="38">
        <f ca="1">TRUNC(YEARFRAC(F36,TODAY(),1))</f>
        <v>28</v>
      </c>
      <c r="H36">
        <f>COUNTIF(BRON!A:A,Tabel6[[#This Row],[Personeelsnummer]])</f>
        <v>1</v>
      </c>
      <c r="J36" s="40">
        <v>33</v>
      </c>
      <c r="K36" s="35">
        <v>0.66666666666666663</v>
      </c>
    </row>
    <row r="37" spans="1:11" x14ac:dyDescent="0.25">
      <c r="A37" s="34" t="s">
        <v>3932</v>
      </c>
      <c r="B37" s="34" t="s">
        <v>2931</v>
      </c>
      <c r="C37" s="34" t="s">
        <v>2397</v>
      </c>
      <c r="D37">
        <v>9824</v>
      </c>
      <c r="E37" s="34" t="s">
        <v>3858</v>
      </c>
      <c r="F37" s="3">
        <v>35723.083333333299</v>
      </c>
      <c r="G37" s="38">
        <f ca="1">TRUNC(YEARFRAC(F37,TODAY(),1))</f>
        <v>28</v>
      </c>
      <c r="H37">
        <f>COUNTIF(BRON!A:A,Tabel6[[#This Row],[Personeelsnummer]])</f>
        <v>1</v>
      </c>
      <c r="J37" s="40">
        <v>34</v>
      </c>
      <c r="K37" s="35">
        <v>0.75</v>
      </c>
    </row>
    <row r="38" spans="1:11" x14ac:dyDescent="0.25">
      <c r="A38" s="34" t="s">
        <v>3933</v>
      </c>
      <c r="B38" s="34" t="s">
        <v>1452</v>
      </c>
      <c r="C38" s="34" t="s">
        <v>1456</v>
      </c>
      <c r="D38">
        <v>9979</v>
      </c>
      <c r="E38" s="34" t="s">
        <v>3854</v>
      </c>
      <c r="F38" s="3">
        <v>35796.041666666701</v>
      </c>
      <c r="G38" s="38">
        <f ca="1">TRUNC(YEARFRAC(F38,TODAY(),1))</f>
        <v>27</v>
      </c>
      <c r="H38">
        <f>COUNTIF(BRON!A:A,Tabel6[[#This Row],[Personeelsnummer]])</f>
        <v>0</v>
      </c>
      <c r="J38" s="40">
        <v>35</v>
      </c>
      <c r="K38" s="35">
        <v>0</v>
      </c>
    </row>
    <row r="39" spans="1:11" x14ac:dyDescent="0.25">
      <c r="A39" s="34" t="s">
        <v>3934</v>
      </c>
      <c r="B39" s="34" t="s">
        <v>1536</v>
      </c>
      <c r="C39" s="34" t="s">
        <v>1535</v>
      </c>
      <c r="D39">
        <v>10150</v>
      </c>
      <c r="E39" s="34" t="s">
        <v>3858</v>
      </c>
      <c r="F39" s="3">
        <v>35891.083333333299</v>
      </c>
      <c r="G39" s="38">
        <f ca="1">TRUNC(YEARFRAC(F39,TODAY(),1))</f>
        <v>27</v>
      </c>
      <c r="H39">
        <f>COUNTIF(BRON!A:A,Tabel6[[#This Row],[Personeelsnummer]])</f>
        <v>1</v>
      </c>
      <c r="J39" s="40">
        <v>36</v>
      </c>
      <c r="K39" s="35">
        <v>0.66666666666666663</v>
      </c>
    </row>
    <row r="40" spans="1:11" x14ac:dyDescent="0.25">
      <c r="A40" s="34" t="s">
        <v>3935</v>
      </c>
      <c r="B40" s="34" t="s">
        <v>1452</v>
      </c>
      <c r="C40" s="34" t="s">
        <v>1451</v>
      </c>
      <c r="D40">
        <v>10324</v>
      </c>
      <c r="E40" s="34" t="s">
        <v>3854</v>
      </c>
      <c r="F40" s="3">
        <v>35948.083333333299</v>
      </c>
      <c r="G40" s="38">
        <f ca="1">TRUNC(YEARFRAC(F40,TODAY(),1))</f>
        <v>27</v>
      </c>
      <c r="H40">
        <f>COUNTIF(BRON!A:A,Tabel6[[#This Row],[Personeelsnummer]])</f>
        <v>1</v>
      </c>
      <c r="J40" s="40">
        <v>37</v>
      </c>
      <c r="K40" s="35">
        <v>4</v>
      </c>
    </row>
    <row r="41" spans="1:11" x14ac:dyDescent="0.25">
      <c r="A41" s="34" t="s">
        <v>3936</v>
      </c>
      <c r="B41" s="34" t="s">
        <v>2038</v>
      </c>
      <c r="C41" s="34" t="s">
        <v>2037</v>
      </c>
      <c r="D41">
        <v>10326</v>
      </c>
      <c r="E41" s="34" t="s">
        <v>3854</v>
      </c>
      <c r="F41" s="3">
        <v>35948.083333333299</v>
      </c>
      <c r="G41" s="38">
        <f ca="1">TRUNC(YEARFRAC(F41,TODAY(),1))</f>
        <v>27</v>
      </c>
      <c r="H41">
        <f>COUNTIF(BRON!A:A,Tabel6[[#This Row],[Personeelsnummer]])</f>
        <v>0</v>
      </c>
      <c r="J41" s="40">
        <v>44</v>
      </c>
      <c r="K41" s="35">
        <v>0</v>
      </c>
    </row>
    <row r="42" spans="1:11" x14ac:dyDescent="0.25">
      <c r="A42" s="34" t="s">
        <v>3937</v>
      </c>
      <c r="B42" s="34" t="s">
        <v>2679</v>
      </c>
      <c r="C42" s="34" t="s">
        <v>2678</v>
      </c>
      <c r="D42">
        <v>10782</v>
      </c>
      <c r="E42" s="34" t="s">
        <v>3851</v>
      </c>
      <c r="F42" s="3">
        <v>36080.083333333299</v>
      </c>
      <c r="G42" s="38">
        <f ca="1">TRUNC(YEARFRAC(F42,TODAY(),1))</f>
        <v>27</v>
      </c>
      <c r="H42">
        <f>COUNTIF(BRON!A:A,Tabel6[[#This Row],[Personeelsnummer]])</f>
        <v>1</v>
      </c>
      <c r="J42" s="40" t="s">
        <v>65</v>
      </c>
      <c r="K42" s="43">
        <v>1.4462540716612378</v>
      </c>
    </row>
    <row r="43" spans="1:11" x14ac:dyDescent="0.25">
      <c r="A43" s="34" t="s">
        <v>3938</v>
      </c>
      <c r="B43" s="34" t="s">
        <v>2265</v>
      </c>
      <c r="C43" s="34" t="s">
        <v>2264</v>
      </c>
      <c r="D43">
        <v>11021</v>
      </c>
      <c r="E43" s="34" t="s">
        <v>3858</v>
      </c>
      <c r="F43" s="3">
        <v>36227.041666666701</v>
      </c>
      <c r="G43" s="38">
        <f ca="1">TRUNC(YEARFRAC(F43,TODAY(),1))</f>
        <v>26</v>
      </c>
      <c r="H43">
        <f>COUNTIF(BRON!A:A,Tabel6[[#This Row],[Personeelsnummer]])</f>
        <v>1</v>
      </c>
    </row>
    <row r="44" spans="1:11" x14ac:dyDescent="0.25">
      <c r="A44" s="34" t="s">
        <v>3939</v>
      </c>
      <c r="B44" s="34" t="s">
        <v>2611</v>
      </c>
      <c r="C44" s="34" t="s">
        <v>2610</v>
      </c>
      <c r="D44">
        <v>11023</v>
      </c>
      <c r="E44" s="34" t="s">
        <v>3856</v>
      </c>
      <c r="F44" s="3">
        <v>36227.041666666701</v>
      </c>
      <c r="G44" s="38">
        <f ca="1">TRUNC(YEARFRAC(F44,TODAY(),1))</f>
        <v>26</v>
      </c>
      <c r="H44">
        <f>COUNTIF(BRON!A:A,Tabel6[[#This Row],[Personeelsnummer]])</f>
        <v>1</v>
      </c>
    </row>
    <row r="45" spans="1:11" x14ac:dyDescent="0.25">
      <c r="A45" s="34" t="s">
        <v>3940</v>
      </c>
      <c r="B45" s="34" t="s">
        <v>2347</v>
      </c>
      <c r="C45" s="34" t="s">
        <v>2346</v>
      </c>
      <c r="D45">
        <v>11120</v>
      </c>
      <c r="E45" s="34" t="s">
        <v>3855</v>
      </c>
      <c r="F45" s="3">
        <v>36262.083333333299</v>
      </c>
      <c r="G45" s="38">
        <f ca="1">TRUNC(YEARFRAC(F45,TODAY(),1))</f>
        <v>26</v>
      </c>
      <c r="H45">
        <f>COUNTIF(BRON!A:A,Tabel6[[#This Row],[Personeelsnummer]])</f>
        <v>1</v>
      </c>
    </row>
    <row r="46" spans="1:11" x14ac:dyDescent="0.25">
      <c r="A46" s="34" t="s">
        <v>3941</v>
      </c>
      <c r="B46" s="34" t="s">
        <v>2781</v>
      </c>
      <c r="C46" s="34" t="s">
        <v>2780</v>
      </c>
      <c r="D46">
        <v>11213</v>
      </c>
      <c r="E46" s="34" t="s">
        <v>3854</v>
      </c>
      <c r="F46" s="3">
        <v>36311.083333333299</v>
      </c>
      <c r="G46" s="38">
        <f ca="1">TRUNC(YEARFRAC(F46,TODAY(),1))</f>
        <v>26</v>
      </c>
      <c r="H46">
        <f>COUNTIF(BRON!A:A,Tabel6[[#This Row],[Personeelsnummer]])</f>
        <v>1</v>
      </c>
    </row>
    <row r="47" spans="1:11" x14ac:dyDescent="0.25">
      <c r="A47" s="34" t="s">
        <v>3942</v>
      </c>
      <c r="B47" s="34" t="s">
        <v>2850</v>
      </c>
      <c r="C47" s="34" t="s">
        <v>1816</v>
      </c>
      <c r="D47">
        <v>11236</v>
      </c>
      <c r="E47" s="34" t="s">
        <v>3854</v>
      </c>
      <c r="F47" s="3">
        <v>36332.083333333299</v>
      </c>
      <c r="G47" s="38">
        <f ca="1">TRUNC(YEARFRAC(F47,TODAY(),1))</f>
        <v>26</v>
      </c>
      <c r="H47">
        <f>COUNTIF(BRON!A:A,Tabel6[[#This Row],[Personeelsnummer]])</f>
        <v>4</v>
      </c>
    </row>
    <row r="48" spans="1:11" x14ac:dyDescent="0.25">
      <c r="A48" s="34" t="s">
        <v>3943</v>
      </c>
      <c r="B48" s="34" t="s">
        <v>2065</v>
      </c>
      <c r="C48" s="34" t="s">
        <v>2064</v>
      </c>
      <c r="D48">
        <v>11508</v>
      </c>
      <c r="E48" s="34" t="s">
        <v>3855</v>
      </c>
      <c r="F48" s="3">
        <v>36388.083333333299</v>
      </c>
      <c r="G48" s="38">
        <f ca="1">TRUNC(YEARFRAC(F48,TODAY(),1))</f>
        <v>26</v>
      </c>
      <c r="H48">
        <f>COUNTIF(BRON!A:A,Tabel6[[#This Row],[Personeelsnummer]])</f>
        <v>1</v>
      </c>
    </row>
    <row r="49" spans="1:8" x14ac:dyDescent="0.25">
      <c r="A49" s="34" t="s">
        <v>3944</v>
      </c>
      <c r="B49" s="34" t="s">
        <v>1991</v>
      </c>
      <c r="C49" s="34" t="s">
        <v>1990</v>
      </c>
      <c r="D49">
        <v>11866</v>
      </c>
      <c r="E49" s="34" t="s">
        <v>3855</v>
      </c>
      <c r="F49" s="3">
        <v>36542.041666666701</v>
      </c>
      <c r="G49" s="38">
        <f ca="1">TRUNC(YEARFRAC(F49,TODAY(),1))</f>
        <v>25</v>
      </c>
      <c r="H49">
        <f>COUNTIF(BRON!A:A,Tabel6[[#This Row],[Personeelsnummer]])</f>
        <v>1</v>
      </c>
    </row>
    <row r="50" spans="1:8" x14ac:dyDescent="0.25">
      <c r="A50" s="34" t="s">
        <v>3945</v>
      </c>
      <c r="B50" s="34" t="s">
        <v>2394</v>
      </c>
      <c r="C50" s="34" t="s">
        <v>2393</v>
      </c>
      <c r="D50">
        <v>12024</v>
      </c>
      <c r="E50" s="34" t="s">
        <v>3855</v>
      </c>
      <c r="F50" s="3">
        <v>36612.083333333299</v>
      </c>
      <c r="G50" s="38">
        <f ca="1">TRUNC(YEARFRAC(F50,TODAY(),1))</f>
        <v>25</v>
      </c>
      <c r="H50">
        <f>COUNTIF(BRON!A:A,Tabel6[[#This Row],[Personeelsnummer]])</f>
        <v>1</v>
      </c>
    </row>
    <row r="51" spans="1:8" x14ac:dyDescent="0.25">
      <c r="A51" s="34" t="s">
        <v>3946</v>
      </c>
      <c r="B51" s="34" t="s">
        <v>1550</v>
      </c>
      <c r="C51" s="34" t="s">
        <v>1549</v>
      </c>
      <c r="D51">
        <v>12124</v>
      </c>
      <c r="E51" s="34" t="s">
        <v>3858</v>
      </c>
      <c r="F51" s="3">
        <v>36654.083333333299</v>
      </c>
      <c r="G51" s="38">
        <f ca="1">TRUNC(YEARFRAC(F51,TODAY(),1))</f>
        <v>25</v>
      </c>
      <c r="H51">
        <f>COUNTIF(BRON!A:A,Tabel6[[#This Row],[Personeelsnummer]])</f>
        <v>5</v>
      </c>
    </row>
    <row r="52" spans="1:8" x14ac:dyDescent="0.25">
      <c r="A52" s="34" t="s">
        <v>3947</v>
      </c>
      <c r="B52" s="34" t="s">
        <v>2405</v>
      </c>
      <c r="C52" s="34" t="s">
        <v>3067</v>
      </c>
      <c r="D52">
        <v>12173</v>
      </c>
      <c r="E52" s="34" t="s">
        <v>3856</v>
      </c>
      <c r="F52" s="3">
        <v>36690.083333333299</v>
      </c>
      <c r="G52" s="38">
        <f ca="1">TRUNC(YEARFRAC(F52,TODAY(),1))</f>
        <v>25</v>
      </c>
      <c r="H52">
        <f>COUNTIF(BRON!A:A,Tabel6[[#This Row],[Personeelsnummer]])</f>
        <v>1</v>
      </c>
    </row>
    <row r="53" spans="1:8" x14ac:dyDescent="0.25">
      <c r="A53" s="34" t="s">
        <v>3948</v>
      </c>
      <c r="B53" s="34" t="s">
        <v>1341</v>
      </c>
      <c r="C53" s="34" t="s">
        <v>2256</v>
      </c>
      <c r="D53">
        <v>12514</v>
      </c>
      <c r="E53" s="34" t="s">
        <v>3855</v>
      </c>
      <c r="F53" s="3">
        <v>36759.083333333299</v>
      </c>
      <c r="G53" s="38">
        <f ca="1">TRUNC(YEARFRAC(F53,TODAY(),1))</f>
        <v>25</v>
      </c>
      <c r="H53">
        <f>COUNTIF(BRON!A:A,Tabel6[[#This Row],[Personeelsnummer]])</f>
        <v>1</v>
      </c>
    </row>
    <row r="54" spans="1:8" x14ac:dyDescent="0.25">
      <c r="A54" s="34" t="s">
        <v>3949</v>
      </c>
      <c r="B54" s="34" t="s">
        <v>2257</v>
      </c>
      <c r="C54" s="34" t="s">
        <v>2261</v>
      </c>
      <c r="D54">
        <v>12684</v>
      </c>
      <c r="E54" s="34" t="s">
        <v>3856</v>
      </c>
      <c r="F54" s="3">
        <v>36815.083333333299</v>
      </c>
      <c r="G54" s="38">
        <f ca="1">TRUNC(YEARFRAC(F54,TODAY(),1))</f>
        <v>25</v>
      </c>
      <c r="H54">
        <f>COUNTIF(BRON!A:A,Tabel6[[#This Row],[Personeelsnummer]])</f>
        <v>3</v>
      </c>
    </row>
    <row r="55" spans="1:8" x14ac:dyDescent="0.25">
      <c r="A55" s="34" t="s">
        <v>3950</v>
      </c>
      <c r="B55" s="34" t="s">
        <v>2405</v>
      </c>
      <c r="C55" s="34" t="s">
        <v>3081</v>
      </c>
      <c r="D55">
        <v>12819</v>
      </c>
      <c r="E55" s="34" t="s">
        <v>3854</v>
      </c>
      <c r="F55" s="3">
        <v>36853.041666666701</v>
      </c>
      <c r="G55" s="38">
        <f ca="1">TRUNC(YEARFRAC(F55,TODAY(),1))</f>
        <v>25</v>
      </c>
      <c r="H55">
        <f>COUNTIF(BRON!A:A,Tabel6[[#This Row],[Personeelsnummer]])</f>
        <v>1</v>
      </c>
    </row>
    <row r="56" spans="1:8" x14ac:dyDescent="0.25">
      <c r="A56" s="34" t="s">
        <v>3951</v>
      </c>
      <c r="B56" s="34" t="s">
        <v>549</v>
      </c>
      <c r="C56" s="34" t="s">
        <v>1482</v>
      </c>
      <c r="D56">
        <v>13017</v>
      </c>
      <c r="E56" s="34" t="s">
        <v>3851</v>
      </c>
      <c r="F56" s="3">
        <v>36923.041666666701</v>
      </c>
      <c r="G56" s="38">
        <f ca="1">TRUNC(YEARFRAC(F56,TODAY(),1))</f>
        <v>24</v>
      </c>
      <c r="H56">
        <f>COUNTIF(BRON!A:A,Tabel6[[#This Row],[Personeelsnummer]])</f>
        <v>0</v>
      </c>
    </row>
    <row r="57" spans="1:8" x14ac:dyDescent="0.25">
      <c r="A57" s="34" t="s">
        <v>3952</v>
      </c>
      <c r="B57" s="34" t="s">
        <v>3124</v>
      </c>
      <c r="C57" s="34" t="s">
        <v>3009</v>
      </c>
      <c r="D57">
        <v>13088</v>
      </c>
      <c r="E57" s="34" t="s">
        <v>3859</v>
      </c>
      <c r="F57" s="3">
        <v>36948.041666666701</v>
      </c>
      <c r="G57" s="38">
        <f ca="1">TRUNC(YEARFRAC(F57,TODAY(),1))</f>
        <v>24</v>
      </c>
      <c r="H57">
        <f>COUNTIF(BRON!A:A,Tabel6[[#This Row],[Personeelsnummer]])</f>
        <v>1</v>
      </c>
    </row>
    <row r="58" spans="1:8" x14ac:dyDescent="0.25">
      <c r="A58" s="34" t="s">
        <v>3953</v>
      </c>
      <c r="B58" s="34" t="s">
        <v>2631</v>
      </c>
      <c r="C58" s="34" t="s">
        <v>1473</v>
      </c>
      <c r="D58">
        <v>13089</v>
      </c>
      <c r="E58" s="34" t="s">
        <v>3853</v>
      </c>
      <c r="F58" s="3">
        <v>36948.041666666701</v>
      </c>
      <c r="G58" s="38">
        <f ca="1">TRUNC(YEARFRAC(F58,TODAY(),1))</f>
        <v>24</v>
      </c>
      <c r="H58">
        <f>COUNTIF(BRON!A:A,Tabel6[[#This Row],[Personeelsnummer]])</f>
        <v>1</v>
      </c>
    </row>
    <row r="59" spans="1:8" x14ac:dyDescent="0.25">
      <c r="A59" s="34" t="s">
        <v>3954</v>
      </c>
      <c r="B59" s="34" t="s">
        <v>1647</v>
      </c>
      <c r="C59" s="34" t="s">
        <v>1656</v>
      </c>
      <c r="D59">
        <v>13257</v>
      </c>
      <c r="E59" s="34" t="s">
        <v>3851</v>
      </c>
      <c r="F59" s="3">
        <v>36998.083333333299</v>
      </c>
      <c r="G59" s="38">
        <f ca="1">TRUNC(YEARFRAC(F59,TODAY(),1))</f>
        <v>24</v>
      </c>
      <c r="H59">
        <f>COUNTIF(BRON!A:A,Tabel6[[#This Row],[Personeelsnummer]])</f>
        <v>0</v>
      </c>
    </row>
    <row r="60" spans="1:8" x14ac:dyDescent="0.25">
      <c r="A60" s="34" t="s">
        <v>3955</v>
      </c>
      <c r="B60" s="34" t="s">
        <v>1824</v>
      </c>
      <c r="C60" s="34" t="s">
        <v>1829</v>
      </c>
      <c r="D60">
        <v>13345</v>
      </c>
      <c r="E60" s="34" t="s">
        <v>3851</v>
      </c>
      <c r="F60" s="3">
        <v>37018.083333333299</v>
      </c>
      <c r="G60" s="38">
        <f ca="1">TRUNC(YEARFRAC(F60,TODAY(),1))</f>
        <v>24</v>
      </c>
      <c r="H60">
        <f>COUNTIF(BRON!A:A,Tabel6[[#This Row],[Personeelsnummer]])</f>
        <v>1</v>
      </c>
    </row>
    <row r="61" spans="1:8" x14ac:dyDescent="0.25">
      <c r="A61" s="34" t="s">
        <v>3956</v>
      </c>
      <c r="B61" s="34" t="s">
        <v>1210</v>
      </c>
      <c r="C61" s="34" t="s">
        <v>1625</v>
      </c>
      <c r="D61">
        <v>13398</v>
      </c>
      <c r="E61" s="34" t="s">
        <v>3859</v>
      </c>
      <c r="F61" s="3">
        <v>37047.083333333299</v>
      </c>
      <c r="G61" s="38">
        <f ca="1">TRUNC(YEARFRAC(F61,TODAY(),1))</f>
        <v>24</v>
      </c>
      <c r="H61">
        <f>COUNTIF(BRON!A:A,Tabel6[[#This Row],[Personeelsnummer]])</f>
        <v>1</v>
      </c>
    </row>
    <row r="62" spans="1:8" x14ac:dyDescent="0.25">
      <c r="A62" s="34" t="s">
        <v>3957</v>
      </c>
      <c r="B62" s="34" t="s">
        <v>3151</v>
      </c>
      <c r="C62" s="34" t="s">
        <v>3154</v>
      </c>
      <c r="D62">
        <v>14021</v>
      </c>
      <c r="E62" s="34" t="s">
        <v>3858</v>
      </c>
      <c r="F62" s="3">
        <v>37193.041666666701</v>
      </c>
      <c r="G62" s="38">
        <f ca="1">TRUNC(YEARFRAC(F62,TODAY(),1))</f>
        <v>24</v>
      </c>
      <c r="H62">
        <f>COUNTIF(BRON!A:A,Tabel6[[#This Row],[Personeelsnummer]])</f>
        <v>0</v>
      </c>
    </row>
    <row r="63" spans="1:8" x14ac:dyDescent="0.25">
      <c r="A63" s="34" t="s">
        <v>3958</v>
      </c>
      <c r="B63" s="34" t="s">
        <v>1782</v>
      </c>
      <c r="C63" s="34" t="s">
        <v>1785</v>
      </c>
      <c r="D63">
        <v>14070</v>
      </c>
      <c r="E63" s="34" t="s">
        <v>3857</v>
      </c>
      <c r="F63" s="3">
        <v>37214.041666666701</v>
      </c>
      <c r="G63" s="38">
        <f ca="1">TRUNC(YEARFRAC(F63,TODAY(),1))</f>
        <v>24</v>
      </c>
      <c r="H63">
        <f>COUNTIF(BRON!A:A,Tabel6[[#This Row],[Personeelsnummer]])</f>
        <v>0</v>
      </c>
    </row>
    <row r="64" spans="1:8" x14ac:dyDescent="0.25">
      <c r="A64" s="34" t="s">
        <v>3959</v>
      </c>
      <c r="B64" s="34" t="s">
        <v>2427</v>
      </c>
      <c r="C64" s="34" t="s">
        <v>2433</v>
      </c>
      <c r="D64">
        <v>14072</v>
      </c>
      <c r="E64" s="34" t="s">
        <v>3855</v>
      </c>
      <c r="F64" s="3">
        <v>37214.041666666701</v>
      </c>
      <c r="G64" s="38">
        <f ca="1">TRUNC(YEARFRAC(F64,TODAY(),1))</f>
        <v>24</v>
      </c>
      <c r="H64">
        <f>COUNTIF(BRON!A:A,Tabel6[[#This Row],[Personeelsnummer]])</f>
        <v>1</v>
      </c>
    </row>
    <row r="65" spans="1:8" x14ac:dyDescent="0.25">
      <c r="A65" s="34" t="s">
        <v>3960</v>
      </c>
      <c r="B65" s="34" t="s">
        <v>1677</v>
      </c>
      <c r="C65" s="34" t="s">
        <v>1554</v>
      </c>
      <c r="D65">
        <v>14261</v>
      </c>
      <c r="E65" s="34" t="s">
        <v>3856</v>
      </c>
      <c r="F65" s="3">
        <v>37284.041666666701</v>
      </c>
      <c r="G65" s="38">
        <f ca="1">TRUNC(YEARFRAC(F65,TODAY(),1))</f>
        <v>23</v>
      </c>
      <c r="H65">
        <f>COUNTIF(BRON!A:A,Tabel6[[#This Row],[Personeelsnummer]])</f>
        <v>2</v>
      </c>
    </row>
    <row r="66" spans="1:8" x14ac:dyDescent="0.25">
      <c r="A66" s="34" t="s">
        <v>3961</v>
      </c>
      <c r="B66" s="34" t="s">
        <v>1597</v>
      </c>
      <c r="C66" s="34" t="s">
        <v>1554</v>
      </c>
      <c r="D66">
        <v>14425</v>
      </c>
      <c r="E66" s="34" t="s">
        <v>3854</v>
      </c>
      <c r="F66" s="3">
        <v>37333.041666666701</v>
      </c>
      <c r="G66" s="38">
        <f ca="1">TRUNC(YEARFRAC(F66,TODAY(),1))</f>
        <v>23</v>
      </c>
      <c r="H66">
        <f>COUNTIF(BRON!A:A,Tabel6[[#This Row],[Personeelsnummer]])</f>
        <v>0</v>
      </c>
    </row>
    <row r="67" spans="1:8" x14ac:dyDescent="0.25">
      <c r="A67" s="34" t="s">
        <v>3962</v>
      </c>
      <c r="B67" s="34" t="s">
        <v>1504</v>
      </c>
      <c r="C67" s="34" t="s">
        <v>1503</v>
      </c>
      <c r="D67">
        <v>14625</v>
      </c>
      <c r="E67" s="34" t="s">
        <v>3855</v>
      </c>
      <c r="F67" s="3">
        <v>37397.083333333299</v>
      </c>
      <c r="G67" s="38">
        <f ca="1">TRUNC(YEARFRAC(F67,TODAY(),1))</f>
        <v>23</v>
      </c>
      <c r="H67">
        <f>COUNTIF(BRON!A:A,Tabel6[[#This Row],[Personeelsnummer]])</f>
        <v>1</v>
      </c>
    </row>
    <row r="68" spans="1:8" x14ac:dyDescent="0.25">
      <c r="A68" s="34" t="s">
        <v>3963</v>
      </c>
      <c r="B68" s="34" t="s">
        <v>1918</v>
      </c>
      <c r="C68" s="34" t="s">
        <v>1925</v>
      </c>
      <c r="D68">
        <v>14665</v>
      </c>
      <c r="E68" s="34" t="s">
        <v>3854</v>
      </c>
      <c r="F68" s="3">
        <v>37424.083333333299</v>
      </c>
      <c r="G68" s="38">
        <f ca="1">TRUNC(YEARFRAC(F68,TODAY(),1))</f>
        <v>23</v>
      </c>
      <c r="H68">
        <f>COUNTIF(BRON!A:A,Tabel6[[#This Row],[Personeelsnummer]])</f>
        <v>2</v>
      </c>
    </row>
    <row r="69" spans="1:8" x14ac:dyDescent="0.25">
      <c r="A69" s="34" t="s">
        <v>3964</v>
      </c>
      <c r="B69" s="34" t="s">
        <v>2717</v>
      </c>
      <c r="C69" s="34" t="s">
        <v>2716</v>
      </c>
      <c r="D69">
        <v>14667</v>
      </c>
      <c r="E69" s="34" t="s">
        <v>3857</v>
      </c>
      <c r="F69" s="3">
        <v>37424.083333333299</v>
      </c>
      <c r="G69" s="38">
        <f ca="1">TRUNC(YEARFRAC(F69,TODAY(),1))</f>
        <v>23</v>
      </c>
      <c r="H69">
        <f>COUNTIF(BRON!A:A,Tabel6[[#This Row],[Personeelsnummer]])</f>
        <v>0</v>
      </c>
    </row>
    <row r="70" spans="1:8" x14ac:dyDescent="0.25">
      <c r="A70" s="34" t="s">
        <v>3965</v>
      </c>
      <c r="B70" s="34" t="s">
        <v>3015</v>
      </c>
      <c r="C70" s="34" t="s">
        <v>3027</v>
      </c>
      <c r="D70">
        <v>15088</v>
      </c>
      <c r="E70" s="34" t="s">
        <v>3856</v>
      </c>
      <c r="F70" s="3">
        <v>37501.083333333299</v>
      </c>
      <c r="G70" s="38">
        <f ca="1">TRUNC(YEARFRAC(F70,TODAY(),1))</f>
        <v>23</v>
      </c>
      <c r="H70">
        <f>COUNTIF(BRON!A:A,Tabel6[[#This Row],[Personeelsnummer]])</f>
        <v>2</v>
      </c>
    </row>
    <row r="71" spans="1:8" x14ac:dyDescent="0.25">
      <c r="A71" s="34" t="s">
        <v>3966</v>
      </c>
      <c r="B71" s="34" t="s">
        <v>3147</v>
      </c>
      <c r="C71" s="34" t="s">
        <v>3146</v>
      </c>
      <c r="D71">
        <v>15218</v>
      </c>
      <c r="E71" s="34" t="s">
        <v>3856</v>
      </c>
      <c r="F71" s="3">
        <v>37543.083333333299</v>
      </c>
      <c r="G71" s="38">
        <f ca="1">TRUNC(YEARFRAC(F71,TODAY(),1))</f>
        <v>23</v>
      </c>
      <c r="H71">
        <f>COUNTIF(BRON!A:A,Tabel6[[#This Row],[Personeelsnummer]])</f>
        <v>0</v>
      </c>
    </row>
    <row r="72" spans="1:8" x14ac:dyDescent="0.25">
      <c r="A72" s="34" t="s">
        <v>3967</v>
      </c>
      <c r="B72" s="34" t="s">
        <v>1929</v>
      </c>
      <c r="C72" s="34" t="s">
        <v>1943</v>
      </c>
      <c r="D72">
        <v>15219</v>
      </c>
      <c r="E72" s="34" t="s">
        <v>3854</v>
      </c>
      <c r="F72" s="3">
        <v>37543.083333333299</v>
      </c>
      <c r="G72" s="38">
        <f ca="1">TRUNC(YEARFRAC(F72,TODAY(),1))</f>
        <v>23</v>
      </c>
      <c r="H72">
        <f>COUNTIF(BRON!A:A,Tabel6[[#This Row],[Personeelsnummer]])</f>
        <v>1</v>
      </c>
    </row>
    <row r="73" spans="1:8" x14ac:dyDescent="0.25">
      <c r="A73" s="34" t="s">
        <v>3968</v>
      </c>
      <c r="B73" s="34" t="s">
        <v>2495</v>
      </c>
      <c r="C73" s="34" t="s">
        <v>2498</v>
      </c>
      <c r="D73">
        <v>15220</v>
      </c>
      <c r="E73" s="34" t="s">
        <v>3859</v>
      </c>
      <c r="F73" s="3">
        <v>37543.083333333299</v>
      </c>
      <c r="G73" s="38">
        <f ca="1">TRUNC(YEARFRAC(F73,TODAY(),1))</f>
        <v>23</v>
      </c>
      <c r="H73">
        <f>COUNTIF(BRON!A:A,Tabel6[[#This Row],[Personeelsnummer]])</f>
        <v>1</v>
      </c>
    </row>
    <row r="74" spans="1:8" x14ac:dyDescent="0.25">
      <c r="A74" s="34" t="s">
        <v>3969</v>
      </c>
      <c r="B74" s="34" t="s">
        <v>2409</v>
      </c>
      <c r="C74" s="34" t="s">
        <v>2408</v>
      </c>
      <c r="D74">
        <v>15282</v>
      </c>
      <c r="E74" s="34" t="s">
        <v>3851</v>
      </c>
      <c r="F74" s="3">
        <v>37564.041666666701</v>
      </c>
      <c r="G74" s="38">
        <f ca="1">TRUNC(YEARFRAC(F74,TODAY(),1))</f>
        <v>23</v>
      </c>
      <c r="H74">
        <f>COUNTIF(BRON!A:A,Tabel6[[#This Row],[Personeelsnummer]])</f>
        <v>2</v>
      </c>
    </row>
    <row r="75" spans="1:8" x14ac:dyDescent="0.25">
      <c r="A75" s="34" t="s">
        <v>3970</v>
      </c>
      <c r="B75" s="34" t="s">
        <v>2879</v>
      </c>
      <c r="C75" s="34" t="s">
        <v>2206</v>
      </c>
      <c r="D75">
        <v>15320</v>
      </c>
      <c r="E75" s="34" t="s">
        <v>3856</v>
      </c>
      <c r="F75" s="3">
        <v>37585.041666666701</v>
      </c>
      <c r="G75" s="38">
        <f ca="1">TRUNC(YEARFRAC(F75,TODAY(),1))</f>
        <v>23</v>
      </c>
      <c r="H75">
        <f>COUNTIF(BRON!A:A,Tabel6[[#This Row],[Personeelsnummer]])</f>
        <v>2</v>
      </c>
    </row>
    <row r="76" spans="1:8" x14ac:dyDescent="0.25">
      <c r="A76" s="34" t="s">
        <v>3971</v>
      </c>
      <c r="B76" s="34" t="s">
        <v>2866</v>
      </c>
      <c r="C76" s="34" t="s">
        <v>2872</v>
      </c>
      <c r="D76">
        <v>15412</v>
      </c>
      <c r="E76" s="34" t="s">
        <v>3854</v>
      </c>
      <c r="F76" s="3">
        <v>37634.041666666701</v>
      </c>
      <c r="G76" s="38">
        <f ca="1">TRUNC(YEARFRAC(F76,TODAY(),1))</f>
        <v>22</v>
      </c>
      <c r="H76">
        <f>COUNTIF(BRON!A:A,Tabel6[[#This Row],[Personeelsnummer]])</f>
        <v>2</v>
      </c>
    </row>
    <row r="77" spans="1:8" x14ac:dyDescent="0.25">
      <c r="A77" s="34" t="s">
        <v>3972</v>
      </c>
      <c r="B77" s="34" t="s">
        <v>1838</v>
      </c>
      <c r="C77" s="34" t="s">
        <v>1837</v>
      </c>
      <c r="D77">
        <v>15626</v>
      </c>
      <c r="E77" s="34" t="s">
        <v>3854</v>
      </c>
      <c r="F77" s="3">
        <v>37718.083333333299</v>
      </c>
      <c r="G77" s="38">
        <f ca="1">TRUNC(YEARFRAC(F77,TODAY(),1))</f>
        <v>22</v>
      </c>
      <c r="H77">
        <f>COUNTIF(BRON!A:A,Tabel6[[#This Row],[Personeelsnummer]])</f>
        <v>0</v>
      </c>
    </row>
    <row r="78" spans="1:8" x14ac:dyDescent="0.25">
      <c r="A78" s="34" t="s">
        <v>3973</v>
      </c>
      <c r="B78" s="34" t="s">
        <v>1326</v>
      </c>
      <c r="C78" s="34" t="s">
        <v>2998</v>
      </c>
      <c r="D78">
        <v>15628</v>
      </c>
      <c r="E78" s="34" t="s">
        <v>3851</v>
      </c>
      <c r="F78" s="3">
        <v>37718.083333333299</v>
      </c>
      <c r="G78" s="38">
        <f ca="1">TRUNC(YEARFRAC(F78,TODAY(),1))</f>
        <v>22</v>
      </c>
      <c r="H78">
        <f>COUNTIF(BRON!A:A,Tabel6[[#This Row],[Personeelsnummer]])</f>
        <v>3</v>
      </c>
    </row>
    <row r="79" spans="1:8" x14ac:dyDescent="0.25">
      <c r="A79" s="34" t="s">
        <v>3974</v>
      </c>
      <c r="B79" s="34" t="s">
        <v>1536</v>
      </c>
      <c r="C79" s="34" t="s">
        <v>1545</v>
      </c>
      <c r="D79">
        <v>15676</v>
      </c>
      <c r="E79" s="34" t="s">
        <v>3855</v>
      </c>
      <c r="F79" s="3">
        <v>37739.083333333299</v>
      </c>
      <c r="G79" s="38">
        <f ca="1">TRUNC(YEARFRAC(F79,TODAY(),1))</f>
        <v>22</v>
      </c>
      <c r="H79">
        <f>COUNTIF(BRON!A:A,Tabel6[[#This Row],[Personeelsnummer]])</f>
        <v>1</v>
      </c>
    </row>
    <row r="80" spans="1:8" x14ac:dyDescent="0.25">
      <c r="A80" s="34" t="s">
        <v>3975</v>
      </c>
      <c r="B80" s="34" t="s">
        <v>1960</v>
      </c>
      <c r="C80" s="34" t="s">
        <v>1979</v>
      </c>
      <c r="D80">
        <v>15726</v>
      </c>
      <c r="E80" s="34" t="s">
        <v>3854</v>
      </c>
      <c r="F80" s="3">
        <v>37767.083333333299</v>
      </c>
      <c r="G80" s="38">
        <f ca="1">TRUNC(YEARFRAC(F80,TODAY(),1))</f>
        <v>22</v>
      </c>
      <c r="H80">
        <f>COUNTIF(BRON!A:A,Tabel6[[#This Row],[Personeelsnummer]])</f>
        <v>0</v>
      </c>
    </row>
    <row r="81" spans="1:8" x14ac:dyDescent="0.25">
      <c r="A81" s="34" t="s">
        <v>3976</v>
      </c>
      <c r="B81" s="34" t="s">
        <v>1521</v>
      </c>
      <c r="C81" s="34" t="s">
        <v>1524</v>
      </c>
      <c r="D81">
        <v>15852</v>
      </c>
      <c r="E81" s="34" t="s">
        <v>3851</v>
      </c>
      <c r="F81" s="3">
        <v>37788.083333333299</v>
      </c>
      <c r="G81" s="38">
        <f ca="1">TRUNC(YEARFRAC(F81,TODAY(),1))</f>
        <v>22</v>
      </c>
      <c r="H81">
        <f>COUNTIF(BRON!A:A,Tabel6[[#This Row],[Personeelsnummer]])</f>
        <v>1</v>
      </c>
    </row>
    <row r="82" spans="1:8" x14ac:dyDescent="0.25">
      <c r="A82" s="34" t="s">
        <v>3977</v>
      </c>
      <c r="B82" s="34" t="s">
        <v>1929</v>
      </c>
      <c r="C82" s="34" t="s">
        <v>1940</v>
      </c>
      <c r="D82">
        <v>16094</v>
      </c>
      <c r="E82" s="34" t="s">
        <v>3851</v>
      </c>
      <c r="F82" s="3">
        <v>37830.083333333299</v>
      </c>
      <c r="G82" s="38">
        <f ca="1">TRUNC(YEARFRAC(F82,TODAY(),1))</f>
        <v>22</v>
      </c>
      <c r="H82">
        <f>COUNTIF(BRON!A:A,Tabel6[[#This Row],[Personeelsnummer]])</f>
        <v>0</v>
      </c>
    </row>
    <row r="83" spans="1:8" x14ac:dyDescent="0.25">
      <c r="A83" s="34" t="s">
        <v>3978</v>
      </c>
      <c r="B83" s="34" t="s">
        <v>2596</v>
      </c>
      <c r="C83" s="34" t="s">
        <v>2601</v>
      </c>
      <c r="D83">
        <v>16095</v>
      </c>
      <c r="E83" s="34" t="s">
        <v>3851</v>
      </c>
      <c r="F83" s="3">
        <v>37830.083333333299</v>
      </c>
      <c r="G83" s="38">
        <f ca="1">TRUNC(YEARFRAC(F83,TODAY(),1))</f>
        <v>22</v>
      </c>
      <c r="H83">
        <f>COUNTIF(BRON!A:A,Tabel6[[#This Row],[Personeelsnummer]])</f>
        <v>0</v>
      </c>
    </row>
    <row r="84" spans="1:8" x14ac:dyDescent="0.25">
      <c r="A84" s="34" t="s">
        <v>3979</v>
      </c>
      <c r="B84" s="34" t="s">
        <v>1605</v>
      </c>
      <c r="C84" s="34" t="s">
        <v>1608</v>
      </c>
      <c r="D84">
        <v>16098</v>
      </c>
      <c r="E84" s="34" t="s">
        <v>3853</v>
      </c>
      <c r="F84" s="3">
        <v>37830.083333333299</v>
      </c>
      <c r="G84" s="38">
        <f ca="1">TRUNC(YEARFRAC(F84,TODAY(),1))</f>
        <v>22</v>
      </c>
      <c r="H84">
        <f>COUNTIF(BRON!A:A,Tabel6[[#This Row],[Personeelsnummer]])</f>
        <v>0</v>
      </c>
    </row>
    <row r="85" spans="1:8" x14ac:dyDescent="0.25">
      <c r="A85" s="34" t="s">
        <v>3980</v>
      </c>
      <c r="B85" s="34" t="s">
        <v>1960</v>
      </c>
      <c r="C85" s="34" t="s">
        <v>1976</v>
      </c>
      <c r="D85">
        <v>16275</v>
      </c>
      <c r="E85" s="34" t="s">
        <v>3857</v>
      </c>
      <c r="F85" s="3">
        <v>37886.083333333299</v>
      </c>
      <c r="G85" s="38">
        <f ca="1">TRUNC(YEARFRAC(F85,TODAY(),1))</f>
        <v>22</v>
      </c>
      <c r="H85">
        <f>COUNTIF(BRON!A:A,Tabel6[[#This Row],[Personeelsnummer]])</f>
        <v>1</v>
      </c>
    </row>
    <row r="86" spans="1:8" x14ac:dyDescent="0.25">
      <c r="A86" s="34" t="s">
        <v>3981</v>
      </c>
      <c r="B86" s="34" t="s">
        <v>3116</v>
      </c>
      <c r="C86" s="34" t="s">
        <v>3121</v>
      </c>
      <c r="D86">
        <v>16279</v>
      </c>
      <c r="E86" s="34" t="s">
        <v>3859</v>
      </c>
      <c r="F86" s="3">
        <v>37886.083333333299</v>
      </c>
      <c r="G86" s="38">
        <f ca="1">TRUNC(YEARFRAC(F86,TODAY(),1))</f>
        <v>22</v>
      </c>
      <c r="H86">
        <f>COUNTIF(BRON!A:A,Tabel6[[#This Row],[Personeelsnummer]])</f>
        <v>0</v>
      </c>
    </row>
    <row r="87" spans="1:8" x14ac:dyDescent="0.25">
      <c r="A87" s="34" t="s">
        <v>3982</v>
      </c>
      <c r="B87" s="34" t="s">
        <v>2671</v>
      </c>
      <c r="C87" s="34" t="s">
        <v>2670</v>
      </c>
      <c r="D87">
        <v>16280</v>
      </c>
      <c r="E87" s="34" t="s">
        <v>3855</v>
      </c>
      <c r="F87" s="3">
        <v>37886.083333333299</v>
      </c>
      <c r="G87" s="38">
        <f ca="1">TRUNC(YEARFRAC(F87,TODAY(),1))</f>
        <v>22</v>
      </c>
      <c r="H87">
        <f>COUNTIF(BRON!A:A,Tabel6[[#This Row],[Personeelsnummer]])</f>
        <v>1</v>
      </c>
    </row>
    <row r="88" spans="1:8" x14ac:dyDescent="0.25">
      <c r="A88" s="34" t="s">
        <v>3983</v>
      </c>
      <c r="B88" s="34" t="s">
        <v>1801</v>
      </c>
      <c r="C88" s="34" t="s">
        <v>1800</v>
      </c>
      <c r="D88">
        <v>16282</v>
      </c>
      <c r="E88" s="34" t="s">
        <v>3851</v>
      </c>
      <c r="F88" s="3">
        <v>37886.083333333299</v>
      </c>
      <c r="G88" s="38">
        <f ca="1">TRUNC(YEARFRAC(F88,TODAY(),1))</f>
        <v>22</v>
      </c>
      <c r="H88">
        <f>COUNTIF(BRON!A:A,Tabel6[[#This Row],[Personeelsnummer]])</f>
        <v>1</v>
      </c>
    </row>
    <row r="89" spans="1:8" x14ac:dyDescent="0.25">
      <c r="A89" s="34" t="s">
        <v>3984</v>
      </c>
      <c r="B89" s="34" t="s">
        <v>2921</v>
      </c>
      <c r="C89" s="34" t="s">
        <v>2920</v>
      </c>
      <c r="D89">
        <v>16545</v>
      </c>
      <c r="E89" s="34" t="s">
        <v>3854</v>
      </c>
      <c r="F89" s="3">
        <v>37991.041666666701</v>
      </c>
      <c r="G89" s="38">
        <f ca="1">TRUNC(YEARFRAC(F89,TODAY(),1))</f>
        <v>21</v>
      </c>
      <c r="H89">
        <f>COUNTIF(BRON!A:A,Tabel6[[#This Row],[Personeelsnummer]])</f>
        <v>2</v>
      </c>
    </row>
    <row r="90" spans="1:8" x14ac:dyDescent="0.25">
      <c r="A90" s="34" t="s">
        <v>3985</v>
      </c>
      <c r="B90" s="34" t="s">
        <v>1817</v>
      </c>
      <c r="C90" s="34" t="s">
        <v>1816</v>
      </c>
      <c r="D90">
        <v>16546</v>
      </c>
      <c r="E90" s="34" t="s">
        <v>3853</v>
      </c>
      <c r="F90" s="3">
        <v>37991.041666666701</v>
      </c>
      <c r="G90" s="38">
        <f ca="1">TRUNC(YEARFRAC(F90,TODAY(),1))</f>
        <v>21</v>
      </c>
      <c r="H90">
        <f>COUNTIF(BRON!A:A,Tabel6[[#This Row],[Personeelsnummer]])</f>
        <v>2</v>
      </c>
    </row>
    <row r="91" spans="1:8" x14ac:dyDescent="0.25">
      <c r="A91" s="34" t="s">
        <v>3986</v>
      </c>
      <c r="B91" s="34" t="s">
        <v>2089</v>
      </c>
      <c r="C91" s="34" t="s">
        <v>2088</v>
      </c>
      <c r="D91">
        <v>16623</v>
      </c>
      <c r="E91" s="34" t="s">
        <v>3856</v>
      </c>
      <c r="F91" s="3">
        <v>38019.041666666701</v>
      </c>
      <c r="G91" s="38">
        <f ca="1">TRUNC(YEARFRAC(F91,TODAY(),1))</f>
        <v>21</v>
      </c>
      <c r="H91">
        <f>COUNTIF(BRON!A:A,Tabel6[[#This Row],[Personeelsnummer]])</f>
        <v>0</v>
      </c>
    </row>
    <row r="92" spans="1:8" x14ac:dyDescent="0.25">
      <c r="A92" s="34" t="s">
        <v>3987</v>
      </c>
      <c r="B92" s="34" t="s">
        <v>2850</v>
      </c>
      <c r="C92" s="34" t="s">
        <v>2854</v>
      </c>
      <c r="D92">
        <v>16895</v>
      </c>
      <c r="E92" s="34" t="s">
        <v>3854</v>
      </c>
      <c r="F92" s="3">
        <v>38103.083333333299</v>
      </c>
      <c r="G92" s="38">
        <f ca="1">TRUNC(YEARFRAC(F92,TODAY(),1))</f>
        <v>21</v>
      </c>
      <c r="H92">
        <f>COUNTIF(BRON!A:A,Tabel6[[#This Row],[Personeelsnummer]])</f>
        <v>6</v>
      </c>
    </row>
    <row r="93" spans="1:8" x14ac:dyDescent="0.25">
      <c r="A93" s="34" t="s">
        <v>3988</v>
      </c>
      <c r="B93" s="34" t="s">
        <v>3347</v>
      </c>
      <c r="C93" s="34" t="s">
        <v>3087</v>
      </c>
      <c r="D93">
        <v>16897</v>
      </c>
      <c r="E93" s="34" t="s">
        <v>3858</v>
      </c>
      <c r="F93" s="3">
        <v>38103.083333333299</v>
      </c>
      <c r="G93" s="38">
        <f ca="1">TRUNC(YEARFRAC(F93,TODAY(),1))</f>
        <v>21</v>
      </c>
      <c r="H93">
        <f>COUNTIF(BRON!A:A,Tabel6[[#This Row],[Personeelsnummer]])</f>
        <v>2</v>
      </c>
    </row>
    <row r="94" spans="1:8" x14ac:dyDescent="0.25">
      <c r="A94" s="34" t="s">
        <v>3989</v>
      </c>
      <c r="B94" s="34" t="s">
        <v>2351</v>
      </c>
      <c r="C94" s="34" t="s">
        <v>2354</v>
      </c>
      <c r="D94">
        <v>16899</v>
      </c>
      <c r="E94" s="34" t="s">
        <v>3858</v>
      </c>
      <c r="F94" s="3">
        <v>38103.083333333299</v>
      </c>
      <c r="G94" s="38">
        <f ca="1">TRUNC(YEARFRAC(F94,TODAY(),1))</f>
        <v>21</v>
      </c>
      <c r="H94">
        <f>COUNTIF(BRON!A:A,Tabel6[[#This Row],[Personeelsnummer]])</f>
        <v>0</v>
      </c>
    </row>
    <row r="95" spans="1:8" x14ac:dyDescent="0.25">
      <c r="A95" s="34" t="s">
        <v>3990</v>
      </c>
      <c r="B95" s="34" t="s">
        <v>3055</v>
      </c>
      <c r="C95" s="34" t="s">
        <v>3061</v>
      </c>
      <c r="D95">
        <v>16970</v>
      </c>
      <c r="E95" s="34" t="s">
        <v>3854</v>
      </c>
      <c r="F95" s="3">
        <v>38124.083333333299</v>
      </c>
      <c r="G95" s="38">
        <f ca="1">TRUNC(YEARFRAC(F95,TODAY(),1))</f>
        <v>21</v>
      </c>
      <c r="H95">
        <f>COUNTIF(BRON!A:A,Tabel6[[#This Row],[Personeelsnummer]])</f>
        <v>0</v>
      </c>
    </row>
    <row r="96" spans="1:8" x14ac:dyDescent="0.25">
      <c r="A96" s="34" t="s">
        <v>3991</v>
      </c>
      <c r="B96" s="34" t="s">
        <v>2531</v>
      </c>
      <c r="C96" s="34" t="s">
        <v>2534</v>
      </c>
      <c r="D96">
        <v>16971</v>
      </c>
      <c r="E96" s="34" t="s">
        <v>3854</v>
      </c>
      <c r="F96" s="3">
        <v>38124.083333333299</v>
      </c>
      <c r="G96" s="38">
        <f ca="1">TRUNC(YEARFRAC(F96,TODAY(),1))</f>
        <v>21</v>
      </c>
      <c r="H96">
        <f>COUNTIF(BRON!A:A,Tabel6[[#This Row],[Personeelsnummer]])</f>
        <v>0</v>
      </c>
    </row>
    <row r="97" spans="1:8" x14ac:dyDescent="0.25">
      <c r="A97" s="34" t="s">
        <v>3992</v>
      </c>
      <c r="B97" s="34" t="s">
        <v>1491</v>
      </c>
      <c r="C97" s="34" t="s">
        <v>1499</v>
      </c>
      <c r="D97">
        <v>17555</v>
      </c>
      <c r="E97" s="34" t="s">
        <v>3854</v>
      </c>
      <c r="F97" s="3">
        <v>38222.083333333299</v>
      </c>
      <c r="G97" s="38">
        <f ca="1">TRUNC(YEARFRAC(F97,TODAY(),1))</f>
        <v>21</v>
      </c>
      <c r="H97">
        <f>COUNTIF(BRON!A:A,Tabel6[[#This Row],[Personeelsnummer]])</f>
        <v>1</v>
      </c>
    </row>
    <row r="98" spans="1:8" x14ac:dyDescent="0.25">
      <c r="A98" s="34" t="s">
        <v>3993</v>
      </c>
      <c r="B98" s="34" t="s">
        <v>1873</v>
      </c>
      <c r="C98" s="34" t="s">
        <v>1872</v>
      </c>
      <c r="D98">
        <v>17566</v>
      </c>
      <c r="E98" s="34" t="s">
        <v>3854</v>
      </c>
      <c r="F98" s="3">
        <v>38222.083333333299</v>
      </c>
      <c r="G98" s="38">
        <f ca="1">TRUNC(YEARFRAC(F98,TODAY(),1))</f>
        <v>21</v>
      </c>
      <c r="H98">
        <f>COUNTIF(BRON!A:A,Tabel6[[#This Row],[Personeelsnummer]])</f>
        <v>2</v>
      </c>
    </row>
    <row r="99" spans="1:8" x14ac:dyDescent="0.25">
      <c r="A99" s="34" t="s">
        <v>3994</v>
      </c>
      <c r="B99" s="34" t="s">
        <v>2296</v>
      </c>
      <c r="C99" s="34" t="s">
        <v>3995</v>
      </c>
      <c r="D99">
        <v>17929</v>
      </c>
      <c r="E99" s="34" t="s">
        <v>3852</v>
      </c>
      <c r="F99" s="3">
        <v>38386.041666666701</v>
      </c>
      <c r="G99" s="38">
        <f ca="1">TRUNC(YEARFRAC(F99,TODAY(),1))</f>
        <v>20</v>
      </c>
      <c r="H99">
        <f>COUNTIF(BRON!A:A,Tabel6[[#This Row],[Personeelsnummer]])</f>
        <v>0</v>
      </c>
    </row>
    <row r="100" spans="1:8" x14ac:dyDescent="0.25">
      <c r="A100" s="34" t="s">
        <v>3996</v>
      </c>
      <c r="B100" s="34" t="s">
        <v>2749</v>
      </c>
      <c r="C100" s="34" t="s">
        <v>2748</v>
      </c>
      <c r="D100">
        <v>17931</v>
      </c>
      <c r="E100" s="34" t="s">
        <v>3857</v>
      </c>
      <c r="F100" s="3">
        <v>38390.041666666701</v>
      </c>
      <c r="G100" s="38">
        <f ca="1">TRUNC(YEARFRAC(F100,TODAY(),1))</f>
        <v>20</v>
      </c>
      <c r="H100">
        <f>COUNTIF(BRON!A:A,Tabel6[[#This Row],[Personeelsnummer]])</f>
        <v>2</v>
      </c>
    </row>
    <row r="101" spans="1:8" x14ac:dyDescent="0.25">
      <c r="A101" s="34" t="s">
        <v>3997</v>
      </c>
      <c r="B101" s="34" t="s">
        <v>3128</v>
      </c>
      <c r="C101" s="34" t="s">
        <v>3127</v>
      </c>
      <c r="D101">
        <v>17951</v>
      </c>
      <c r="E101" s="34" t="s">
        <v>3854</v>
      </c>
      <c r="F101" s="3">
        <v>38404.041666666701</v>
      </c>
      <c r="G101" s="38">
        <f ca="1">TRUNC(YEARFRAC(F101,TODAY(),1))</f>
        <v>20</v>
      </c>
      <c r="H101">
        <f>COUNTIF(BRON!A:A,Tabel6[[#This Row],[Personeelsnummer]])</f>
        <v>1</v>
      </c>
    </row>
    <row r="102" spans="1:8" x14ac:dyDescent="0.25">
      <c r="A102" s="34" t="s">
        <v>3998</v>
      </c>
      <c r="B102" s="34" t="s">
        <v>1804</v>
      </c>
      <c r="C102" s="34" t="s">
        <v>1738</v>
      </c>
      <c r="D102">
        <v>17954</v>
      </c>
      <c r="E102" s="34" t="s">
        <v>3855</v>
      </c>
      <c r="F102" s="3">
        <v>38404.041666666701</v>
      </c>
      <c r="G102" s="38">
        <f ca="1">TRUNC(YEARFRAC(F102,TODAY(),1))</f>
        <v>20</v>
      </c>
      <c r="H102">
        <f>COUNTIF(BRON!A:A,Tabel6[[#This Row],[Personeelsnummer]])</f>
        <v>0</v>
      </c>
    </row>
    <row r="103" spans="1:8" x14ac:dyDescent="0.25">
      <c r="A103" s="34" t="s">
        <v>3999</v>
      </c>
      <c r="B103" s="34" t="s">
        <v>2420</v>
      </c>
      <c r="C103" s="34" t="s">
        <v>4000</v>
      </c>
      <c r="D103">
        <v>17955</v>
      </c>
      <c r="E103" s="34" t="s">
        <v>3852</v>
      </c>
      <c r="F103" s="3">
        <v>38404.041666666701</v>
      </c>
      <c r="G103" s="38">
        <f ca="1">TRUNC(YEARFRAC(F103,TODAY(),1))</f>
        <v>20</v>
      </c>
      <c r="H103">
        <f>COUNTIF(BRON!A:A,Tabel6[[#This Row],[Personeelsnummer]])</f>
        <v>0</v>
      </c>
    </row>
    <row r="104" spans="1:8" x14ac:dyDescent="0.25">
      <c r="A104" s="34" t="s">
        <v>4001</v>
      </c>
      <c r="B104" s="34" t="s">
        <v>2879</v>
      </c>
      <c r="C104" s="34" t="s">
        <v>2882</v>
      </c>
      <c r="D104">
        <v>18051</v>
      </c>
      <c r="E104" s="34" t="s">
        <v>3853</v>
      </c>
      <c r="F104" s="3">
        <v>38446.083333333299</v>
      </c>
      <c r="G104" s="38">
        <f ca="1">TRUNC(YEARFRAC(F104,TODAY(),1))</f>
        <v>20</v>
      </c>
      <c r="H104">
        <f>COUNTIF(BRON!A:A,Tabel6[[#This Row],[Personeelsnummer]])</f>
        <v>3</v>
      </c>
    </row>
    <row r="105" spans="1:8" x14ac:dyDescent="0.25">
      <c r="A105" s="34" t="s">
        <v>4002</v>
      </c>
      <c r="B105" s="34" t="s">
        <v>2394</v>
      </c>
      <c r="C105" s="34" t="s">
        <v>2405</v>
      </c>
      <c r="D105">
        <v>18139</v>
      </c>
      <c r="E105" s="34" t="s">
        <v>3854</v>
      </c>
      <c r="F105" s="3">
        <v>38460.083333333299</v>
      </c>
      <c r="G105" s="38">
        <f ca="1">TRUNC(YEARFRAC(F105,TODAY(),1))</f>
        <v>20</v>
      </c>
      <c r="H105">
        <f>COUNTIF(BRON!A:A,Tabel6[[#This Row],[Personeelsnummer]])</f>
        <v>0</v>
      </c>
    </row>
    <row r="106" spans="1:8" x14ac:dyDescent="0.25">
      <c r="A106" s="34" t="s">
        <v>4003</v>
      </c>
      <c r="B106" s="34" t="s">
        <v>2339</v>
      </c>
      <c r="C106" s="34" t="s">
        <v>2338</v>
      </c>
      <c r="D106">
        <v>18141</v>
      </c>
      <c r="E106" s="34" t="s">
        <v>3853</v>
      </c>
      <c r="F106" s="3">
        <v>38460.083333333299</v>
      </c>
      <c r="G106" s="38">
        <f ca="1">TRUNC(YEARFRAC(F106,TODAY(),1))</f>
        <v>20</v>
      </c>
      <c r="H106">
        <f>COUNTIF(BRON!A:A,Tabel6[[#This Row],[Personeelsnummer]])</f>
        <v>0</v>
      </c>
    </row>
    <row r="107" spans="1:8" x14ac:dyDescent="0.25">
      <c r="A107" s="34" t="s">
        <v>4004</v>
      </c>
      <c r="B107" s="34" t="s">
        <v>2777</v>
      </c>
      <c r="C107" s="34" t="s">
        <v>2776</v>
      </c>
      <c r="D107">
        <v>18173</v>
      </c>
      <c r="E107" s="34" t="s">
        <v>3851</v>
      </c>
      <c r="F107" s="3">
        <v>38481.083333333299</v>
      </c>
      <c r="G107" s="38">
        <f ca="1">TRUNC(YEARFRAC(F107,TODAY(),1))</f>
        <v>20</v>
      </c>
      <c r="H107">
        <f>COUNTIF(BRON!A:A,Tabel6[[#This Row],[Personeelsnummer]])</f>
        <v>1</v>
      </c>
    </row>
    <row r="108" spans="1:8" x14ac:dyDescent="0.25">
      <c r="A108" s="34" t="s">
        <v>4005</v>
      </c>
      <c r="B108" s="34" t="s">
        <v>2335</v>
      </c>
      <c r="C108" s="34" t="s">
        <v>2334</v>
      </c>
      <c r="D108">
        <v>18624</v>
      </c>
      <c r="E108" s="34" t="s">
        <v>3854</v>
      </c>
      <c r="F108" s="3">
        <v>38593.083333333299</v>
      </c>
      <c r="G108" s="38">
        <f ca="1">TRUNC(YEARFRAC(F108,TODAY(),1))</f>
        <v>20</v>
      </c>
      <c r="H108">
        <f>COUNTIF(BRON!A:A,Tabel6[[#This Row],[Personeelsnummer]])</f>
        <v>0</v>
      </c>
    </row>
    <row r="109" spans="1:8" x14ac:dyDescent="0.25">
      <c r="A109" s="34" t="s">
        <v>4006</v>
      </c>
      <c r="B109" s="34" t="s">
        <v>3860</v>
      </c>
      <c r="C109" s="34" t="s">
        <v>3009</v>
      </c>
      <c r="D109">
        <v>18987</v>
      </c>
      <c r="E109" s="34" t="s">
        <v>3858</v>
      </c>
      <c r="F109" s="3">
        <v>38754.041666666701</v>
      </c>
      <c r="G109" s="38">
        <f ca="1">TRUNC(YEARFRAC(F109,TODAY(),1))</f>
        <v>19</v>
      </c>
      <c r="H109">
        <f>COUNTIF(BRON!A:A,Tabel6[[#This Row],[Personeelsnummer]])</f>
        <v>3</v>
      </c>
    </row>
    <row r="110" spans="1:8" x14ac:dyDescent="0.25">
      <c r="A110" s="34" t="s">
        <v>4007</v>
      </c>
      <c r="B110" s="34" t="s">
        <v>1513</v>
      </c>
      <c r="C110" s="34" t="s">
        <v>1517</v>
      </c>
      <c r="D110">
        <v>19016</v>
      </c>
      <c r="E110" s="34" t="s">
        <v>3856</v>
      </c>
      <c r="F110" s="3">
        <v>38775.041666666701</v>
      </c>
      <c r="G110" s="38">
        <f ca="1">TRUNC(YEARFRAC(F110,TODAY(),1))</f>
        <v>19</v>
      </c>
      <c r="H110">
        <f>COUNTIF(BRON!A:A,Tabel6[[#This Row],[Personeelsnummer]])</f>
        <v>0</v>
      </c>
    </row>
    <row r="111" spans="1:8" x14ac:dyDescent="0.25">
      <c r="A111" s="34" t="s">
        <v>4008</v>
      </c>
      <c r="B111" s="34" t="s">
        <v>3259</v>
      </c>
      <c r="C111" s="34" t="s">
        <v>2465</v>
      </c>
      <c r="D111">
        <v>19086</v>
      </c>
      <c r="E111" s="34" t="s">
        <v>3858</v>
      </c>
      <c r="F111" s="3">
        <v>38789.041666666701</v>
      </c>
      <c r="G111" s="38">
        <f ca="1">TRUNC(YEARFRAC(F111,TODAY(),1))</f>
        <v>19</v>
      </c>
      <c r="H111">
        <f>COUNTIF(BRON!A:A,Tabel6[[#This Row],[Personeelsnummer]])</f>
        <v>0</v>
      </c>
    </row>
    <row r="112" spans="1:8" x14ac:dyDescent="0.25">
      <c r="A112" s="34" t="s">
        <v>4009</v>
      </c>
      <c r="B112" s="34" t="s">
        <v>1929</v>
      </c>
      <c r="C112" s="34" t="s">
        <v>1937</v>
      </c>
      <c r="D112">
        <v>19087</v>
      </c>
      <c r="E112" s="34" t="s">
        <v>3856</v>
      </c>
      <c r="F112" s="3">
        <v>38789.041666666701</v>
      </c>
      <c r="G112" s="38">
        <f ca="1">TRUNC(YEARFRAC(F112,TODAY(),1))</f>
        <v>19</v>
      </c>
      <c r="H112">
        <f>COUNTIF(BRON!A:A,Tabel6[[#This Row],[Personeelsnummer]])</f>
        <v>1</v>
      </c>
    </row>
    <row r="113" spans="1:8" x14ac:dyDescent="0.25">
      <c r="A113" s="34" t="s">
        <v>4010</v>
      </c>
      <c r="B113" s="34" t="s">
        <v>2405</v>
      </c>
      <c r="C113" s="34" t="s">
        <v>3078</v>
      </c>
      <c r="D113">
        <v>19088</v>
      </c>
      <c r="E113" s="34" t="s">
        <v>3851</v>
      </c>
      <c r="F113" s="3">
        <v>38789.041666666701</v>
      </c>
      <c r="G113" s="38">
        <f ca="1">TRUNC(YEARFRAC(F113,TODAY(),1))</f>
        <v>19</v>
      </c>
      <c r="H113">
        <f>COUNTIF(BRON!A:A,Tabel6[[#This Row],[Personeelsnummer]])</f>
        <v>1</v>
      </c>
    </row>
    <row r="114" spans="1:8" x14ac:dyDescent="0.25">
      <c r="A114" s="34" t="s">
        <v>4011</v>
      </c>
      <c r="B114" s="34" t="s">
        <v>1491</v>
      </c>
      <c r="C114" s="34" t="s">
        <v>1495</v>
      </c>
      <c r="D114">
        <v>19127</v>
      </c>
      <c r="E114" s="34" t="s">
        <v>3853</v>
      </c>
      <c r="F114" s="3">
        <v>38810.083333333299</v>
      </c>
      <c r="G114" s="38">
        <f ca="1">TRUNC(YEARFRAC(F114,TODAY(),1))</f>
        <v>19</v>
      </c>
      <c r="H114">
        <f>COUNTIF(BRON!A:A,Tabel6[[#This Row],[Personeelsnummer]])</f>
        <v>0</v>
      </c>
    </row>
    <row r="115" spans="1:8" x14ac:dyDescent="0.25">
      <c r="A115" s="34" t="s">
        <v>4012</v>
      </c>
      <c r="B115" s="34" t="s">
        <v>2820</v>
      </c>
      <c r="C115" s="34" t="s">
        <v>2829</v>
      </c>
      <c r="D115">
        <v>19219</v>
      </c>
      <c r="E115" s="34" t="s">
        <v>3855</v>
      </c>
      <c r="F115" s="3">
        <v>38831.083333333299</v>
      </c>
      <c r="G115" s="38">
        <f ca="1">TRUNC(YEARFRAC(F115,TODAY(),1))</f>
        <v>19</v>
      </c>
      <c r="H115">
        <f>COUNTIF(BRON!A:A,Tabel6[[#This Row],[Personeelsnummer]])</f>
        <v>1</v>
      </c>
    </row>
    <row r="116" spans="1:8" x14ac:dyDescent="0.25">
      <c r="A116" s="34" t="s">
        <v>4013</v>
      </c>
      <c r="B116" s="34" t="s">
        <v>2524</v>
      </c>
      <c r="C116" s="34" t="s">
        <v>2527</v>
      </c>
      <c r="D116">
        <v>19249</v>
      </c>
      <c r="E116" s="34" t="s">
        <v>3855</v>
      </c>
      <c r="F116" s="3">
        <v>38852.083333333299</v>
      </c>
      <c r="G116" s="38">
        <f ca="1">TRUNC(YEARFRAC(F116,TODAY(),1))</f>
        <v>19</v>
      </c>
      <c r="H116">
        <f>COUNTIF(BRON!A:A,Tabel6[[#This Row],[Personeelsnummer]])</f>
        <v>4</v>
      </c>
    </row>
    <row r="117" spans="1:8" x14ac:dyDescent="0.25">
      <c r="A117" s="34" t="s">
        <v>4015</v>
      </c>
      <c r="B117" s="34" t="s">
        <v>2420</v>
      </c>
      <c r="C117" s="34" t="s">
        <v>2423</v>
      </c>
      <c r="D117">
        <v>19520</v>
      </c>
      <c r="E117" s="34" t="s">
        <v>3857</v>
      </c>
      <c r="F117" s="3">
        <v>38908.083333333299</v>
      </c>
      <c r="G117" s="38">
        <f ca="1">TRUNC(YEARFRAC(F117,TODAY(),1))</f>
        <v>19</v>
      </c>
      <c r="H117">
        <f>COUNTIF(BRON!A:A,Tabel6[[#This Row],[Personeelsnummer]])</f>
        <v>1</v>
      </c>
    </row>
    <row r="118" spans="1:8" x14ac:dyDescent="0.25">
      <c r="A118" s="34" t="s">
        <v>4016</v>
      </c>
      <c r="B118" s="34" t="s">
        <v>1670</v>
      </c>
      <c r="C118" s="34" t="s">
        <v>1669</v>
      </c>
      <c r="D118">
        <v>19675</v>
      </c>
      <c r="E118" s="34" t="s">
        <v>3851</v>
      </c>
      <c r="F118" s="3">
        <v>38929.083333333299</v>
      </c>
      <c r="G118" s="38">
        <f ca="1">TRUNC(YEARFRAC(F118,TODAY(),1))</f>
        <v>19</v>
      </c>
      <c r="H118">
        <f>COUNTIF(BRON!A:A,Tabel6[[#This Row],[Personeelsnummer]])</f>
        <v>0</v>
      </c>
    </row>
    <row r="119" spans="1:8" x14ac:dyDescent="0.25">
      <c r="A119" s="34" t="s">
        <v>4017</v>
      </c>
      <c r="B119" s="34" t="s">
        <v>2657</v>
      </c>
      <c r="C119" s="34" t="s">
        <v>2659</v>
      </c>
      <c r="D119">
        <v>19676</v>
      </c>
      <c r="E119" s="34" t="s">
        <v>3858</v>
      </c>
      <c r="F119" s="3">
        <v>38929.083333333299</v>
      </c>
      <c r="G119" s="38">
        <f ca="1">TRUNC(YEARFRAC(F119,TODAY(),1))</f>
        <v>19</v>
      </c>
      <c r="H119">
        <f>COUNTIF(BRON!A:A,Tabel6[[#This Row],[Personeelsnummer]])</f>
        <v>0</v>
      </c>
    </row>
    <row r="120" spans="1:8" x14ac:dyDescent="0.25">
      <c r="A120" s="34" t="s">
        <v>4018</v>
      </c>
      <c r="B120" s="34" t="s">
        <v>3423</v>
      </c>
      <c r="C120" s="34" t="s">
        <v>3425</v>
      </c>
      <c r="D120">
        <v>19691</v>
      </c>
      <c r="E120" s="34" t="s">
        <v>3856</v>
      </c>
      <c r="F120" s="3">
        <v>38936.083333333299</v>
      </c>
      <c r="G120" s="38">
        <f ca="1">TRUNC(YEARFRAC(F120,TODAY(),1))</f>
        <v>19</v>
      </c>
      <c r="H120">
        <f>COUNTIF(BRON!A:A,Tabel6[[#This Row],[Personeelsnummer]])</f>
        <v>0</v>
      </c>
    </row>
    <row r="121" spans="1:8" x14ac:dyDescent="0.25">
      <c r="A121" s="34" t="s">
        <v>4019</v>
      </c>
      <c r="B121" s="34" t="s">
        <v>2558</v>
      </c>
      <c r="C121" s="34" t="s">
        <v>2557</v>
      </c>
      <c r="D121">
        <v>19766</v>
      </c>
      <c r="E121" s="34" t="s">
        <v>3854</v>
      </c>
      <c r="F121" s="3">
        <v>38957.083333333299</v>
      </c>
      <c r="G121" s="38">
        <f ca="1">TRUNC(YEARFRAC(F121,TODAY(),1))</f>
        <v>19</v>
      </c>
      <c r="H121">
        <f>COUNTIF(BRON!A:A,Tabel6[[#This Row],[Personeelsnummer]])</f>
        <v>0</v>
      </c>
    </row>
    <row r="122" spans="1:8" x14ac:dyDescent="0.25">
      <c r="A122" s="34" t="s">
        <v>4020</v>
      </c>
      <c r="B122" s="34" t="s">
        <v>2416</v>
      </c>
      <c r="C122" s="34" t="s">
        <v>2415</v>
      </c>
      <c r="D122">
        <v>19810</v>
      </c>
      <c r="E122" s="34" t="s">
        <v>3859</v>
      </c>
      <c r="F122" s="3">
        <v>38971.083333333299</v>
      </c>
      <c r="G122" s="38">
        <f ca="1">TRUNC(YEARFRAC(F122,TODAY(),1))</f>
        <v>19</v>
      </c>
      <c r="H122">
        <f>COUNTIF(BRON!A:A,Tabel6[[#This Row],[Personeelsnummer]])</f>
        <v>0</v>
      </c>
    </row>
    <row r="123" spans="1:8" x14ac:dyDescent="0.25">
      <c r="A123" s="34" t="s">
        <v>4021</v>
      </c>
      <c r="B123" s="34" t="s">
        <v>1960</v>
      </c>
      <c r="C123" s="34" t="s">
        <v>1974</v>
      </c>
      <c r="D123">
        <v>19848</v>
      </c>
      <c r="E123" s="34" t="s">
        <v>3858</v>
      </c>
      <c r="F123" s="3">
        <v>38992.083333333299</v>
      </c>
      <c r="G123" s="38">
        <f ca="1">TRUNC(YEARFRAC(F123,TODAY(),1))</f>
        <v>19</v>
      </c>
      <c r="H123">
        <f>COUNTIF(BRON!A:A,Tabel6[[#This Row],[Personeelsnummer]])</f>
        <v>1</v>
      </c>
    </row>
    <row r="124" spans="1:8" x14ac:dyDescent="0.25">
      <c r="A124" s="34" t="s">
        <v>4022</v>
      </c>
      <c r="B124" s="34" t="s">
        <v>2866</v>
      </c>
      <c r="C124" s="34" t="s">
        <v>2869</v>
      </c>
      <c r="D124">
        <v>19917</v>
      </c>
      <c r="E124" s="34" t="s">
        <v>3854</v>
      </c>
      <c r="F124" s="3">
        <v>39006.083333333299</v>
      </c>
      <c r="G124" s="38">
        <f ca="1">TRUNC(YEARFRAC(F124,TODAY(),1))</f>
        <v>19</v>
      </c>
      <c r="H124">
        <f>COUNTIF(BRON!A:A,Tabel6[[#This Row],[Personeelsnummer]])</f>
        <v>10</v>
      </c>
    </row>
    <row r="125" spans="1:8" x14ac:dyDescent="0.25">
      <c r="A125" s="34" t="s">
        <v>4023</v>
      </c>
      <c r="B125" s="34" t="s">
        <v>2374</v>
      </c>
      <c r="C125" s="34" t="s">
        <v>2373</v>
      </c>
      <c r="D125">
        <v>20375</v>
      </c>
      <c r="E125" s="34" t="s">
        <v>3859</v>
      </c>
      <c r="F125" s="3">
        <v>39132.041666666701</v>
      </c>
      <c r="G125" s="38">
        <f ca="1">TRUNC(YEARFRAC(F125,TODAY(),1))</f>
        <v>18</v>
      </c>
      <c r="H125">
        <f>COUNTIF(BRON!A:A,Tabel6[[#This Row],[Personeelsnummer]])</f>
        <v>1</v>
      </c>
    </row>
    <row r="126" spans="1:8" x14ac:dyDescent="0.25">
      <c r="A126" s="34" t="s">
        <v>4024</v>
      </c>
      <c r="B126" s="34" t="s">
        <v>2277</v>
      </c>
      <c r="C126" s="34" t="s">
        <v>2280</v>
      </c>
      <c r="D126">
        <v>20376</v>
      </c>
      <c r="E126" s="34" t="s">
        <v>3858</v>
      </c>
      <c r="F126" s="3">
        <v>39132.041666666701</v>
      </c>
      <c r="G126" s="38">
        <f ca="1">TRUNC(YEARFRAC(F126,TODAY(),1))</f>
        <v>18</v>
      </c>
      <c r="H126">
        <f>COUNTIF(BRON!A:A,Tabel6[[#This Row],[Personeelsnummer]])</f>
        <v>0</v>
      </c>
    </row>
    <row r="127" spans="1:8" x14ac:dyDescent="0.25">
      <c r="A127" s="34" t="s">
        <v>4025</v>
      </c>
      <c r="B127" s="34" t="s">
        <v>1341</v>
      </c>
      <c r="C127" s="34" t="s">
        <v>2475</v>
      </c>
      <c r="D127">
        <v>20400</v>
      </c>
      <c r="E127" s="34" t="s">
        <v>3859</v>
      </c>
      <c r="F127" s="3">
        <v>39146.041666666701</v>
      </c>
      <c r="G127" s="38">
        <f ca="1">TRUNC(YEARFRAC(F127,TODAY(),1))</f>
        <v>18</v>
      </c>
      <c r="H127">
        <f>COUNTIF(BRON!A:A,Tabel6[[#This Row],[Personeelsnummer]])</f>
        <v>1</v>
      </c>
    </row>
    <row r="128" spans="1:8" x14ac:dyDescent="0.25">
      <c r="A128" s="34" t="s">
        <v>4026</v>
      </c>
      <c r="B128" s="34" t="s">
        <v>2394</v>
      </c>
      <c r="C128" s="34" t="s">
        <v>2402</v>
      </c>
      <c r="D128">
        <v>20402</v>
      </c>
      <c r="E128" s="34" t="s">
        <v>3857</v>
      </c>
      <c r="F128" s="3">
        <v>39146.041666666701</v>
      </c>
      <c r="G128" s="38">
        <f ca="1">TRUNC(YEARFRAC(F128,TODAY(),1))</f>
        <v>18</v>
      </c>
      <c r="H128">
        <f>COUNTIF(BRON!A:A,Tabel6[[#This Row],[Personeelsnummer]])</f>
        <v>0</v>
      </c>
    </row>
    <row r="129" spans="1:8" x14ac:dyDescent="0.25">
      <c r="A129" s="34" t="s">
        <v>4027</v>
      </c>
      <c r="B129" s="34" t="s">
        <v>1341</v>
      </c>
      <c r="C129" s="34" t="s">
        <v>1376</v>
      </c>
      <c r="D129">
        <v>20404</v>
      </c>
      <c r="E129" s="34" t="s">
        <v>3853</v>
      </c>
      <c r="F129" s="3">
        <v>39146.041666666701</v>
      </c>
      <c r="G129" s="38">
        <f ca="1">TRUNC(YEARFRAC(F129,TODAY(),1))</f>
        <v>18</v>
      </c>
      <c r="H129">
        <f>COUNTIF(BRON!A:A,Tabel6[[#This Row],[Personeelsnummer]])</f>
        <v>2</v>
      </c>
    </row>
    <row r="130" spans="1:8" x14ac:dyDescent="0.25">
      <c r="A130" s="34" t="s">
        <v>4028</v>
      </c>
      <c r="B130" s="34" t="s">
        <v>2925</v>
      </c>
      <c r="C130" s="34" t="s">
        <v>2928</v>
      </c>
      <c r="D130">
        <v>20476</v>
      </c>
      <c r="E130" s="34" t="s">
        <v>3859</v>
      </c>
      <c r="F130" s="3">
        <v>39160.041666666701</v>
      </c>
      <c r="G130" s="38">
        <f ca="1">TRUNC(YEARFRAC(F130,TODAY(),1))</f>
        <v>18</v>
      </c>
      <c r="H130">
        <f>COUNTIF(BRON!A:A,Tabel6[[#This Row],[Personeelsnummer]])</f>
        <v>0</v>
      </c>
    </row>
    <row r="131" spans="1:8" x14ac:dyDescent="0.25">
      <c r="A131" s="34" t="s">
        <v>4029</v>
      </c>
      <c r="B131" s="34" t="s">
        <v>2944</v>
      </c>
      <c r="C131" s="34" t="s">
        <v>2943</v>
      </c>
      <c r="D131">
        <v>20542</v>
      </c>
      <c r="E131" s="34" t="s">
        <v>3857</v>
      </c>
      <c r="F131" s="3">
        <v>39174.083333333299</v>
      </c>
      <c r="G131" s="38">
        <f ca="1">TRUNC(YEARFRAC(F131,TODAY(),1))</f>
        <v>18</v>
      </c>
      <c r="H131">
        <f>COUNTIF(BRON!A:A,Tabel6[[#This Row],[Personeelsnummer]])</f>
        <v>1</v>
      </c>
    </row>
    <row r="132" spans="1:8" x14ac:dyDescent="0.25">
      <c r="A132" s="34" t="s">
        <v>4030</v>
      </c>
      <c r="B132" s="34" t="s">
        <v>2687</v>
      </c>
      <c r="C132" s="34" t="s">
        <v>2686</v>
      </c>
      <c r="D132">
        <v>20543</v>
      </c>
      <c r="E132" s="34" t="s">
        <v>3851</v>
      </c>
      <c r="F132" s="3">
        <v>39174.083333333299</v>
      </c>
      <c r="G132" s="38">
        <f ca="1">TRUNC(YEARFRAC(F132,TODAY(),1))</f>
        <v>18</v>
      </c>
      <c r="H132">
        <f>COUNTIF(BRON!A:A,Tabel6[[#This Row],[Personeelsnummer]])</f>
        <v>1</v>
      </c>
    </row>
    <row r="133" spans="1:8" x14ac:dyDescent="0.25">
      <c r="A133" s="34" t="s">
        <v>4031</v>
      </c>
      <c r="B133" s="34" t="s">
        <v>2841</v>
      </c>
      <c r="C133" s="34" t="s">
        <v>2844</v>
      </c>
      <c r="D133">
        <v>20610</v>
      </c>
      <c r="E133" s="34" t="s">
        <v>3858</v>
      </c>
      <c r="F133" s="3">
        <v>39188.083333333299</v>
      </c>
      <c r="G133" s="38">
        <f ca="1">TRUNC(YEARFRAC(F133,TODAY(),1))</f>
        <v>18</v>
      </c>
      <c r="H133">
        <f>COUNTIF(BRON!A:A,Tabel6[[#This Row],[Personeelsnummer]])</f>
        <v>0</v>
      </c>
    </row>
    <row r="134" spans="1:8" x14ac:dyDescent="0.25">
      <c r="A134" s="34" t="s">
        <v>4032</v>
      </c>
      <c r="B134" s="34" t="s">
        <v>1733</v>
      </c>
      <c r="C134" s="34" t="s">
        <v>1744</v>
      </c>
      <c r="D134">
        <v>20612</v>
      </c>
      <c r="E134" s="34" t="s">
        <v>3858</v>
      </c>
      <c r="F134" s="3">
        <v>39188.083333333299</v>
      </c>
      <c r="G134" s="38">
        <f ca="1">TRUNC(YEARFRAC(F134,TODAY(),1))</f>
        <v>18</v>
      </c>
      <c r="H134">
        <f>COUNTIF(BRON!A:A,Tabel6[[#This Row],[Personeelsnummer]])</f>
        <v>0</v>
      </c>
    </row>
    <row r="135" spans="1:8" x14ac:dyDescent="0.25">
      <c r="A135" s="34" t="s">
        <v>4033</v>
      </c>
      <c r="B135" s="34" t="s">
        <v>2273</v>
      </c>
      <c r="C135" s="34" t="s">
        <v>2272</v>
      </c>
      <c r="D135">
        <v>20653</v>
      </c>
      <c r="E135" s="34" t="s">
        <v>3854</v>
      </c>
      <c r="F135" s="3">
        <v>39204.083333333299</v>
      </c>
      <c r="G135" s="38">
        <f ca="1">TRUNC(YEARFRAC(F135,TODAY(),1))</f>
        <v>18</v>
      </c>
      <c r="H135">
        <f>COUNTIF(BRON!A:A,Tabel6[[#This Row],[Personeelsnummer]])</f>
        <v>3</v>
      </c>
    </row>
    <row r="136" spans="1:8" x14ac:dyDescent="0.25">
      <c r="A136" s="34" t="s">
        <v>4034</v>
      </c>
      <c r="B136" s="34" t="s">
        <v>3347</v>
      </c>
      <c r="C136" s="34" t="s">
        <v>3352</v>
      </c>
      <c r="D136">
        <v>20655</v>
      </c>
      <c r="E136" s="34" t="s">
        <v>3857</v>
      </c>
      <c r="F136" s="3">
        <v>39204.083333333299</v>
      </c>
      <c r="G136" s="38">
        <f ca="1">TRUNC(YEARFRAC(F136,TODAY(),1))</f>
        <v>18</v>
      </c>
      <c r="H136">
        <f>COUNTIF(BRON!A:A,Tabel6[[#This Row],[Personeelsnummer]])</f>
        <v>0</v>
      </c>
    </row>
    <row r="137" spans="1:8" x14ac:dyDescent="0.25">
      <c r="A137" s="34" t="s">
        <v>4035</v>
      </c>
      <c r="B137" s="34" t="s">
        <v>1351</v>
      </c>
      <c r="C137" s="34" t="s">
        <v>1744</v>
      </c>
      <c r="D137">
        <v>20656</v>
      </c>
      <c r="E137" s="34" t="s">
        <v>3856</v>
      </c>
      <c r="F137" s="3">
        <v>39204.083333333299</v>
      </c>
      <c r="G137" s="38">
        <f ca="1">TRUNC(YEARFRAC(F137,TODAY(),1))</f>
        <v>18</v>
      </c>
      <c r="H137">
        <f>COUNTIF(BRON!A:A,Tabel6[[#This Row],[Personeelsnummer]])</f>
        <v>1</v>
      </c>
    </row>
    <row r="138" spans="1:8" x14ac:dyDescent="0.25">
      <c r="A138" s="34" t="s">
        <v>4036</v>
      </c>
      <c r="B138" s="34" t="s">
        <v>3042</v>
      </c>
      <c r="C138" s="34" t="s">
        <v>3041</v>
      </c>
      <c r="D138">
        <v>20705</v>
      </c>
      <c r="E138" s="34" t="s">
        <v>3856</v>
      </c>
      <c r="F138" s="3">
        <v>39223.083333333299</v>
      </c>
      <c r="G138" s="38">
        <f ca="1">TRUNC(YEARFRAC(F138,TODAY(),1))</f>
        <v>18</v>
      </c>
      <c r="H138">
        <f>COUNTIF(BRON!A:A,Tabel6[[#This Row],[Personeelsnummer]])</f>
        <v>0</v>
      </c>
    </row>
    <row r="139" spans="1:8" x14ac:dyDescent="0.25">
      <c r="A139" s="34" t="s">
        <v>4037</v>
      </c>
      <c r="B139" s="34" t="s">
        <v>2114</v>
      </c>
      <c r="C139" s="34" t="s">
        <v>2117</v>
      </c>
      <c r="D139">
        <v>20954</v>
      </c>
      <c r="E139" s="34" t="s">
        <v>3857</v>
      </c>
      <c r="F139" s="3">
        <v>39272.083333333299</v>
      </c>
      <c r="G139" s="38">
        <f ca="1">TRUNC(YEARFRAC(F139,TODAY(),1))</f>
        <v>18</v>
      </c>
      <c r="H139">
        <f>COUNTIF(BRON!A:A,Tabel6[[#This Row],[Personeelsnummer]])</f>
        <v>0</v>
      </c>
    </row>
    <row r="140" spans="1:8" x14ac:dyDescent="0.25">
      <c r="A140" s="34" t="s">
        <v>4038</v>
      </c>
      <c r="B140" s="34" t="s">
        <v>2174</v>
      </c>
      <c r="C140" s="34" t="s">
        <v>2180</v>
      </c>
      <c r="D140">
        <v>21121</v>
      </c>
      <c r="E140" s="34" t="s">
        <v>3851</v>
      </c>
      <c r="F140" s="3">
        <v>39286.083333333299</v>
      </c>
      <c r="G140" s="38">
        <f ca="1">TRUNC(YEARFRAC(F140,TODAY(),1))</f>
        <v>18</v>
      </c>
      <c r="H140">
        <f>COUNTIF(BRON!A:A,Tabel6[[#This Row],[Personeelsnummer]])</f>
        <v>2</v>
      </c>
    </row>
    <row r="141" spans="1:8" x14ac:dyDescent="0.25">
      <c r="A141" s="34" t="s">
        <v>4039</v>
      </c>
      <c r="B141" s="34" t="s">
        <v>3092</v>
      </c>
      <c r="C141" s="34" t="s">
        <v>3101</v>
      </c>
      <c r="D141">
        <v>21124</v>
      </c>
      <c r="E141" s="34" t="s">
        <v>3853</v>
      </c>
      <c r="F141" s="3">
        <v>39286.083333333299</v>
      </c>
      <c r="G141" s="38">
        <f ca="1">TRUNC(YEARFRAC(F141,TODAY(),1))</f>
        <v>18</v>
      </c>
      <c r="H141">
        <f>COUNTIF(BRON!A:A,Tabel6[[#This Row],[Personeelsnummer]])</f>
        <v>1</v>
      </c>
    </row>
    <row r="142" spans="1:8" x14ac:dyDescent="0.25">
      <c r="A142" s="34" t="s">
        <v>4040</v>
      </c>
      <c r="B142" s="34" t="s">
        <v>2210</v>
      </c>
      <c r="C142" s="34" t="s">
        <v>2209</v>
      </c>
      <c r="D142">
        <v>21160</v>
      </c>
      <c r="E142" s="34" t="s">
        <v>3858</v>
      </c>
      <c r="F142" s="3">
        <v>39300.083333333299</v>
      </c>
      <c r="G142" s="38">
        <f ca="1">TRUNC(YEARFRAC(F142,TODAY(),1))</f>
        <v>18</v>
      </c>
      <c r="H142">
        <f>COUNTIF(BRON!A:A,Tabel6[[#This Row],[Personeelsnummer]])</f>
        <v>0</v>
      </c>
    </row>
    <row r="143" spans="1:8" x14ac:dyDescent="0.25">
      <c r="A143" s="34" t="s">
        <v>4041</v>
      </c>
      <c r="B143" s="34" t="s">
        <v>3166</v>
      </c>
      <c r="C143" s="34" t="s">
        <v>2765</v>
      </c>
      <c r="D143">
        <v>21249</v>
      </c>
      <c r="E143" s="34" t="s">
        <v>3853</v>
      </c>
      <c r="F143" s="3">
        <v>39314.083333333299</v>
      </c>
      <c r="G143" s="38">
        <f ca="1">TRUNC(YEARFRAC(F143,TODAY(),1))</f>
        <v>18</v>
      </c>
      <c r="H143">
        <f>COUNTIF(BRON!A:A,Tabel6[[#This Row],[Personeelsnummer]])</f>
        <v>0</v>
      </c>
    </row>
    <row r="144" spans="1:8" x14ac:dyDescent="0.25">
      <c r="A144" s="34" t="s">
        <v>4042</v>
      </c>
      <c r="B144" s="34" t="s">
        <v>2296</v>
      </c>
      <c r="C144" s="34" t="s">
        <v>2303</v>
      </c>
      <c r="D144">
        <v>21382</v>
      </c>
      <c r="E144" s="34" t="s">
        <v>3857</v>
      </c>
      <c r="F144" s="3">
        <v>39356.083333333299</v>
      </c>
      <c r="G144" s="38">
        <f ca="1">TRUNC(YEARFRAC(F144,TODAY(),1))</f>
        <v>18</v>
      </c>
      <c r="H144">
        <f>COUNTIF(BRON!A:A,Tabel6[[#This Row],[Personeelsnummer]])</f>
        <v>1</v>
      </c>
    </row>
    <row r="145" spans="1:8" x14ac:dyDescent="0.25">
      <c r="A145" s="34" t="s">
        <v>4043</v>
      </c>
      <c r="B145" s="34" t="s">
        <v>1824</v>
      </c>
      <c r="C145" s="34" t="s">
        <v>1826</v>
      </c>
      <c r="D145">
        <v>21383</v>
      </c>
      <c r="E145" s="34" t="s">
        <v>3851</v>
      </c>
      <c r="F145" s="3">
        <v>39356.083333333299</v>
      </c>
      <c r="G145" s="38">
        <f ca="1">TRUNC(YEARFRAC(F145,TODAY(),1))</f>
        <v>18</v>
      </c>
      <c r="H145">
        <f>COUNTIF(BRON!A:A,Tabel6[[#This Row],[Personeelsnummer]])</f>
        <v>0</v>
      </c>
    </row>
    <row r="146" spans="1:8" x14ac:dyDescent="0.25">
      <c r="A146" s="34" t="s">
        <v>4044</v>
      </c>
      <c r="B146" s="34" t="s">
        <v>2531</v>
      </c>
      <c r="C146" s="34" t="s">
        <v>4045</v>
      </c>
      <c r="D146">
        <v>21423</v>
      </c>
      <c r="E146" s="34" t="s">
        <v>3852</v>
      </c>
      <c r="F146" s="3">
        <v>39370.083333333299</v>
      </c>
      <c r="G146" s="38">
        <f ca="1">TRUNC(YEARFRAC(F146,TODAY(),1))</f>
        <v>18</v>
      </c>
      <c r="H146">
        <f>COUNTIF(BRON!A:A,Tabel6[[#This Row],[Personeelsnummer]])</f>
        <v>0</v>
      </c>
    </row>
    <row r="147" spans="1:8" x14ac:dyDescent="0.25">
      <c r="A147" s="34" t="s">
        <v>4046</v>
      </c>
      <c r="B147" s="34" t="s">
        <v>2588</v>
      </c>
      <c r="C147" s="34" t="s">
        <v>2587</v>
      </c>
      <c r="D147">
        <v>21424</v>
      </c>
      <c r="E147" s="34" t="s">
        <v>3857</v>
      </c>
      <c r="F147" s="3">
        <v>39370.083333333299</v>
      </c>
      <c r="G147" s="38">
        <f ca="1">TRUNC(YEARFRAC(F147,TODAY(),1))</f>
        <v>18</v>
      </c>
      <c r="H147">
        <f>COUNTIF(BRON!A:A,Tabel6[[#This Row],[Personeelsnummer]])</f>
        <v>2</v>
      </c>
    </row>
    <row r="148" spans="1:8" x14ac:dyDescent="0.25">
      <c r="A148" s="34" t="s">
        <v>4047</v>
      </c>
      <c r="B148" s="34" t="s">
        <v>1521</v>
      </c>
      <c r="C148" s="34" t="s">
        <v>1520</v>
      </c>
      <c r="D148">
        <v>21428</v>
      </c>
      <c r="E148" s="34" t="s">
        <v>3856</v>
      </c>
      <c r="F148" s="3">
        <v>39370.083333333299</v>
      </c>
      <c r="G148" s="38">
        <f ca="1">TRUNC(YEARFRAC(F148,TODAY(),1))</f>
        <v>18</v>
      </c>
      <c r="H148">
        <f>COUNTIF(BRON!A:A,Tabel6[[#This Row],[Personeelsnummer]])</f>
        <v>0</v>
      </c>
    </row>
    <row r="149" spans="1:8" x14ac:dyDescent="0.25">
      <c r="A149" s="34" t="s">
        <v>4048</v>
      </c>
      <c r="B149" s="34" t="s">
        <v>1427</v>
      </c>
      <c r="C149" s="34" t="s">
        <v>1430</v>
      </c>
      <c r="D149">
        <v>21429</v>
      </c>
      <c r="E149" s="34" t="s">
        <v>3858</v>
      </c>
      <c r="F149" s="3">
        <v>39370.083333333299</v>
      </c>
      <c r="G149" s="38">
        <f ca="1">TRUNC(YEARFRAC(F149,TODAY(),1))</f>
        <v>18</v>
      </c>
      <c r="H149">
        <f>COUNTIF(BRON!A:A,Tabel6[[#This Row],[Personeelsnummer]])</f>
        <v>0</v>
      </c>
    </row>
    <row r="150" spans="1:8" x14ac:dyDescent="0.25">
      <c r="A150" s="34" t="s">
        <v>4049</v>
      </c>
      <c r="B150" s="34" t="s">
        <v>3395</v>
      </c>
      <c r="C150" s="34" t="s">
        <v>2064</v>
      </c>
      <c r="D150">
        <v>21466</v>
      </c>
      <c r="E150" s="34" t="s">
        <v>3855</v>
      </c>
      <c r="F150" s="3">
        <v>39391.041666666701</v>
      </c>
      <c r="G150" s="38">
        <f ca="1">TRUNC(YEARFRAC(F150,TODAY(),1))</f>
        <v>18</v>
      </c>
      <c r="H150">
        <f>COUNTIF(BRON!A:A,Tabel6[[#This Row],[Personeelsnummer]])</f>
        <v>0</v>
      </c>
    </row>
    <row r="151" spans="1:8" x14ac:dyDescent="0.25">
      <c r="A151" s="34" t="s">
        <v>4050</v>
      </c>
      <c r="B151" s="34" t="s">
        <v>1960</v>
      </c>
      <c r="C151" s="34" t="s">
        <v>1971</v>
      </c>
      <c r="D151">
        <v>21506</v>
      </c>
      <c r="E151" s="34" t="s">
        <v>3858</v>
      </c>
      <c r="F151" s="3">
        <v>39405.041666666701</v>
      </c>
      <c r="G151" s="38">
        <f ca="1">TRUNC(YEARFRAC(F151,TODAY(),1))</f>
        <v>18</v>
      </c>
      <c r="H151">
        <f>COUNTIF(BRON!A:A,Tabel6[[#This Row],[Personeelsnummer]])</f>
        <v>0</v>
      </c>
    </row>
    <row r="152" spans="1:8" x14ac:dyDescent="0.25">
      <c r="A152" s="34" t="s">
        <v>4051</v>
      </c>
      <c r="B152" s="34" t="s">
        <v>1351</v>
      </c>
      <c r="C152" s="34" t="s">
        <v>2393</v>
      </c>
      <c r="D152">
        <v>21507</v>
      </c>
      <c r="E152" s="34" t="s">
        <v>3851</v>
      </c>
      <c r="F152" s="3">
        <v>39405.041666666701</v>
      </c>
      <c r="G152" s="38">
        <f ca="1">TRUNC(YEARFRAC(F152,TODAY(),1))</f>
        <v>18</v>
      </c>
      <c r="H152">
        <f>COUNTIF(BRON!A:A,Tabel6[[#This Row],[Personeelsnummer]])</f>
        <v>0</v>
      </c>
    </row>
    <row r="153" spans="1:8" x14ac:dyDescent="0.25">
      <c r="A153" s="34" t="s">
        <v>4052</v>
      </c>
      <c r="B153" s="34" t="s">
        <v>2420</v>
      </c>
      <c r="C153" s="34" t="s">
        <v>2419</v>
      </c>
      <c r="D153">
        <v>21509</v>
      </c>
      <c r="E153" s="34" t="s">
        <v>3859</v>
      </c>
      <c r="F153" s="3">
        <v>39405.041666666701</v>
      </c>
      <c r="G153" s="38">
        <f ca="1">TRUNC(YEARFRAC(F153,TODAY(),1))</f>
        <v>18</v>
      </c>
      <c r="H153">
        <f>COUNTIF(BRON!A:A,Tabel6[[#This Row],[Personeelsnummer]])</f>
        <v>6</v>
      </c>
    </row>
    <row r="154" spans="1:8" x14ac:dyDescent="0.25">
      <c r="A154" s="34" t="s">
        <v>3890</v>
      </c>
      <c r="B154" s="34" t="s">
        <v>1769</v>
      </c>
      <c r="C154" s="34" t="s">
        <v>3891</v>
      </c>
      <c r="D154">
        <v>21665</v>
      </c>
      <c r="E154" s="34" t="s">
        <v>3852</v>
      </c>
      <c r="F154" s="3">
        <v>39454.041666666701</v>
      </c>
      <c r="G154" s="38">
        <f ca="1">TRUNC(YEARFRAC(F154,TODAY(),1))</f>
        <v>17</v>
      </c>
      <c r="H154">
        <f>COUNTIF(BRON!A:A,Tabel6[[#This Row],[Personeelsnummer]])</f>
        <v>0</v>
      </c>
    </row>
    <row r="155" spans="1:8" x14ac:dyDescent="0.25">
      <c r="A155" s="34" t="s">
        <v>4053</v>
      </c>
      <c r="B155" s="34" t="s">
        <v>2857</v>
      </c>
      <c r="C155" s="34" t="s">
        <v>2863</v>
      </c>
      <c r="D155">
        <v>21581</v>
      </c>
      <c r="E155" s="34" t="s">
        <v>3855</v>
      </c>
      <c r="F155" s="3">
        <v>39433.041666666701</v>
      </c>
      <c r="G155" s="38">
        <f ca="1">TRUNC(YEARFRAC(F155,TODAY(),1))</f>
        <v>17</v>
      </c>
      <c r="H155">
        <f>COUNTIF(BRON!A:A,Tabel6[[#This Row],[Personeelsnummer]])</f>
        <v>2</v>
      </c>
    </row>
    <row r="156" spans="1:8" x14ac:dyDescent="0.25">
      <c r="A156" s="34" t="s">
        <v>4054</v>
      </c>
      <c r="B156" s="34" t="s">
        <v>4055</v>
      </c>
      <c r="C156" s="34" t="s">
        <v>4056</v>
      </c>
      <c r="D156">
        <v>21657</v>
      </c>
      <c r="E156" s="34" t="s">
        <v>3852</v>
      </c>
      <c r="F156" s="3">
        <v>39454.041666666701</v>
      </c>
      <c r="G156" s="38">
        <f ca="1">TRUNC(YEARFRAC(F156,TODAY(),1))</f>
        <v>17</v>
      </c>
      <c r="H156">
        <f>COUNTIF(BRON!A:A,Tabel6[[#This Row],[Personeelsnummer]])</f>
        <v>0</v>
      </c>
    </row>
    <row r="157" spans="1:8" x14ac:dyDescent="0.25">
      <c r="A157" s="34" t="s">
        <v>4057</v>
      </c>
      <c r="B157" s="34" t="s">
        <v>1487</v>
      </c>
      <c r="C157" s="34" t="s">
        <v>1486</v>
      </c>
      <c r="D157">
        <v>21662</v>
      </c>
      <c r="E157" s="34" t="s">
        <v>3857</v>
      </c>
      <c r="F157" s="3">
        <v>39454.041666666701</v>
      </c>
      <c r="G157" s="38">
        <f ca="1">TRUNC(YEARFRAC(F157,TODAY(),1))</f>
        <v>17</v>
      </c>
      <c r="H157">
        <f>COUNTIF(BRON!A:A,Tabel6[[#This Row],[Personeelsnummer]])</f>
        <v>0</v>
      </c>
    </row>
    <row r="158" spans="1:8" x14ac:dyDescent="0.25">
      <c r="A158" s="34" t="s">
        <v>4058</v>
      </c>
      <c r="B158" s="34" t="s">
        <v>2631</v>
      </c>
      <c r="C158" s="34" t="s">
        <v>2637</v>
      </c>
      <c r="D158">
        <v>21738</v>
      </c>
      <c r="E158" s="34" t="s">
        <v>3857</v>
      </c>
      <c r="F158" s="3">
        <v>39468.041666666701</v>
      </c>
      <c r="G158" s="38">
        <f ca="1">TRUNC(YEARFRAC(F158,TODAY(),1))</f>
        <v>17</v>
      </c>
      <c r="H158">
        <f>COUNTIF(BRON!A:A,Tabel6[[#This Row],[Personeelsnummer]])</f>
        <v>0</v>
      </c>
    </row>
    <row r="159" spans="1:8" x14ac:dyDescent="0.25">
      <c r="A159" s="34" t="s">
        <v>4059</v>
      </c>
      <c r="B159" s="34" t="s">
        <v>2960</v>
      </c>
      <c r="C159" s="34" t="s">
        <v>2498</v>
      </c>
      <c r="D159">
        <v>21809</v>
      </c>
      <c r="E159" s="34" t="s">
        <v>3857</v>
      </c>
      <c r="F159" s="3">
        <v>39496.041666666701</v>
      </c>
      <c r="G159" s="38">
        <f ca="1">TRUNC(YEARFRAC(F159,TODAY(),1))</f>
        <v>17</v>
      </c>
      <c r="H159">
        <f>COUNTIF(BRON!A:A,Tabel6[[#This Row],[Personeelsnummer]])</f>
        <v>1</v>
      </c>
    </row>
    <row r="160" spans="1:8" x14ac:dyDescent="0.25">
      <c r="A160" s="34" t="s">
        <v>4060</v>
      </c>
      <c r="B160" s="34" t="s">
        <v>3084</v>
      </c>
      <c r="C160" s="34" t="s">
        <v>2553</v>
      </c>
      <c r="D160">
        <v>21845</v>
      </c>
      <c r="E160" s="34" t="s">
        <v>3858</v>
      </c>
      <c r="F160" s="3">
        <v>39510.041666666701</v>
      </c>
      <c r="G160" s="38">
        <f ca="1">TRUNC(YEARFRAC(F160,TODAY(),1))</f>
        <v>17</v>
      </c>
      <c r="H160">
        <f>COUNTIF(BRON!A:A,Tabel6[[#This Row],[Personeelsnummer]])</f>
        <v>0</v>
      </c>
    </row>
    <row r="161" spans="1:8" x14ac:dyDescent="0.25">
      <c r="A161" s="34" t="s">
        <v>4061</v>
      </c>
      <c r="B161" s="34" t="s">
        <v>1647</v>
      </c>
      <c r="C161" s="34" t="s">
        <v>1653</v>
      </c>
      <c r="D161">
        <v>21892</v>
      </c>
      <c r="E161" s="34" t="s">
        <v>3858</v>
      </c>
      <c r="F161" s="3">
        <v>39524.041666666701</v>
      </c>
      <c r="G161" s="38">
        <f ca="1">TRUNC(YEARFRAC(F161,TODAY(),1))</f>
        <v>17</v>
      </c>
      <c r="H161">
        <f>COUNTIF(BRON!A:A,Tabel6[[#This Row],[Personeelsnummer]])</f>
        <v>2</v>
      </c>
    </row>
    <row r="162" spans="1:8" x14ac:dyDescent="0.25">
      <c r="A162" s="34" t="s">
        <v>4062</v>
      </c>
      <c r="B162" s="34" t="s">
        <v>1351</v>
      </c>
      <c r="C162" s="34" t="s">
        <v>3287</v>
      </c>
      <c r="D162">
        <v>22042</v>
      </c>
      <c r="E162" s="34" t="s">
        <v>3858</v>
      </c>
      <c r="F162" s="3">
        <v>39538.083333333299</v>
      </c>
      <c r="G162" s="38">
        <f ca="1">TRUNC(YEARFRAC(F162,TODAY(),1))</f>
        <v>17</v>
      </c>
      <c r="H162">
        <f>COUNTIF(BRON!A:A,Tabel6[[#This Row],[Personeelsnummer]])</f>
        <v>0</v>
      </c>
    </row>
    <row r="163" spans="1:8" x14ac:dyDescent="0.25">
      <c r="A163" s="34" t="s">
        <v>4063</v>
      </c>
      <c r="B163" s="34" t="s">
        <v>1929</v>
      </c>
      <c r="C163" s="34" t="s">
        <v>1637</v>
      </c>
      <c r="D163">
        <v>22052</v>
      </c>
      <c r="E163" s="34" t="s">
        <v>3857</v>
      </c>
      <c r="F163" s="3">
        <v>39538.083333333299</v>
      </c>
      <c r="G163" s="38">
        <f ca="1">TRUNC(YEARFRAC(F163,TODAY(),1))</f>
        <v>17</v>
      </c>
      <c r="H163">
        <f>COUNTIF(BRON!A:A,Tabel6[[#This Row],[Personeelsnummer]])</f>
        <v>1</v>
      </c>
    </row>
    <row r="164" spans="1:8" x14ac:dyDescent="0.25">
      <c r="A164" s="34" t="s">
        <v>4064</v>
      </c>
      <c r="B164" s="34" t="s">
        <v>2324</v>
      </c>
      <c r="C164" s="34" t="s">
        <v>2327</v>
      </c>
      <c r="D164">
        <v>22143</v>
      </c>
      <c r="E164" s="34" t="s">
        <v>3856</v>
      </c>
      <c r="F164" s="3">
        <v>39552.083333333299</v>
      </c>
      <c r="G164" s="38">
        <f ca="1">TRUNC(YEARFRAC(F164,TODAY(),1))</f>
        <v>17</v>
      </c>
      <c r="H164">
        <f>COUNTIF(BRON!A:A,Tabel6[[#This Row],[Personeelsnummer]])</f>
        <v>0</v>
      </c>
    </row>
    <row r="165" spans="1:8" x14ac:dyDescent="0.25">
      <c r="A165" s="34" t="s">
        <v>4065</v>
      </c>
      <c r="B165" s="34" t="s">
        <v>1991</v>
      </c>
      <c r="C165" s="34" t="s">
        <v>2003</v>
      </c>
      <c r="D165">
        <v>22202</v>
      </c>
      <c r="E165" s="34" t="s">
        <v>3858</v>
      </c>
      <c r="F165" s="3">
        <v>39573.083333333299</v>
      </c>
      <c r="G165" s="38">
        <f ca="1">TRUNC(YEARFRAC(F165,TODAY(),1))</f>
        <v>17</v>
      </c>
      <c r="H165">
        <f>COUNTIF(BRON!A:A,Tabel6[[#This Row],[Personeelsnummer]])</f>
        <v>1</v>
      </c>
    </row>
    <row r="166" spans="1:8" x14ac:dyDescent="0.25">
      <c r="A166" s="34" t="s">
        <v>4066</v>
      </c>
      <c r="B166" s="34" t="s">
        <v>2506</v>
      </c>
      <c r="C166" s="34" t="s">
        <v>2505</v>
      </c>
      <c r="D166">
        <v>22240</v>
      </c>
      <c r="E166" s="34" t="s">
        <v>3857</v>
      </c>
      <c r="F166" s="3">
        <v>39587.083333333299</v>
      </c>
      <c r="G166" s="38">
        <f ca="1">TRUNC(YEARFRAC(F166,TODAY(),1))</f>
        <v>17</v>
      </c>
      <c r="H166">
        <f>COUNTIF(BRON!A:A,Tabel6[[#This Row],[Personeelsnummer]])</f>
        <v>2</v>
      </c>
    </row>
    <row r="167" spans="1:8" x14ac:dyDescent="0.25">
      <c r="A167" s="34" t="s">
        <v>4067</v>
      </c>
      <c r="B167" s="34" t="s">
        <v>1626</v>
      </c>
      <c r="C167" s="34" t="s">
        <v>1625</v>
      </c>
      <c r="D167">
        <v>22244</v>
      </c>
      <c r="E167" s="34" t="s">
        <v>3853</v>
      </c>
      <c r="F167" s="3">
        <v>39587.083333333299</v>
      </c>
      <c r="G167" s="38">
        <f ca="1">TRUNC(YEARFRAC(F167,TODAY(),1))</f>
        <v>17</v>
      </c>
      <c r="H167">
        <f>COUNTIF(BRON!A:A,Tabel6[[#This Row],[Personeelsnummer]])</f>
        <v>2</v>
      </c>
    </row>
    <row r="168" spans="1:8" x14ac:dyDescent="0.25">
      <c r="A168" s="34" t="s">
        <v>4068</v>
      </c>
      <c r="B168" s="34" t="s">
        <v>3011</v>
      </c>
      <c r="C168" s="34" t="s">
        <v>3010</v>
      </c>
      <c r="D168">
        <v>22296</v>
      </c>
      <c r="E168" s="34" t="s">
        <v>3857</v>
      </c>
      <c r="F168" s="3">
        <v>39601.083333333299</v>
      </c>
      <c r="G168" s="38">
        <f ca="1">TRUNC(YEARFRAC(F168,TODAY(),1))</f>
        <v>17</v>
      </c>
      <c r="H168">
        <f>COUNTIF(BRON!A:A,Tabel6[[#This Row],[Personeelsnummer]])</f>
        <v>0</v>
      </c>
    </row>
    <row r="169" spans="1:8" x14ac:dyDescent="0.25">
      <c r="A169" s="34" t="s">
        <v>4069</v>
      </c>
      <c r="B169" s="34" t="s">
        <v>3450</v>
      </c>
      <c r="C169" s="34" t="s">
        <v>3449</v>
      </c>
      <c r="D169">
        <v>22416</v>
      </c>
      <c r="E169" s="34" t="s">
        <v>3853</v>
      </c>
      <c r="F169" s="3">
        <v>39615.083333333299</v>
      </c>
      <c r="G169" s="38">
        <f ca="1">TRUNC(YEARFRAC(F169,TODAY(),1))</f>
        <v>17</v>
      </c>
      <c r="H169">
        <f>COUNTIF(BRON!A:A,Tabel6[[#This Row],[Personeelsnummer]])</f>
        <v>1</v>
      </c>
    </row>
    <row r="170" spans="1:8" x14ac:dyDescent="0.25">
      <c r="A170" s="34" t="s">
        <v>4070</v>
      </c>
      <c r="B170" s="34" t="s">
        <v>1907</v>
      </c>
      <c r="C170" s="34" t="s">
        <v>1906</v>
      </c>
      <c r="D170">
        <v>22625</v>
      </c>
      <c r="E170" s="34" t="s">
        <v>3854</v>
      </c>
      <c r="F170" s="3">
        <v>39643.083333333299</v>
      </c>
      <c r="G170" s="38">
        <f ca="1">TRUNC(YEARFRAC(F170,TODAY(),1))</f>
        <v>17</v>
      </c>
      <c r="H170">
        <f>COUNTIF(BRON!A:A,Tabel6[[#This Row],[Personeelsnummer]])</f>
        <v>1</v>
      </c>
    </row>
    <row r="171" spans="1:8" x14ac:dyDescent="0.25">
      <c r="A171" s="34" t="s">
        <v>4071</v>
      </c>
      <c r="B171" s="34" t="s">
        <v>2562</v>
      </c>
      <c r="C171" s="34" t="s">
        <v>2571</v>
      </c>
      <c r="D171">
        <v>22767</v>
      </c>
      <c r="E171" s="34" t="s">
        <v>3859</v>
      </c>
      <c r="F171" s="3">
        <v>39664.083333333299</v>
      </c>
      <c r="G171" s="38">
        <f ca="1">TRUNC(YEARFRAC(F171,TODAY(),1))</f>
        <v>17</v>
      </c>
      <c r="H171">
        <f>COUNTIF(BRON!A:A,Tabel6[[#This Row],[Personeelsnummer]])</f>
        <v>1</v>
      </c>
    </row>
    <row r="172" spans="1:8" x14ac:dyDescent="0.25">
      <c r="A172" s="34" t="s">
        <v>4072</v>
      </c>
      <c r="B172" s="34" t="s">
        <v>4073</v>
      </c>
      <c r="C172" s="34" t="s">
        <v>4074</v>
      </c>
      <c r="D172">
        <v>22811</v>
      </c>
      <c r="E172" s="34" t="s">
        <v>4075</v>
      </c>
      <c r="F172" s="3">
        <v>39678.083333333299</v>
      </c>
      <c r="G172" s="38">
        <f ca="1">TRUNC(YEARFRAC(F172,TODAY(),1))</f>
        <v>17</v>
      </c>
      <c r="H172">
        <f>COUNTIF(BRON!A:A,Tabel6[[#This Row],[Personeelsnummer]])</f>
        <v>0</v>
      </c>
    </row>
    <row r="173" spans="1:8" x14ac:dyDescent="0.25">
      <c r="A173" s="34" t="s">
        <v>4076</v>
      </c>
      <c r="B173" s="34" t="s">
        <v>2773</v>
      </c>
      <c r="C173" s="34" t="s">
        <v>1439</v>
      </c>
      <c r="D173">
        <v>22877</v>
      </c>
      <c r="E173" s="34" t="s">
        <v>3857</v>
      </c>
      <c r="F173" s="3">
        <v>39706.083333333299</v>
      </c>
      <c r="G173" s="38">
        <f ca="1">TRUNC(YEARFRAC(F173,TODAY(),1))</f>
        <v>17</v>
      </c>
      <c r="H173">
        <f>COUNTIF(BRON!A:A,Tabel6[[#This Row],[Personeelsnummer]])</f>
        <v>1</v>
      </c>
    </row>
    <row r="174" spans="1:8" x14ac:dyDescent="0.25">
      <c r="A174" s="34" t="s">
        <v>4077</v>
      </c>
      <c r="B174" s="34" t="s">
        <v>4078</v>
      </c>
      <c r="C174" s="34" t="s">
        <v>4079</v>
      </c>
      <c r="D174">
        <v>23261</v>
      </c>
      <c r="E174" s="34" t="s">
        <v>3852</v>
      </c>
      <c r="F174" s="3">
        <v>39814.041666666701</v>
      </c>
      <c r="G174" s="38">
        <f ca="1">TRUNC(YEARFRAC(F174,TODAY(),1))</f>
        <v>16</v>
      </c>
      <c r="H174">
        <f>COUNTIF(BRON!A:A,Tabel6[[#This Row],[Personeelsnummer]])</f>
        <v>0</v>
      </c>
    </row>
    <row r="175" spans="1:8" x14ac:dyDescent="0.25">
      <c r="A175" s="34" t="s">
        <v>4080</v>
      </c>
      <c r="B175" s="34" t="s">
        <v>3461</v>
      </c>
      <c r="C175" s="34" t="s">
        <v>3460</v>
      </c>
      <c r="D175">
        <v>23326</v>
      </c>
      <c r="E175" s="34" t="s">
        <v>3859</v>
      </c>
      <c r="F175" s="3">
        <v>39839.041666666701</v>
      </c>
      <c r="G175" s="38">
        <f ca="1">TRUNC(YEARFRAC(F175,TODAY(),1))</f>
        <v>16</v>
      </c>
      <c r="H175">
        <f>COUNTIF(BRON!A:A,Tabel6[[#This Row],[Personeelsnummer]])</f>
        <v>0</v>
      </c>
    </row>
    <row r="176" spans="1:8" x14ac:dyDescent="0.25">
      <c r="A176" s="34" t="s">
        <v>4081</v>
      </c>
      <c r="B176" s="34" t="s">
        <v>1857</v>
      </c>
      <c r="C176" s="34" t="s">
        <v>1856</v>
      </c>
      <c r="D176">
        <v>23481</v>
      </c>
      <c r="E176" s="34" t="s">
        <v>3854</v>
      </c>
      <c r="F176" s="3">
        <v>39881.041666666701</v>
      </c>
      <c r="G176" s="38">
        <f ca="1">TRUNC(YEARFRAC(F176,TODAY(),1))</f>
        <v>16</v>
      </c>
      <c r="H176">
        <f>COUNTIF(BRON!A:A,Tabel6[[#This Row],[Personeelsnummer]])</f>
        <v>0</v>
      </c>
    </row>
    <row r="177" spans="1:8" x14ac:dyDescent="0.25">
      <c r="A177" s="34" t="s">
        <v>4082</v>
      </c>
      <c r="B177" s="34" t="s">
        <v>2093</v>
      </c>
      <c r="C177" s="34" t="s">
        <v>2107</v>
      </c>
      <c r="D177">
        <v>23543</v>
      </c>
      <c r="E177" s="34" t="s">
        <v>3853</v>
      </c>
      <c r="F177" s="3">
        <v>39895.041666666701</v>
      </c>
      <c r="G177" s="38">
        <f ca="1">TRUNC(YEARFRAC(F177,TODAY(),1))</f>
        <v>16</v>
      </c>
      <c r="H177">
        <f>COUNTIF(BRON!A:A,Tabel6[[#This Row],[Personeelsnummer]])</f>
        <v>0</v>
      </c>
    </row>
    <row r="178" spans="1:8" x14ac:dyDescent="0.25">
      <c r="A178" s="34" t="s">
        <v>4083</v>
      </c>
      <c r="B178" s="34" t="s">
        <v>1536</v>
      </c>
      <c r="C178" s="34" t="s">
        <v>1542</v>
      </c>
      <c r="D178">
        <v>23545</v>
      </c>
      <c r="E178" s="34" t="s">
        <v>3855</v>
      </c>
      <c r="F178" s="3">
        <v>39895.041666666701</v>
      </c>
      <c r="G178" s="38">
        <f ca="1">TRUNC(YEARFRAC(F178,TODAY(),1))</f>
        <v>16</v>
      </c>
      <c r="H178">
        <f>COUNTIF(BRON!A:A,Tabel6[[#This Row],[Personeelsnummer]])</f>
        <v>0</v>
      </c>
    </row>
    <row r="179" spans="1:8" x14ac:dyDescent="0.25">
      <c r="A179" s="34" t="s">
        <v>4085</v>
      </c>
      <c r="B179" s="34" t="s">
        <v>3310</v>
      </c>
      <c r="C179" s="34" t="s">
        <v>3309</v>
      </c>
      <c r="D179">
        <v>23790</v>
      </c>
      <c r="E179" s="34" t="s">
        <v>3859</v>
      </c>
      <c r="F179" s="3">
        <v>39923.083333333299</v>
      </c>
      <c r="G179" s="38">
        <f ca="1">TRUNC(YEARFRAC(F179,TODAY(),1))</f>
        <v>16</v>
      </c>
      <c r="H179">
        <f>COUNTIF(BRON!A:A,Tabel6[[#This Row],[Personeelsnummer]])</f>
        <v>1</v>
      </c>
    </row>
    <row r="180" spans="1:8" x14ac:dyDescent="0.25">
      <c r="A180" s="34" t="s">
        <v>4086</v>
      </c>
      <c r="B180" s="34" t="s">
        <v>3143</v>
      </c>
      <c r="C180" s="34" t="s">
        <v>3142</v>
      </c>
      <c r="D180">
        <v>23791</v>
      </c>
      <c r="E180" s="34" t="s">
        <v>3859</v>
      </c>
      <c r="F180" s="3">
        <v>39923.083333333299</v>
      </c>
      <c r="G180" s="38">
        <f ca="1">TRUNC(YEARFRAC(F180,TODAY(),1))</f>
        <v>16</v>
      </c>
      <c r="H180">
        <f>COUNTIF(BRON!A:A,Tabel6[[#This Row],[Personeelsnummer]])</f>
        <v>0</v>
      </c>
    </row>
    <row r="181" spans="1:8" x14ac:dyDescent="0.25">
      <c r="A181" s="34" t="s">
        <v>4087</v>
      </c>
      <c r="B181" s="34" t="s">
        <v>1399</v>
      </c>
      <c r="C181" s="34" t="s">
        <v>1402</v>
      </c>
      <c r="D181">
        <v>23818</v>
      </c>
      <c r="E181" s="34" t="s">
        <v>3859</v>
      </c>
      <c r="F181" s="3">
        <v>39937.083333333299</v>
      </c>
      <c r="G181" s="38">
        <f ca="1">TRUNC(YEARFRAC(F181,TODAY(),1))</f>
        <v>16</v>
      </c>
      <c r="H181">
        <f>COUNTIF(BRON!A:A,Tabel6[[#This Row],[Personeelsnummer]])</f>
        <v>0</v>
      </c>
    </row>
    <row r="182" spans="1:8" x14ac:dyDescent="0.25">
      <c r="A182" s="34" t="s">
        <v>4088</v>
      </c>
      <c r="B182" s="34" t="s">
        <v>3861</v>
      </c>
      <c r="C182" s="34" t="s">
        <v>3862</v>
      </c>
      <c r="D182">
        <v>23880</v>
      </c>
      <c r="E182" s="34" t="s">
        <v>3859</v>
      </c>
      <c r="F182" s="3">
        <v>39958.083333333299</v>
      </c>
      <c r="G182" s="38">
        <f ca="1">TRUNC(YEARFRAC(F182,TODAY(),1))</f>
        <v>16</v>
      </c>
      <c r="H182">
        <f>COUNTIF(BRON!A:A,Tabel6[[#This Row],[Personeelsnummer]])</f>
        <v>1</v>
      </c>
    </row>
    <row r="183" spans="1:8" x14ac:dyDescent="0.25">
      <c r="A183" s="34" t="s">
        <v>4089</v>
      </c>
      <c r="B183" s="34" t="s">
        <v>3241</v>
      </c>
      <c r="C183" s="34" t="s">
        <v>3244</v>
      </c>
      <c r="D183">
        <v>23918</v>
      </c>
      <c r="E183" s="34" t="s">
        <v>3856</v>
      </c>
      <c r="F183" s="3">
        <v>39972.083333333299</v>
      </c>
      <c r="G183" s="38">
        <f ca="1">TRUNC(YEARFRAC(F183,TODAY(),1))</f>
        <v>16</v>
      </c>
      <c r="H183">
        <f>COUNTIF(BRON!A:A,Tabel6[[#This Row],[Personeelsnummer]])</f>
        <v>3</v>
      </c>
    </row>
    <row r="184" spans="1:8" x14ac:dyDescent="0.25">
      <c r="A184" s="34" t="s">
        <v>4090</v>
      </c>
      <c r="B184" s="34" t="s">
        <v>2538</v>
      </c>
      <c r="C184" s="34" t="s">
        <v>2537</v>
      </c>
      <c r="D184">
        <v>23924</v>
      </c>
      <c r="E184" s="34" t="s">
        <v>3853</v>
      </c>
      <c r="F184" s="3">
        <v>39979.083333333299</v>
      </c>
      <c r="G184" s="38">
        <f ca="1">TRUNC(YEARFRAC(F184,TODAY(),1))</f>
        <v>16</v>
      </c>
      <c r="H184">
        <f>COUNTIF(BRON!A:A,Tabel6[[#This Row],[Personeelsnummer]])</f>
        <v>0</v>
      </c>
    </row>
    <row r="185" spans="1:8" x14ac:dyDescent="0.25">
      <c r="A185" s="34" t="s">
        <v>4091</v>
      </c>
      <c r="B185" s="34" t="s">
        <v>2427</v>
      </c>
      <c r="C185" s="34" t="s">
        <v>2430</v>
      </c>
      <c r="D185">
        <v>24155</v>
      </c>
      <c r="E185" s="34" t="s">
        <v>3856</v>
      </c>
      <c r="F185" s="3">
        <v>40000.083333333299</v>
      </c>
      <c r="G185" s="38">
        <f ca="1">TRUNC(YEARFRAC(F185,TODAY(),1))</f>
        <v>16</v>
      </c>
      <c r="H185">
        <f>COUNTIF(BRON!A:A,Tabel6[[#This Row],[Personeelsnummer]])</f>
        <v>1</v>
      </c>
    </row>
    <row r="186" spans="1:8" x14ac:dyDescent="0.25">
      <c r="A186" s="34" t="s">
        <v>4092</v>
      </c>
      <c r="B186" s="34" t="s">
        <v>3302</v>
      </c>
      <c r="C186" s="34" t="s">
        <v>3298</v>
      </c>
      <c r="D186">
        <v>24156</v>
      </c>
      <c r="E186" s="34" t="s">
        <v>3853</v>
      </c>
      <c r="F186" s="3">
        <v>40000.083333333299</v>
      </c>
      <c r="G186" s="38">
        <f ca="1">TRUNC(YEARFRAC(F186,TODAY(),1))</f>
        <v>16</v>
      </c>
      <c r="H186">
        <f>COUNTIF(BRON!A:A,Tabel6[[#This Row],[Personeelsnummer]])</f>
        <v>0</v>
      </c>
    </row>
    <row r="187" spans="1:8" x14ac:dyDescent="0.25">
      <c r="A187" s="34" t="s">
        <v>4093</v>
      </c>
      <c r="B187" s="34" t="s">
        <v>3378</v>
      </c>
      <c r="C187" s="34" t="s">
        <v>3384</v>
      </c>
      <c r="D187">
        <v>24367</v>
      </c>
      <c r="E187" s="34" t="s">
        <v>3854</v>
      </c>
      <c r="F187" s="3">
        <v>40035.083333333299</v>
      </c>
      <c r="G187" s="38">
        <f ca="1">TRUNC(YEARFRAC(F187,TODAY(),1))</f>
        <v>16</v>
      </c>
      <c r="H187">
        <f>COUNTIF(BRON!A:A,Tabel6[[#This Row],[Personeelsnummer]])</f>
        <v>3</v>
      </c>
    </row>
    <row r="188" spans="1:8" x14ac:dyDescent="0.25">
      <c r="A188" s="34" t="s">
        <v>4094</v>
      </c>
      <c r="B188" s="34" t="s">
        <v>3064</v>
      </c>
      <c r="C188" s="34" t="s">
        <v>2096</v>
      </c>
      <c r="D188">
        <v>24472</v>
      </c>
      <c r="E188" s="34" t="s">
        <v>3859</v>
      </c>
      <c r="F188" s="3">
        <v>40049.083333333299</v>
      </c>
      <c r="G188" s="38">
        <f ca="1">TRUNC(YEARFRAC(F188,TODAY(),1))</f>
        <v>16</v>
      </c>
      <c r="H188">
        <f>COUNTIF(BRON!A:A,Tabel6[[#This Row],[Personeelsnummer]])</f>
        <v>1</v>
      </c>
    </row>
    <row r="189" spans="1:8" x14ac:dyDescent="0.25">
      <c r="A189" s="34" t="s">
        <v>4095</v>
      </c>
      <c r="B189" s="34" t="s">
        <v>2820</v>
      </c>
      <c r="C189" s="34" t="s">
        <v>2826</v>
      </c>
      <c r="D189">
        <v>25234</v>
      </c>
      <c r="E189" s="34" t="s">
        <v>3851</v>
      </c>
      <c r="F189" s="3">
        <v>40350.083333333299</v>
      </c>
      <c r="G189" s="38">
        <f ca="1">TRUNC(YEARFRAC(F189,TODAY(),1))</f>
        <v>15</v>
      </c>
      <c r="H189">
        <f>COUNTIF(BRON!A:A,Tabel6[[#This Row],[Personeelsnummer]])</f>
        <v>0</v>
      </c>
    </row>
    <row r="190" spans="1:8" x14ac:dyDescent="0.25">
      <c r="A190" s="34" t="s">
        <v>4096</v>
      </c>
      <c r="B190" s="34" t="s">
        <v>1351</v>
      </c>
      <c r="C190" s="34" t="s">
        <v>2610</v>
      </c>
      <c r="D190">
        <v>25486</v>
      </c>
      <c r="E190" s="34" t="s">
        <v>3853</v>
      </c>
      <c r="F190" s="3">
        <v>40385.083333333299</v>
      </c>
      <c r="G190" s="38">
        <f ca="1">TRUNC(YEARFRAC(F190,TODAY(),1))</f>
        <v>15</v>
      </c>
      <c r="H190">
        <f>COUNTIF(BRON!A:A,Tabel6[[#This Row],[Personeelsnummer]])</f>
        <v>1</v>
      </c>
    </row>
    <row r="191" spans="1:8" x14ac:dyDescent="0.25">
      <c r="A191" s="34" t="s">
        <v>4097</v>
      </c>
      <c r="B191" s="34" t="s">
        <v>1666</v>
      </c>
      <c r="C191" s="34" t="s">
        <v>1665</v>
      </c>
      <c r="D191">
        <v>25487</v>
      </c>
      <c r="E191" s="34" t="s">
        <v>3858</v>
      </c>
      <c r="F191" s="3">
        <v>40385.083333333299</v>
      </c>
      <c r="G191" s="38">
        <f ca="1">TRUNC(YEARFRAC(F191,TODAY(),1))</f>
        <v>15</v>
      </c>
      <c r="H191">
        <f>COUNTIF(BRON!A:A,Tabel6[[#This Row],[Personeelsnummer]])</f>
        <v>4</v>
      </c>
    </row>
    <row r="192" spans="1:8" x14ac:dyDescent="0.25">
      <c r="A192" s="34" t="s">
        <v>4098</v>
      </c>
      <c r="B192" s="34" t="s">
        <v>1697</v>
      </c>
      <c r="C192" s="34" t="s">
        <v>1696</v>
      </c>
      <c r="D192">
        <v>25679</v>
      </c>
      <c r="E192" s="34" t="s">
        <v>3853</v>
      </c>
      <c r="F192" s="3">
        <v>40455.083333333299</v>
      </c>
      <c r="G192" s="38">
        <f ca="1">TRUNC(YEARFRAC(F192,TODAY(),1))</f>
        <v>15</v>
      </c>
      <c r="H192">
        <f>COUNTIF(BRON!A:A,Tabel6[[#This Row],[Personeelsnummer]])</f>
        <v>2</v>
      </c>
    </row>
    <row r="193" spans="1:8" x14ac:dyDescent="0.25">
      <c r="A193" s="34" t="s">
        <v>4099</v>
      </c>
      <c r="B193" s="34" t="s">
        <v>1509</v>
      </c>
      <c r="C193" s="34" t="s">
        <v>1508</v>
      </c>
      <c r="D193">
        <v>25680</v>
      </c>
      <c r="E193" s="34" t="s">
        <v>3851</v>
      </c>
      <c r="F193" s="3">
        <v>40455.083333333299</v>
      </c>
      <c r="G193" s="38">
        <f ca="1">TRUNC(YEARFRAC(F193,TODAY(),1))</f>
        <v>15</v>
      </c>
      <c r="H193">
        <f>COUNTIF(BRON!A:A,Tabel6[[#This Row],[Personeelsnummer]])</f>
        <v>0</v>
      </c>
    </row>
    <row r="194" spans="1:8" x14ac:dyDescent="0.25">
      <c r="A194" s="34" t="s">
        <v>4100</v>
      </c>
      <c r="B194" s="34" t="s">
        <v>3438</v>
      </c>
      <c r="C194" s="34" t="s">
        <v>2666</v>
      </c>
      <c r="D194">
        <v>25733</v>
      </c>
      <c r="E194" s="34" t="s">
        <v>3856</v>
      </c>
      <c r="F194" s="3">
        <v>40469.083333333299</v>
      </c>
      <c r="G194" s="38">
        <f ca="1">TRUNC(YEARFRAC(F194,TODAY(),1))</f>
        <v>15</v>
      </c>
      <c r="H194">
        <f>COUNTIF(BRON!A:A,Tabel6[[#This Row],[Personeelsnummer]])</f>
        <v>2</v>
      </c>
    </row>
    <row r="195" spans="1:8" x14ac:dyDescent="0.25">
      <c r="A195" s="34" t="s">
        <v>4101</v>
      </c>
      <c r="B195" s="34" t="s">
        <v>1860</v>
      </c>
      <c r="C195" s="34" t="s">
        <v>3414</v>
      </c>
      <c r="D195">
        <v>25829</v>
      </c>
      <c r="E195" s="34" t="s">
        <v>3858</v>
      </c>
      <c r="F195" s="3">
        <v>40497.041666666701</v>
      </c>
      <c r="G195" s="38">
        <f ca="1">TRUNC(YEARFRAC(F195,TODAY(),1))</f>
        <v>15</v>
      </c>
      <c r="H195">
        <f>COUNTIF(BRON!A:A,Tabel6[[#This Row],[Personeelsnummer]])</f>
        <v>1</v>
      </c>
    </row>
    <row r="196" spans="1:8" x14ac:dyDescent="0.25">
      <c r="A196" s="34" t="s">
        <v>4102</v>
      </c>
      <c r="B196" s="34" t="s">
        <v>2847</v>
      </c>
      <c r="C196" s="34" t="s">
        <v>2846</v>
      </c>
      <c r="D196">
        <v>25871</v>
      </c>
      <c r="E196" s="34" t="s">
        <v>3851</v>
      </c>
      <c r="F196" s="3">
        <v>40525.041666666701</v>
      </c>
      <c r="G196" s="38">
        <f ca="1">TRUNC(YEARFRAC(F196,TODAY(),1))</f>
        <v>14</v>
      </c>
      <c r="H196">
        <f>COUNTIF(BRON!A:A,Tabel6[[#This Row],[Personeelsnummer]])</f>
        <v>0</v>
      </c>
    </row>
    <row r="197" spans="1:8" x14ac:dyDescent="0.25">
      <c r="A197" s="34" t="s">
        <v>4103</v>
      </c>
      <c r="B197" s="34" t="s">
        <v>2023</v>
      </c>
      <c r="C197" s="34" t="s">
        <v>2026</v>
      </c>
      <c r="D197">
        <v>25873</v>
      </c>
      <c r="E197" s="34" t="s">
        <v>3856</v>
      </c>
      <c r="F197" s="3">
        <v>40525.041666666701</v>
      </c>
      <c r="G197" s="38">
        <f ca="1">TRUNC(YEARFRAC(F197,TODAY(),1))</f>
        <v>14</v>
      </c>
      <c r="H197">
        <f>COUNTIF(BRON!A:A,Tabel6[[#This Row],[Personeelsnummer]])</f>
        <v>1</v>
      </c>
    </row>
    <row r="198" spans="1:8" x14ac:dyDescent="0.25">
      <c r="A198" s="34" t="s">
        <v>4104</v>
      </c>
      <c r="B198" s="34" t="s">
        <v>3181</v>
      </c>
      <c r="C198" s="34" t="s">
        <v>3187</v>
      </c>
      <c r="D198">
        <v>25993</v>
      </c>
      <c r="E198" s="34" t="s">
        <v>3853</v>
      </c>
      <c r="F198" s="3">
        <v>40567.041666666701</v>
      </c>
      <c r="G198" s="38">
        <f ca="1">TRUNC(YEARFRAC(F198,TODAY(),1))</f>
        <v>14</v>
      </c>
      <c r="H198">
        <f>COUNTIF(BRON!A:A,Tabel6[[#This Row],[Personeelsnummer]])</f>
        <v>1</v>
      </c>
    </row>
    <row r="199" spans="1:8" x14ac:dyDescent="0.25">
      <c r="A199" s="34" t="s">
        <v>4105</v>
      </c>
      <c r="B199" s="34" t="s">
        <v>2277</v>
      </c>
      <c r="C199" s="34" t="s">
        <v>2276</v>
      </c>
      <c r="D199">
        <v>25994</v>
      </c>
      <c r="E199" s="34" t="s">
        <v>3857</v>
      </c>
      <c r="F199" s="3">
        <v>40567.041666666701</v>
      </c>
      <c r="G199" s="38">
        <f ca="1">TRUNC(YEARFRAC(F199,TODAY(),1))</f>
        <v>14</v>
      </c>
      <c r="H199">
        <f>COUNTIF(BRON!A:A,Tabel6[[#This Row],[Personeelsnummer]])</f>
        <v>1</v>
      </c>
    </row>
    <row r="200" spans="1:8" x14ac:dyDescent="0.25">
      <c r="A200" s="34" t="s">
        <v>4106</v>
      </c>
      <c r="B200" s="34" t="s">
        <v>2405</v>
      </c>
      <c r="C200" s="34" t="s">
        <v>4107</v>
      </c>
      <c r="D200">
        <v>26004</v>
      </c>
      <c r="E200" s="34" t="s">
        <v>3852</v>
      </c>
      <c r="F200" s="3">
        <v>40574.041666666701</v>
      </c>
      <c r="G200" s="38">
        <f ca="1">TRUNC(YEARFRAC(F200,TODAY(),1))</f>
        <v>14</v>
      </c>
      <c r="H200">
        <f>COUNTIF(BRON!A:A,Tabel6[[#This Row],[Personeelsnummer]])</f>
        <v>0</v>
      </c>
    </row>
    <row r="201" spans="1:8" x14ac:dyDescent="0.25">
      <c r="A201" s="34" t="s">
        <v>4108</v>
      </c>
      <c r="B201" s="34" t="s">
        <v>2592</v>
      </c>
      <c r="C201" s="34" t="s">
        <v>2591</v>
      </c>
      <c r="D201">
        <v>26102</v>
      </c>
      <c r="E201" s="34" t="s">
        <v>3857</v>
      </c>
      <c r="F201" s="3">
        <v>40602.041666666701</v>
      </c>
      <c r="G201" s="38">
        <f ca="1">TRUNC(YEARFRAC(F201,TODAY(),1))</f>
        <v>14</v>
      </c>
      <c r="H201">
        <f>COUNTIF(BRON!A:A,Tabel6[[#This Row],[Personeelsnummer]])</f>
        <v>1</v>
      </c>
    </row>
    <row r="202" spans="1:8" x14ac:dyDescent="0.25">
      <c r="A202" s="34" t="s">
        <v>4109</v>
      </c>
      <c r="B202" s="34" t="s">
        <v>1842</v>
      </c>
      <c r="C202" s="34" t="s">
        <v>1845</v>
      </c>
      <c r="D202">
        <v>26137</v>
      </c>
      <c r="E202" s="34" t="s">
        <v>3858</v>
      </c>
      <c r="F202" s="3">
        <v>40623.041666666701</v>
      </c>
      <c r="G202" s="38">
        <f ca="1">TRUNC(YEARFRAC(F202,TODAY(),1))</f>
        <v>14</v>
      </c>
      <c r="H202">
        <f>COUNTIF(BRON!A:A,Tabel6[[#This Row],[Personeelsnummer]])</f>
        <v>4</v>
      </c>
    </row>
    <row r="203" spans="1:8" x14ac:dyDescent="0.25">
      <c r="A203" s="34" t="s">
        <v>4110</v>
      </c>
      <c r="B203" s="34" t="s">
        <v>1987</v>
      </c>
      <c r="C203" s="34" t="s">
        <v>1986</v>
      </c>
      <c r="D203">
        <v>26197</v>
      </c>
      <c r="E203" s="34" t="s">
        <v>3853</v>
      </c>
      <c r="F203" s="3">
        <v>40637.083333333299</v>
      </c>
      <c r="G203" s="38">
        <f ca="1">TRUNC(YEARFRAC(F203,TODAY(),1))</f>
        <v>14</v>
      </c>
      <c r="H203">
        <f>COUNTIF(BRON!A:A,Tabel6[[#This Row],[Personeelsnummer]])</f>
        <v>0</v>
      </c>
    </row>
    <row r="204" spans="1:8" x14ac:dyDescent="0.25">
      <c r="A204" s="34" t="s">
        <v>4111</v>
      </c>
      <c r="B204" s="34" t="s">
        <v>1328</v>
      </c>
      <c r="C204" s="34" t="s">
        <v>1643</v>
      </c>
      <c r="D204">
        <v>26198</v>
      </c>
      <c r="E204" s="34" t="s">
        <v>3851</v>
      </c>
      <c r="F204" s="3">
        <v>40637.083333333299</v>
      </c>
      <c r="G204" s="38">
        <f ca="1">TRUNC(YEARFRAC(F204,TODAY(),1))</f>
        <v>14</v>
      </c>
      <c r="H204">
        <f>COUNTIF(BRON!A:A,Tabel6[[#This Row],[Personeelsnummer]])</f>
        <v>3</v>
      </c>
    </row>
    <row r="205" spans="1:8" x14ac:dyDescent="0.25">
      <c r="A205" s="34" t="s">
        <v>4112</v>
      </c>
      <c r="B205" s="34" t="s">
        <v>2857</v>
      </c>
      <c r="C205" s="34" t="s">
        <v>2860</v>
      </c>
      <c r="D205">
        <v>26199</v>
      </c>
      <c r="E205" s="34" t="s">
        <v>3856</v>
      </c>
      <c r="F205" s="3">
        <v>40637.083333333299</v>
      </c>
      <c r="G205" s="38">
        <f ca="1">TRUNC(YEARFRAC(F205,TODAY(),1))</f>
        <v>14</v>
      </c>
      <c r="H205">
        <f>COUNTIF(BRON!A:A,Tabel6[[#This Row],[Personeelsnummer]])</f>
        <v>1</v>
      </c>
    </row>
    <row r="206" spans="1:8" x14ac:dyDescent="0.25">
      <c r="A206" s="34" t="s">
        <v>4113</v>
      </c>
      <c r="B206" s="34" t="s">
        <v>3092</v>
      </c>
      <c r="C206" s="34" t="s">
        <v>3098</v>
      </c>
      <c r="D206">
        <v>26265</v>
      </c>
      <c r="E206" s="34" t="s">
        <v>3853</v>
      </c>
      <c r="F206" s="3">
        <v>40658.083333333299</v>
      </c>
      <c r="G206" s="38">
        <f ca="1">TRUNC(YEARFRAC(F206,TODAY(),1))</f>
        <v>14</v>
      </c>
      <c r="H206">
        <f>COUNTIF(BRON!A:A,Tabel6[[#This Row],[Personeelsnummer]])</f>
        <v>0</v>
      </c>
    </row>
    <row r="207" spans="1:8" x14ac:dyDescent="0.25">
      <c r="A207" s="34" t="s">
        <v>4114</v>
      </c>
      <c r="B207" s="34" t="s">
        <v>2114</v>
      </c>
      <c r="C207" s="34" t="s">
        <v>2096</v>
      </c>
      <c r="D207">
        <v>26266</v>
      </c>
      <c r="E207" s="34" t="s">
        <v>3856</v>
      </c>
      <c r="F207" s="3">
        <v>40658.083333333299</v>
      </c>
      <c r="G207" s="38">
        <f ca="1">TRUNC(YEARFRAC(F207,TODAY(),1))</f>
        <v>14</v>
      </c>
      <c r="H207">
        <f>COUNTIF(BRON!A:A,Tabel6[[#This Row],[Personeelsnummer]])</f>
        <v>1</v>
      </c>
    </row>
    <row r="208" spans="1:8" x14ac:dyDescent="0.25">
      <c r="A208" s="34" t="s">
        <v>4115</v>
      </c>
      <c r="B208" s="34" t="s">
        <v>1991</v>
      </c>
      <c r="C208" s="34" t="s">
        <v>2000</v>
      </c>
      <c r="D208">
        <v>26331</v>
      </c>
      <c r="E208" s="34" t="s">
        <v>3854</v>
      </c>
      <c r="F208" s="3">
        <v>40679.083333333299</v>
      </c>
      <c r="G208" s="38">
        <f ca="1">TRUNC(YEARFRAC(F208,TODAY(),1))</f>
        <v>14</v>
      </c>
      <c r="H208">
        <f>COUNTIF(BRON!A:A,Tabel6[[#This Row],[Personeelsnummer]])</f>
        <v>3</v>
      </c>
    </row>
    <row r="209" spans="1:8" x14ac:dyDescent="0.25">
      <c r="A209" s="34" t="s">
        <v>4116</v>
      </c>
      <c r="B209" s="34" t="s">
        <v>2351</v>
      </c>
      <c r="C209" s="34" t="s">
        <v>2350</v>
      </c>
      <c r="D209">
        <v>26334</v>
      </c>
      <c r="E209" s="34" t="s">
        <v>3856</v>
      </c>
      <c r="F209" s="3">
        <v>40679.083333333299</v>
      </c>
      <c r="G209" s="38">
        <f ca="1">TRUNC(YEARFRAC(F209,TODAY(),1))</f>
        <v>14</v>
      </c>
      <c r="H209">
        <f>COUNTIF(BRON!A:A,Tabel6[[#This Row],[Personeelsnummer]])</f>
        <v>0</v>
      </c>
    </row>
    <row r="210" spans="1:8" x14ac:dyDescent="0.25">
      <c r="A210" s="34" t="s">
        <v>4117</v>
      </c>
      <c r="B210" s="34" t="s">
        <v>1328</v>
      </c>
      <c r="C210" s="34" t="s">
        <v>1640</v>
      </c>
      <c r="D210">
        <v>26384</v>
      </c>
      <c r="E210" s="34" t="s">
        <v>3857</v>
      </c>
      <c r="F210" s="3">
        <v>40700.083333333299</v>
      </c>
      <c r="G210" s="38">
        <f ca="1">TRUNC(YEARFRAC(F210,TODAY(),1))</f>
        <v>14</v>
      </c>
      <c r="H210">
        <f>COUNTIF(BRON!A:A,Tabel6[[#This Row],[Personeelsnummer]])</f>
        <v>1</v>
      </c>
    </row>
    <row r="211" spans="1:8" x14ac:dyDescent="0.25">
      <c r="A211" s="34" t="s">
        <v>4118</v>
      </c>
      <c r="B211" s="34" t="s">
        <v>2163</v>
      </c>
      <c r="C211" s="34" t="s">
        <v>2162</v>
      </c>
      <c r="D211">
        <v>26521</v>
      </c>
      <c r="E211" s="34" t="s">
        <v>3856</v>
      </c>
      <c r="F211" s="3">
        <v>40728.083333333299</v>
      </c>
      <c r="G211" s="38">
        <f ca="1">TRUNC(YEARFRAC(F211,TODAY(),1))</f>
        <v>14</v>
      </c>
      <c r="H211">
        <f>COUNTIF(BRON!A:A,Tabel6[[#This Row],[Personeelsnummer]])</f>
        <v>0</v>
      </c>
    </row>
    <row r="212" spans="1:8" x14ac:dyDescent="0.25">
      <c r="A212" s="34" t="s">
        <v>4119</v>
      </c>
      <c r="B212" s="34" t="s">
        <v>3116</v>
      </c>
      <c r="C212" s="34" t="s">
        <v>1990</v>
      </c>
      <c r="D212">
        <v>26524</v>
      </c>
      <c r="E212" s="34" t="s">
        <v>3856</v>
      </c>
      <c r="F212" s="3">
        <v>40728.083333333299</v>
      </c>
      <c r="G212" s="38">
        <f ca="1">TRUNC(YEARFRAC(F212,TODAY(),1))</f>
        <v>14</v>
      </c>
      <c r="H212">
        <f>COUNTIF(BRON!A:A,Tabel6[[#This Row],[Personeelsnummer]])</f>
        <v>1</v>
      </c>
    </row>
    <row r="213" spans="1:8" x14ac:dyDescent="0.25">
      <c r="A213" s="34" t="s">
        <v>4120</v>
      </c>
      <c r="B213" s="34" t="s">
        <v>2820</v>
      </c>
      <c r="C213" s="34" t="s">
        <v>2823</v>
      </c>
      <c r="D213">
        <v>26638</v>
      </c>
      <c r="E213" s="34" t="s">
        <v>3859</v>
      </c>
      <c r="F213" s="3">
        <v>40749.083333333299</v>
      </c>
      <c r="G213" s="38">
        <f ca="1">TRUNC(YEARFRAC(F213,TODAY(),1))</f>
        <v>14</v>
      </c>
      <c r="H213">
        <f>COUNTIF(BRON!A:A,Tabel6[[#This Row],[Personeelsnummer]])</f>
        <v>0</v>
      </c>
    </row>
    <row r="214" spans="1:8" x14ac:dyDescent="0.25">
      <c r="A214" s="34" t="s">
        <v>4121</v>
      </c>
      <c r="B214" s="34" t="s">
        <v>1491</v>
      </c>
      <c r="C214" s="34" t="s">
        <v>1490</v>
      </c>
      <c r="D214">
        <v>26639</v>
      </c>
      <c r="E214" s="34" t="s">
        <v>3851</v>
      </c>
      <c r="F214" s="3">
        <v>40749.083333333299</v>
      </c>
      <c r="G214" s="38">
        <f ca="1">TRUNC(YEARFRAC(F214,TODAY(),1))</f>
        <v>14</v>
      </c>
      <c r="H214">
        <f>COUNTIF(BRON!A:A,Tabel6[[#This Row],[Personeelsnummer]])</f>
        <v>1</v>
      </c>
    </row>
    <row r="215" spans="1:8" x14ac:dyDescent="0.25">
      <c r="A215" s="34" t="s">
        <v>4122</v>
      </c>
      <c r="B215" s="34" t="s">
        <v>2184</v>
      </c>
      <c r="C215" s="34" t="s">
        <v>2183</v>
      </c>
      <c r="D215">
        <v>26695</v>
      </c>
      <c r="E215" s="34" t="s">
        <v>3853</v>
      </c>
      <c r="F215" s="3">
        <v>40771.083333333299</v>
      </c>
      <c r="G215" s="38">
        <f ca="1">TRUNC(YEARFRAC(F215,TODAY(),1))</f>
        <v>14</v>
      </c>
      <c r="H215">
        <f>COUNTIF(BRON!A:A,Tabel6[[#This Row],[Personeelsnummer]])</f>
        <v>2</v>
      </c>
    </row>
    <row r="216" spans="1:8" x14ac:dyDescent="0.25">
      <c r="A216" s="34" t="s">
        <v>4123</v>
      </c>
      <c r="B216" s="34" t="s">
        <v>2812</v>
      </c>
      <c r="C216" s="34" t="s">
        <v>2811</v>
      </c>
      <c r="D216">
        <v>26792</v>
      </c>
      <c r="E216" s="34" t="s">
        <v>3855</v>
      </c>
      <c r="F216" s="3">
        <v>40812.083333333299</v>
      </c>
      <c r="G216" s="38">
        <f ca="1">TRUNC(YEARFRAC(F216,TODAY(),1))</f>
        <v>14</v>
      </c>
      <c r="H216">
        <f>COUNTIF(BRON!A:A,Tabel6[[#This Row],[Personeelsnummer]])</f>
        <v>0</v>
      </c>
    </row>
    <row r="217" spans="1:8" x14ac:dyDescent="0.25">
      <c r="A217" s="34" t="s">
        <v>4124</v>
      </c>
      <c r="B217" s="34" t="s">
        <v>2405</v>
      </c>
      <c r="C217" s="34" t="s">
        <v>2568</v>
      </c>
      <c r="D217">
        <v>26847</v>
      </c>
      <c r="E217" s="34" t="s">
        <v>3854</v>
      </c>
      <c r="F217" s="3">
        <v>40826.083333333299</v>
      </c>
      <c r="G217" s="38">
        <f ca="1">TRUNC(YEARFRAC(F217,TODAY(),1))</f>
        <v>14</v>
      </c>
      <c r="H217">
        <f>COUNTIF(BRON!A:A,Tabel6[[#This Row],[Personeelsnummer]])</f>
        <v>2</v>
      </c>
    </row>
    <row r="218" spans="1:8" x14ac:dyDescent="0.25">
      <c r="A218" s="34" t="s">
        <v>4125</v>
      </c>
      <c r="B218" s="34" t="s">
        <v>2038</v>
      </c>
      <c r="C218" s="34" t="s">
        <v>2041</v>
      </c>
      <c r="D218">
        <v>26959</v>
      </c>
      <c r="E218" s="34" t="s">
        <v>3859</v>
      </c>
      <c r="F218" s="3">
        <v>40861.041666666701</v>
      </c>
      <c r="G218" s="38">
        <f ca="1">TRUNC(YEARFRAC(F218,TODAY(),1))</f>
        <v>14</v>
      </c>
      <c r="H218">
        <f>COUNTIF(BRON!A:A,Tabel6[[#This Row],[Personeelsnummer]])</f>
        <v>0</v>
      </c>
    </row>
    <row r="219" spans="1:8" x14ac:dyDescent="0.25">
      <c r="A219" s="34" t="s">
        <v>4126</v>
      </c>
      <c r="B219" s="34" t="s">
        <v>2148</v>
      </c>
      <c r="C219" s="34" t="s">
        <v>1393</v>
      </c>
      <c r="D219">
        <v>26960</v>
      </c>
      <c r="E219" s="34" t="s">
        <v>3856</v>
      </c>
      <c r="F219" s="3">
        <v>40861.041666666701</v>
      </c>
      <c r="G219" s="38">
        <f ca="1">TRUNC(YEARFRAC(F219,TODAY(),1))</f>
        <v>14</v>
      </c>
      <c r="H219">
        <f>COUNTIF(BRON!A:A,Tabel6[[#This Row],[Personeelsnummer]])</f>
        <v>3</v>
      </c>
    </row>
    <row r="220" spans="1:8" x14ac:dyDescent="0.25">
      <c r="A220" s="34" t="s">
        <v>3892</v>
      </c>
      <c r="B220" s="34" t="s">
        <v>2837</v>
      </c>
      <c r="C220" s="34" t="s">
        <v>2836</v>
      </c>
      <c r="D220">
        <v>27607</v>
      </c>
      <c r="E220" s="34" t="s">
        <v>3851</v>
      </c>
      <c r="F220" s="3">
        <v>41141.083333333299</v>
      </c>
      <c r="G220" s="38">
        <f ca="1">TRUNC(YEARFRAC(F220,TODAY(),1))</f>
        <v>13</v>
      </c>
      <c r="H220">
        <f>COUNTIF(BRON!A:A,Tabel6[[#This Row],[Personeelsnummer]])</f>
        <v>0</v>
      </c>
    </row>
    <row r="221" spans="1:8" x14ac:dyDescent="0.25">
      <c r="A221" s="34" t="s">
        <v>4127</v>
      </c>
      <c r="B221" s="34" t="s">
        <v>1601</v>
      </c>
      <c r="C221" s="34" t="s">
        <v>1600</v>
      </c>
      <c r="D221">
        <v>27153</v>
      </c>
      <c r="E221" s="34" t="s">
        <v>3853</v>
      </c>
      <c r="F221" s="3">
        <v>40952.041666666701</v>
      </c>
      <c r="G221" s="38">
        <f ca="1">TRUNC(YEARFRAC(F221,TODAY(),1))</f>
        <v>13</v>
      </c>
      <c r="H221">
        <f>COUNTIF(BRON!A:A,Tabel6[[#This Row],[Personeelsnummer]])</f>
        <v>3</v>
      </c>
    </row>
    <row r="222" spans="1:8" x14ac:dyDescent="0.25">
      <c r="A222" s="34" t="s">
        <v>4129</v>
      </c>
      <c r="B222" s="34" t="s">
        <v>1328</v>
      </c>
      <c r="C222" s="34" t="s">
        <v>1637</v>
      </c>
      <c r="D222">
        <v>27209</v>
      </c>
      <c r="E222" s="34" t="s">
        <v>3857</v>
      </c>
      <c r="F222" s="3">
        <v>40973.041666666701</v>
      </c>
      <c r="G222" s="38">
        <f ca="1">TRUNC(YEARFRAC(F222,TODAY(),1))</f>
        <v>13</v>
      </c>
      <c r="H222">
        <f>COUNTIF(BRON!A:A,Tabel6[[#This Row],[Personeelsnummer]])</f>
        <v>3</v>
      </c>
    </row>
    <row r="223" spans="1:8" x14ac:dyDescent="0.25">
      <c r="A223" s="34" t="s">
        <v>4130</v>
      </c>
      <c r="B223" s="34" t="s">
        <v>2562</v>
      </c>
      <c r="C223" s="34" t="s">
        <v>2568</v>
      </c>
      <c r="D223">
        <v>27577</v>
      </c>
      <c r="E223" s="34" t="s">
        <v>3853</v>
      </c>
      <c r="F223" s="3">
        <v>41113.083333333299</v>
      </c>
      <c r="G223" s="38">
        <f ca="1">TRUNC(YEARFRAC(F223,TODAY(),1))</f>
        <v>13</v>
      </c>
      <c r="H223">
        <f>COUNTIF(BRON!A:A,Tabel6[[#This Row],[Personeelsnummer]])</f>
        <v>0</v>
      </c>
    </row>
    <row r="224" spans="1:8" x14ac:dyDescent="0.25">
      <c r="A224" s="34" t="s">
        <v>4131</v>
      </c>
      <c r="B224" s="34" t="s">
        <v>3112</v>
      </c>
      <c r="C224" s="34" t="s">
        <v>3111</v>
      </c>
      <c r="D224">
        <v>27635</v>
      </c>
      <c r="E224" s="34" t="s">
        <v>3851</v>
      </c>
      <c r="F224" s="3">
        <v>41176.083333333299</v>
      </c>
      <c r="G224" s="38">
        <f ca="1">TRUNC(YEARFRAC(F224,TODAY(),1))</f>
        <v>13</v>
      </c>
      <c r="H224">
        <f>COUNTIF(BRON!A:A,Tabel6[[#This Row],[Personeelsnummer]])</f>
        <v>1</v>
      </c>
    </row>
    <row r="225" spans="1:8" x14ac:dyDescent="0.25">
      <c r="A225" s="34" t="s">
        <v>4132</v>
      </c>
      <c r="B225" s="34" t="s">
        <v>1513</v>
      </c>
      <c r="C225" s="34" t="s">
        <v>1512</v>
      </c>
      <c r="D225">
        <v>27672</v>
      </c>
      <c r="E225" s="34" t="s">
        <v>3858</v>
      </c>
      <c r="F225" s="3">
        <v>41204.083333333299</v>
      </c>
      <c r="G225" s="38">
        <f ca="1">TRUNC(YEARFRAC(F225,TODAY(),1))</f>
        <v>13</v>
      </c>
      <c r="H225">
        <f>COUNTIF(BRON!A:A,Tabel6[[#This Row],[Personeelsnummer]])</f>
        <v>1</v>
      </c>
    </row>
    <row r="226" spans="1:8" x14ac:dyDescent="0.25">
      <c r="A226" s="34" t="s">
        <v>4133</v>
      </c>
      <c r="B226" s="34" t="s">
        <v>2427</v>
      </c>
      <c r="C226" s="34" t="s">
        <v>2426</v>
      </c>
      <c r="D226">
        <v>27673</v>
      </c>
      <c r="E226" s="34" t="s">
        <v>3853</v>
      </c>
      <c r="F226" s="3">
        <v>41204.083333333299</v>
      </c>
      <c r="G226" s="38">
        <f ca="1">TRUNC(YEARFRAC(F226,TODAY(),1))</f>
        <v>13</v>
      </c>
      <c r="H226">
        <f>COUNTIF(BRON!A:A,Tabel6[[#This Row],[Personeelsnummer]])</f>
        <v>1</v>
      </c>
    </row>
    <row r="227" spans="1:8" x14ac:dyDescent="0.25">
      <c r="A227" s="34" t="s">
        <v>4134</v>
      </c>
      <c r="B227" s="34" t="s">
        <v>2405</v>
      </c>
      <c r="C227" s="34" t="s">
        <v>3073</v>
      </c>
      <c r="D227">
        <v>27711</v>
      </c>
      <c r="E227" s="34" t="s">
        <v>3853</v>
      </c>
      <c r="F227" s="3">
        <v>41218.041666666701</v>
      </c>
      <c r="G227" s="38">
        <f ca="1">TRUNC(YEARFRAC(F227,TODAY(),1))</f>
        <v>13</v>
      </c>
      <c r="H227">
        <f>COUNTIF(BRON!A:A,Tabel6[[#This Row],[Personeelsnummer]])</f>
        <v>0</v>
      </c>
    </row>
    <row r="228" spans="1:8" x14ac:dyDescent="0.25">
      <c r="A228" s="34" t="s">
        <v>4135</v>
      </c>
      <c r="B228" s="34" t="s">
        <v>1351</v>
      </c>
      <c r="C228" s="34" t="s">
        <v>3282</v>
      </c>
      <c r="D228">
        <v>27713</v>
      </c>
      <c r="E228" s="34" t="s">
        <v>3857</v>
      </c>
      <c r="F228" s="3">
        <v>41218.041666666701</v>
      </c>
      <c r="G228" s="38">
        <f ca="1">TRUNC(YEARFRAC(F228,TODAY(),1))</f>
        <v>13</v>
      </c>
      <c r="H228">
        <f>COUNTIF(BRON!A:A,Tabel6[[#This Row],[Personeelsnummer]])</f>
        <v>1</v>
      </c>
    </row>
    <row r="229" spans="1:8" x14ac:dyDescent="0.25">
      <c r="A229" s="34" t="s">
        <v>4136</v>
      </c>
      <c r="B229" s="34" t="s">
        <v>2195</v>
      </c>
      <c r="C229" s="34" t="s">
        <v>2194</v>
      </c>
      <c r="D229">
        <v>27786</v>
      </c>
      <c r="E229" s="34" t="s">
        <v>3857</v>
      </c>
      <c r="F229" s="3">
        <v>41253.041666666701</v>
      </c>
      <c r="G229" s="38">
        <f ca="1">TRUNC(YEARFRAC(F229,TODAY(),1))</f>
        <v>12</v>
      </c>
      <c r="H229">
        <f>COUNTIF(BRON!A:A,Tabel6[[#This Row],[Personeelsnummer]])</f>
        <v>0</v>
      </c>
    </row>
    <row r="230" spans="1:8" x14ac:dyDescent="0.25">
      <c r="A230" s="34" t="s">
        <v>4137</v>
      </c>
      <c r="B230" s="34" t="s">
        <v>2382</v>
      </c>
      <c r="C230" s="34" t="s">
        <v>2381</v>
      </c>
      <c r="D230">
        <v>27865</v>
      </c>
      <c r="E230" s="34" t="s">
        <v>3857</v>
      </c>
      <c r="F230" s="3">
        <v>41313.041666666701</v>
      </c>
      <c r="G230" s="38">
        <f ca="1">TRUNC(YEARFRAC(F230,TODAY(),1))</f>
        <v>12</v>
      </c>
      <c r="H230">
        <f>COUNTIF(BRON!A:A,Tabel6[[#This Row],[Personeelsnummer]])</f>
        <v>1</v>
      </c>
    </row>
    <row r="231" spans="1:8" x14ac:dyDescent="0.25">
      <c r="A231" s="34" t="s">
        <v>4138</v>
      </c>
      <c r="B231" s="34" t="s">
        <v>3147</v>
      </c>
      <c r="C231" s="34" t="s">
        <v>4139</v>
      </c>
      <c r="D231">
        <v>28070</v>
      </c>
      <c r="E231" s="34" t="s">
        <v>3852</v>
      </c>
      <c r="F231" s="3">
        <v>41372.083333333299</v>
      </c>
      <c r="G231" s="38">
        <f ca="1">TRUNC(YEARFRAC(F231,TODAY(),1))</f>
        <v>12</v>
      </c>
      <c r="H231">
        <f>COUNTIF(BRON!A:A,Tabel6[[#This Row],[Personeelsnummer]])</f>
        <v>0</v>
      </c>
    </row>
    <row r="232" spans="1:8" x14ac:dyDescent="0.25">
      <c r="A232" s="34" t="s">
        <v>4140</v>
      </c>
      <c r="B232" s="34" t="s">
        <v>1774</v>
      </c>
      <c r="C232" s="34" t="s">
        <v>1773</v>
      </c>
      <c r="D232">
        <v>28071</v>
      </c>
      <c r="E232" s="34" t="s">
        <v>3857</v>
      </c>
      <c r="F232" s="3">
        <v>41372.083333333299</v>
      </c>
      <c r="G232" s="38">
        <f ca="1">TRUNC(YEARFRAC(F232,TODAY(),1))</f>
        <v>12</v>
      </c>
      <c r="H232">
        <f>COUNTIF(BRON!A:A,Tabel6[[#This Row],[Personeelsnummer]])</f>
        <v>0</v>
      </c>
    </row>
    <row r="233" spans="1:8" x14ac:dyDescent="0.25">
      <c r="A233" s="34" t="s">
        <v>4141</v>
      </c>
      <c r="B233" s="34" t="s">
        <v>2386</v>
      </c>
      <c r="C233" s="34" t="s">
        <v>2385</v>
      </c>
      <c r="D233">
        <v>28072</v>
      </c>
      <c r="E233" s="34" t="s">
        <v>3855</v>
      </c>
      <c r="F233" s="3">
        <v>41372.083333333299</v>
      </c>
      <c r="G233" s="38">
        <f ca="1">TRUNC(YEARFRAC(F233,TODAY(),1))</f>
        <v>12</v>
      </c>
      <c r="H233">
        <f>COUNTIF(BRON!A:A,Tabel6[[#This Row],[Personeelsnummer]])</f>
        <v>0</v>
      </c>
    </row>
    <row r="234" spans="1:8" x14ac:dyDescent="0.25">
      <c r="A234" s="34" t="s">
        <v>4142</v>
      </c>
      <c r="B234" s="34" t="s">
        <v>2394</v>
      </c>
      <c r="C234" s="34" t="s">
        <v>1539</v>
      </c>
      <c r="D234">
        <v>28165</v>
      </c>
      <c r="E234" s="34" t="s">
        <v>3857</v>
      </c>
      <c r="F234" s="3">
        <v>41421.083333333299</v>
      </c>
      <c r="G234" s="38">
        <f ca="1">TRUNC(YEARFRAC(F234,TODAY(),1))</f>
        <v>12</v>
      </c>
      <c r="H234">
        <f>COUNTIF(BRON!A:A,Tabel6[[#This Row],[Personeelsnummer]])</f>
        <v>0</v>
      </c>
    </row>
    <row r="235" spans="1:8" x14ac:dyDescent="0.25">
      <c r="A235" s="34" t="s">
        <v>4143</v>
      </c>
      <c r="B235" s="34" t="s">
        <v>4144</v>
      </c>
      <c r="C235" s="34" t="s">
        <v>1531</v>
      </c>
      <c r="D235">
        <v>28616</v>
      </c>
      <c r="E235" s="34" t="s">
        <v>3852</v>
      </c>
      <c r="F235" s="3">
        <v>41579.041666666701</v>
      </c>
      <c r="G235" s="38">
        <f ca="1">TRUNC(YEARFRAC(F235,TODAY(),1))</f>
        <v>12</v>
      </c>
      <c r="H235">
        <f>COUNTIF(BRON!A:A,Tabel6[[#This Row],[Personeelsnummer]])</f>
        <v>0</v>
      </c>
    </row>
    <row r="236" spans="1:8" x14ac:dyDescent="0.25">
      <c r="A236" s="34" t="s">
        <v>4145</v>
      </c>
      <c r="B236" s="34" t="s">
        <v>1865</v>
      </c>
      <c r="C236" s="34" t="s">
        <v>1864</v>
      </c>
      <c r="D236">
        <v>28690</v>
      </c>
      <c r="E236" s="34" t="s">
        <v>3856</v>
      </c>
      <c r="F236" s="3">
        <v>41617.041666666701</v>
      </c>
      <c r="G236" s="38">
        <f ca="1">TRUNC(YEARFRAC(F236,TODAY(),1))</f>
        <v>11</v>
      </c>
      <c r="H236">
        <f>COUNTIF(BRON!A:A,Tabel6[[#This Row],[Personeelsnummer]])</f>
        <v>0</v>
      </c>
    </row>
    <row r="237" spans="1:8" x14ac:dyDescent="0.25">
      <c r="A237" s="34" t="s">
        <v>4146</v>
      </c>
      <c r="B237" s="34" t="s">
        <v>1330</v>
      </c>
      <c r="C237" s="34" t="s">
        <v>2674</v>
      </c>
      <c r="D237">
        <v>28717</v>
      </c>
      <c r="E237" s="34" t="s">
        <v>3855</v>
      </c>
      <c r="F237" s="3">
        <v>41659.041666666701</v>
      </c>
      <c r="G237" s="38">
        <f ca="1">TRUNC(YEARFRAC(F237,TODAY(),1))</f>
        <v>11</v>
      </c>
      <c r="H237">
        <f>COUNTIF(BRON!A:A,Tabel6[[#This Row],[Personeelsnummer]])</f>
        <v>1</v>
      </c>
    </row>
    <row r="238" spans="1:8" x14ac:dyDescent="0.25">
      <c r="A238" s="34" t="s">
        <v>4147</v>
      </c>
      <c r="B238" s="34" t="s">
        <v>2159</v>
      </c>
      <c r="C238" s="34" t="s">
        <v>2158</v>
      </c>
      <c r="D238">
        <v>28737</v>
      </c>
      <c r="E238" s="34" t="s">
        <v>3855</v>
      </c>
      <c r="F238" s="3">
        <v>41680.041666666701</v>
      </c>
      <c r="G238" s="38">
        <f ca="1">TRUNC(YEARFRAC(F238,TODAY(),1))</f>
        <v>11</v>
      </c>
      <c r="H238">
        <f>COUNTIF(BRON!A:A,Tabel6[[#This Row],[Personeelsnummer]])</f>
        <v>3</v>
      </c>
    </row>
    <row r="239" spans="1:8" x14ac:dyDescent="0.25">
      <c r="A239" s="34" t="s">
        <v>4148</v>
      </c>
      <c r="B239" s="34" t="s">
        <v>2061</v>
      </c>
      <c r="C239" s="34" t="s">
        <v>2060</v>
      </c>
      <c r="D239">
        <v>28794</v>
      </c>
      <c r="E239" s="34" t="s">
        <v>3855</v>
      </c>
      <c r="F239" s="3">
        <v>41701.041666666701</v>
      </c>
      <c r="G239" s="38">
        <f ca="1">TRUNC(YEARFRAC(F239,TODAY(),1))</f>
        <v>11</v>
      </c>
      <c r="H239">
        <f>COUNTIF(BRON!A:A,Tabel6[[#This Row],[Personeelsnummer]])</f>
        <v>1</v>
      </c>
    </row>
    <row r="240" spans="1:8" x14ac:dyDescent="0.25">
      <c r="A240" s="34" t="s">
        <v>4149</v>
      </c>
      <c r="B240" s="34" t="s">
        <v>1330</v>
      </c>
      <c r="C240" s="34" t="s">
        <v>2949</v>
      </c>
      <c r="D240">
        <v>28821</v>
      </c>
      <c r="E240" s="34" t="s">
        <v>3854</v>
      </c>
      <c r="F240" s="3">
        <v>41708.041666666701</v>
      </c>
      <c r="G240" s="38">
        <f ca="1">TRUNC(YEARFRAC(F240,TODAY(),1))</f>
        <v>11</v>
      </c>
      <c r="H240">
        <f>COUNTIF(BRON!A:A,Tabel6[[#This Row],[Personeelsnummer]])</f>
        <v>0</v>
      </c>
    </row>
    <row r="241" spans="1:8" x14ac:dyDescent="0.25">
      <c r="A241" s="34" t="s">
        <v>4150</v>
      </c>
      <c r="B241" s="34" t="s">
        <v>2045</v>
      </c>
      <c r="C241" s="34" t="s">
        <v>2044</v>
      </c>
      <c r="D241">
        <v>28830</v>
      </c>
      <c r="E241" s="34" t="s">
        <v>3853</v>
      </c>
      <c r="F241" s="3">
        <v>41722.041666666701</v>
      </c>
      <c r="G241" s="38">
        <f ca="1">TRUNC(YEARFRAC(F241,TODAY(),1))</f>
        <v>11</v>
      </c>
      <c r="H241">
        <f>COUNTIF(BRON!A:A,Tabel6[[#This Row],[Personeelsnummer]])</f>
        <v>1</v>
      </c>
    </row>
    <row r="242" spans="1:8" x14ac:dyDescent="0.25">
      <c r="A242" s="34" t="s">
        <v>4151</v>
      </c>
      <c r="B242" s="34" t="s">
        <v>3232</v>
      </c>
      <c r="C242" s="34" t="s">
        <v>3231</v>
      </c>
      <c r="D242">
        <v>28835</v>
      </c>
      <c r="E242" s="34" t="s">
        <v>3853</v>
      </c>
      <c r="F242" s="3">
        <v>41722.041666666701</v>
      </c>
      <c r="G242" s="38">
        <f ca="1">TRUNC(YEARFRAC(F242,TODAY(),1))</f>
        <v>11</v>
      </c>
      <c r="H242">
        <f>COUNTIF(BRON!A:A,Tabel6[[#This Row],[Personeelsnummer]])</f>
        <v>0</v>
      </c>
    </row>
    <row r="243" spans="1:8" x14ac:dyDescent="0.25">
      <c r="A243" s="34" t="s">
        <v>4152</v>
      </c>
      <c r="B243" s="34" t="s">
        <v>2019</v>
      </c>
      <c r="C243" s="34" t="s">
        <v>2018</v>
      </c>
      <c r="D243">
        <v>28910</v>
      </c>
      <c r="E243" s="34" t="s">
        <v>3854</v>
      </c>
      <c r="F243" s="3">
        <v>41743.083333333299</v>
      </c>
      <c r="G243" s="38">
        <f ca="1">TRUNC(YEARFRAC(F243,TODAY(),1))</f>
        <v>11</v>
      </c>
      <c r="H243">
        <f>COUNTIF(BRON!A:A,Tabel6[[#This Row],[Personeelsnummer]])</f>
        <v>2</v>
      </c>
    </row>
    <row r="244" spans="1:8" x14ac:dyDescent="0.25">
      <c r="A244" s="34" t="s">
        <v>4153</v>
      </c>
      <c r="B244" s="34" t="s">
        <v>2151</v>
      </c>
      <c r="C244" s="34" t="s">
        <v>4154</v>
      </c>
      <c r="D244">
        <v>28947</v>
      </c>
      <c r="E244" s="34" t="s">
        <v>3852</v>
      </c>
      <c r="F244" s="3">
        <v>41751.083333333299</v>
      </c>
      <c r="G244" s="38">
        <f ca="1">TRUNC(YEARFRAC(F244,TODAY(),1))</f>
        <v>11</v>
      </c>
      <c r="H244">
        <f>COUNTIF(BRON!A:A,Tabel6[[#This Row],[Personeelsnummer]])</f>
        <v>0</v>
      </c>
    </row>
    <row r="245" spans="1:8" x14ac:dyDescent="0.25">
      <c r="A245" s="34" t="s">
        <v>4155</v>
      </c>
      <c r="B245" s="34" t="s">
        <v>2378</v>
      </c>
      <c r="C245" s="34" t="s">
        <v>2377</v>
      </c>
      <c r="D245">
        <v>28995</v>
      </c>
      <c r="E245" s="34" t="s">
        <v>3853</v>
      </c>
      <c r="F245" s="3">
        <v>41771.083333333299</v>
      </c>
      <c r="G245" s="38">
        <f ca="1">TRUNC(YEARFRAC(F245,TODAY(),1))</f>
        <v>11</v>
      </c>
      <c r="H245">
        <f>COUNTIF(BRON!A:A,Tabel6[[#This Row],[Personeelsnummer]])</f>
        <v>0</v>
      </c>
    </row>
    <row r="246" spans="1:8" x14ac:dyDescent="0.25">
      <c r="A246" s="34" t="s">
        <v>4156</v>
      </c>
      <c r="B246" s="34" t="s">
        <v>2982</v>
      </c>
      <c r="C246" s="34" t="s">
        <v>2981</v>
      </c>
      <c r="D246">
        <v>29179</v>
      </c>
      <c r="E246" s="34" t="s">
        <v>3857</v>
      </c>
      <c r="F246" s="3">
        <v>41827.083333333299</v>
      </c>
      <c r="G246" s="38">
        <f ca="1">TRUNC(YEARFRAC(F246,TODAY(),1))</f>
        <v>11</v>
      </c>
      <c r="H246">
        <f>COUNTIF(BRON!A:A,Tabel6[[#This Row],[Personeelsnummer]])</f>
        <v>6</v>
      </c>
    </row>
    <row r="247" spans="1:8" x14ac:dyDescent="0.25">
      <c r="A247" s="34" t="s">
        <v>4157</v>
      </c>
      <c r="B247" s="34" t="s">
        <v>2857</v>
      </c>
      <c r="C247" s="34" t="s">
        <v>2856</v>
      </c>
      <c r="D247">
        <v>29181</v>
      </c>
      <c r="E247" s="34" t="s">
        <v>3854</v>
      </c>
      <c r="F247" s="3">
        <v>41827.083333333299</v>
      </c>
      <c r="G247" s="38">
        <f ca="1">TRUNC(YEARFRAC(F247,TODAY(),1))</f>
        <v>11</v>
      </c>
      <c r="H247">
        <f>COUNTIF(BRON!A:A,Tabel6[[#This Row],[Personeelsnummer]])</f>
        <v>0</v>
      </c>
    </row>
    <row r="248" spans="1:8" x14ac:dyDescent="0.25">
      <c r="A248" s="34" t="s">
        <v>4158</v>
      </c>
      <c r="B248" s="34" t="s">
        <v>2879</v>
      </c>
      <c r="C248" s="34" t="s">
        <v>1542</v>
      </c>
      <c r="D248">
        <v>29271</v>
      </c>
      <c r="E248" s="34" t="s">
        <v>3857</v>
      </c>
      <c r="F248" s="3">
        <v>41855.083333333299</v>
      </c>
      <c r="G248" s="38">
        <f ca="1">TRUNC(YEARFRAC(F248,TODAY(),1))</f>
        <v>11</v>
      </c>
      <c r="H248">
        <f>COUNTIF(BRON!A:A,Tabel6[[#This Row],[Personeelsnummer]])</f>
        <v>1</v>
      </c>
    </row>
    <row r="249" spans="1:8" x14ac:dyDescent="0.25">
      <c r="A249" s="34" t="s">
        <v>4159</v>
      </c>
      <c r="B249" s="34" t="s">
        <v>1748</v>
      </c>
      <c r="C249" s="34" t="s">
        <v>1747</v>
      </c>
      <c r="D249">
        <v>29370</v>
      </c>
      <c r="E249" s="34" t="s">
        <v>3854</v>
      </c>
      <c r="F249" s="3">
        <v>41904.083333333299</v>
      </c>
      <c r="G249" s="38">
        <f ca="1">TRUNC(YEARFRAC(F249,TODAY(),1))</f>
        <v>11</v>
      </c>
      <c r="H249">
        <f>COUNTIF(BRON!A:A,Tabel6[[#This Row],[Personeelsnummer]])</f>
        <v>0</v>
      </c>
    </row>
    <row r="250" spans="1:8" x14ac:dyDescent="0.25">
      <c r="A250" s="34" t="s">
        <v>4160</v>
      </c>
      <c r="B250" s="34" t="s">
        <v>3203</v>
      </c>
      <c r="C250" s="34" t="s">
        <v>3202</v>
      </c>
      <c r="D250">
        <v>29477</v>
      </c>
      <c r="E250" s="34" t="s">
        <v>3855</v>
      </c>
      <c r="F250" s="3">
        <v>41946.041666666701</v>
      </c>
      <c r="G250" s="38">
        <f ca="1">TRUNC(YEARFRAC(F250,TODAY(),1))</f>
        <v>11</v>
      </c>
      <c r="H250">
        <f>COUNTIF(BRON!A:A,Tabel6[[#This Row],[Personeelsnummer]])</f>
        <v>1</v>
      </c>
    </row>
    <row r="251" spans="1:8" x14ac:dyDescent="0.25">
      <c r="A251" s="34" t="s">
        <v>4161</v>
      </c>
      <c r="B251" s="34" t="s">
        <v>2741</v>
      </c>
      <c r="C251" s="34" t="s">
        <v>2740</v>
      </c>
      <c r="D251">
        <v>29478</v>
      </c>
      <c r="E251" s="34" t="s">
        <v>3857</v>
      </c>
      <c r="F251" s="3">
        <v>41946.041666666701</v>
      </c>
      <c r="G251" s="38">
        <f ca="1">TRUNC(YEARFRAC(F251,TODAY(),1))</f>
        <v>11</v>
      </c>
      <c r="H251">
        <f>COUNTIF(BRON!A:A,Tabel6[[#This Row],[Personeelsnummer]])</f>
        <v>3</v>
      </c>
    </row>
    <row r="252" spans="1:8" x14ac:dyDescent="0.25">
      <c r="A252" s="34" t="s">
        <v>4162</v>
      </c>
      <c r="B252" s="34" t="s">
        <v>1328</v>
      </c>
      <c r="C252" s="34" t="s">
        <v>1632</v>
      </c>
      <c r="D252">
        <v>29539</v>
      </c>
      <c r="E252" s="34" t="s">
        <v>3859</v>
      </c>
      <c r="F252" s="3">
        <v>41981.041666666701</v>
      </c>
      <c r="G252" s="38">
        <f ca="1">TRUNC(YEARFRAC(F252,TODAY(),1))</f>
        <v>10</v>
      </c>
      <c r="H252">
        <f>COUNTIF(BRON!A:A,Tabel6[[#This Row],[Personeelsnummer]])</f>
        <v>0</v>
      </c>
    </row>
    <row r="253" spans="1:8" x14ac:dyDescent="0.25">
      <c r="A253" s="34" t="s">
        <v>4163</v>
      </c>
      <c r="B253" s="34" t="s">
        <v>2631</v>
      </c>
      <c r="C253" s="34" t="s">
        <v>2634</v>
      </c>
      <c r="D253">
        <v>29540</v>
      </c>
      <c r="E253" s="34" t="s">
        <v>3855</v>
      </c>
      <c r="F253" s="3">
        <v>41981.041666666701</v>
      </c>
      <c r="G253" s="38">
        <f ca="1">TRUNC(YEARFRAC(F253,TODAY(),1))</f>
        <v>10</v>
      </c>
      <c r="H253">
        <f>COUNTIF(BRON!A:A,Tabel6[[#This Row],[Personeelsnummer]])</f>
        <v>1</v>
      </c>
    </row>
    <row r="254" spans="1:8" x14ac:dyDescent="0.25">
      <c r="A254" s="34" t="s">
        <v>4164</v>
      </c>
      <c r="B254" s="34" t="s">
        <v>2111</v>
      </c>
      <c r="C254" s="34" t="s">
        <v>2110</v>
      </c>
      <c r="D254">
        <v>29591</v>
      </c>
      <c r="E254" s="34" t="s">
        <v>3853</v>
      </c>
      <c r="F254" s="3">
        <v>42023.041666666701</v>
      </c>
      <c r="G254" s="38">
        <f ca="1">TRUNC(YEARFRAC(F254,TODAY(),1))</f>
        <v>10</v>
      </c>
      <c r="H254">
        <f>COUNTIF(BRON!A:A,Tabel6[[#This Row],[Personeelsnummer]])</f>
        <v>0</v>
      </c>
    </row>
    <row r="255" spans="1:8" x14ac:dyDescent="0.25">
      <c r="A255" s="34" t="s">
        <v>4165</v>
      </c>
      <c r="B255" s="34" t="s">
        <v>2213</v>
      </c>
      <c r="C255" s="34" t="s">
        <v>2006</v>
      </c>
      <c r="D255">
        <v>29646</v>
      </c>
      <c r="E255" s="34" t="s">
        <v>3859</v>
      </c>
      <c r="F255" s="3">
        <v>42051.041666666701</v>
      </c>
      <c r="G255" s="38">
        <f ca="1">TRUNC(YEARFRAC(F255,TODAY(),1))</f>
        <v>10</v>
      </c>
      <c r="H255">
        <f>COUNTIF(BRON!A:A,Tabel6[[#This Row],[Personeelsnummer]])</f>
        <v>1</v>
      </c>
    </row>
    <row r="256" spans="1:8" x14ac:dyDescent="0.25">
      <c r="A256" s="34" t="s">
        <v>4167</v>
      </c>
      <c r="B256" s="34" t="s">
        <v>3339</v>
      </c>
      <c r="C256" s="34" t="s">
        <v>3338</v>
      </c>
      <c r="D256">
        <v>29746</v>
      </c>
      <c r="E256" s="34" t="s">
        <v>3854</v>
      </c>
      <c r="F256" s="3">
        <v>42093.083333333299</v>
      </c>
      <c r="G256" s="38">
        <f ca="1">TRUNC(YEARFRAC(F256,TODAY(),1))</f>
        <v>10</v>
      </c>
      <c r="H256">
        <f>COUNTIF(BRON!A:A,Tabel6[[#This Row],[Personeelsnummer]])</f>
        <v>3</v>
      </c>
    </row>
    <row r="257" spans="1:8" x14ac:dyDescent="0.25">
      <c r="A257" s="34" t="s">
        <v>4168</v>
      </c>
      <c r="B257" s="34" t="s">
        <v>2502</v>
      </c>
      <c r="C257" s="34" t="s">
        <v>2501</v>
      </c>
      <c r="D257">
        <v>29778</v>
      </c>
      <c r="E257" s="34" t="s">
        <v>3851</v>
      </c>
      <c r="F257" s="3">
        <v>42107.083333333299</v>
      </c>
      <c r="G257" s="38">
        <f ca="1">TRUNC(YEARFRAC(F257,TODAY(),1))</f>
        <v>10</v>
      </c>
      <c r="H257">
        <f>COUNTIF(BRON!A:A,Tabel6[[#This Row],[Personeelsnummer]])</f>
        <v>0</v>
      </c>
    </row>
    <row r="258" spans="1:8" x14ac:dyDescent="0.25">
      <c r="A258" s="34" t="s">
        <v>4169</v>
      </c>
      <c r="B258" s="34" t="s">
        <v>3343</v>
      </c>
      <c r="C258" s="34" t="s">
        <v>3342</v>
      </c>
      <c r="D258">
        <v>29818</v>
      </c>
      <c r="E258" s="34" t="s">
        <v>3859</v>
      </c>
      <c r="F258" s="3">
        <v>42121.083333333299</v>
      </c>
      <c r="G258" s="38">
        <f ca="1">TRUNC(YEARFRAC(F258,TODAY(),1))</f>
        <v>10</v>
      </c>
      <c r="H258">
        <f>COUNTIF(BRON!A:A,Tabel6[[#This Row],[Personeelsnummer]])</f>
        <v>0</v>
      </c>
    </row>
    <row r="259" spans="1:8" x14ac:dyDescent="0.25">
      <c r="A259" s="34" t="s">
        <v>4170</v>
      </c>
      <c r="B259" s="34" t="s">
        <v>2901</v>
      </c>
      <c r="C259" s="34" t="s">
        <v>2900</v>
      </c>
      <c r="D259">
        <v>29821</v>
      </c>
      <c r="E259" s="34" t="s">
        <v>3859</v>
      </c>
      <c r="F259" s="3">
        <v>42121.083333333299</v>
      </c>
      <c r="G259" s="38">
        <f ca="1">TRUNC(YEARFRAC(F259,TODAY(),1))</f>
        <v>10</v>
      </c>
      <c r="H259">
        <f>COUNTIF(BRON!A:A,Tabel6[[#This Row],[Personeelsnummer]])</f>
        <v>1</v>
      </c>
    </row>
    <row r="260" spans="1:8" x14ac:dyDescent="0.25">
      <c r="A260" s="34" t="s">
        <v>4171</v>
      </c>
      <c r="B260" s="34" t="s">
        <v>1550</v>
      </c>
      <c r="C260" s="34" t="s">
        <v>1567</v>
      </c>
      <c r="D260">
        <v>30119</v>
      </c>
      <c r="E260" s="34" t="s">
        <v>3859</v>
      </c>
      <c r="F260" s="3">
        <v>42198.083333333299</v>
      </c>
      <c r="G260" s="38">
        <f ca="1">TRUNC(YEARFRAC(F260,TODAY(),1))</f>
        <v>10</v>
      </c>
      <c r="H260">
        <f>COUNTIF(BRON!A:A,Tabel6[[#This Row],[Personeelsnummer]])</f>
        <v>2</v>
      </c>
    </row>
    <row r="261" spans="1:8" x14ac:dyDescent="0.25">
      <c r="A261" s="34" t="s">
        <v>4172</v>
      </c>
      <c r="B261" s="34" t="s">
        <v>3358</v>
      </c>
      <c r="C261" s="34" t="s">
        <v>3357</v>
      </c>
      <c r="D261">
        <v>30121</v>
      </c>
      <c r="E261" s="34" t="s">
        <v>3853</v>
      </c>
      <c r="F261" s="3">
        <v>42198.083333333299</v>
      </c>
      <c r="G261" s="38">
        <f ca="1">TRUNC(YEARFRAC(F261,TODAY(),1))</f>
        <v>10</v>
      </c>
      <c r="H261">
        <f>COUNTIF(BRON!A:A,Tabel6[[#This Row],[Personeelsnummer]])</f>
        <v>3</v>
      </c>
    </row>
    <row r="262" spans="1:8" x14ac:dyDescent="0.25">
      <c r="A262" s="34" t="s">
        <v>4173</v>
      </c>
      <c r="B262" s="34" t="s">
        <v>2596</v>
      </c>
      <c r="C262" s="34" t="s">
        <v>1940</v>
      </c>
      <c r="D262">
        <v>30271</v>
      </c>
      <c r="E262" s="34" t="s">
        <v>3857</v>
      </c>
      <c r="F262" s="3">
        <v>42268.083333333299</v>
      </c>
      <c r="G262" s="38">
        <f ca="1">TRUNC(YEARFRAC(F262,TODAY(),1))</f>
        <v>10</v>
      </c>
      <c r="H262">
        <f>COUNTIF(BRON!A:A,Tabel6[[#This Row],[Personeelsnummer]])</f>
        <v>1</v>
      </c>
    </row>
    <row r="263" spans="1:8" x14ac:dyDescent="0.25">
      <c r="A263" s="34" t="s">
        <v>4174</v>
      </c>
      <c r="B263" s="34" t="s">
        <v>1718</v>
      </c>
      <c r="C263" s="34" t="s">
        <v>1717</v>
      </c>
      <c r="D263">
        <v>30292</v>
      </c>
      <c r="E263" s="34" t="s">
        <v>3859</v>
      </c>
      <c r="F263" s="3">
        <v>42282.083333333299</v>
      </c>
      <c r="G263" s="38">
        <f ca="1">TRUNC(YEARFRAC(F263,TODAY(),1))</f>
        <v>10</v>
      </c>
      <c r="H263">
        <f>COUNTIF(BRON!A:A,Tabel6[[#This Row],[Personeelsnummer]])</f>
        <v>0</v>
      </c>
    </row>
    <row r="264" spans="1:8" x14ac:dyDescent="0.25">
      <c r="A264" s="34" t="s">
        <v>4175</v>
      </c>
      <c r="B264" s="34" t="s">
        <v>3051</v>
      </c>
      <c r="C264" s="34" t="s">
        <v>3050</v>
      </c>
      <c r="D264">
        <v>30323</v>
      </c>
      <c r="E264" s="34" t="s">
        <v>3854</v>
      </c>
      <c r="F264" s="3">
        <v>42296.083333333299</v>
      </c>
      <c r="G264" s="38">
        <f ca="1">TRUNC(YEARFRAC(F264,TODAY(),1))</f>
        <v>10</v>
      </c>
      <c r="H264">
        <f>COUNTIF(BRON!A:A,Tabel6[[#This Row],[Personeelsnummer]])</f>
        <v>0</v>
      </c>
    </row>
    <row r="265" spans="1:8" x14ac:dyDescent="0.25">
      <c r="A265" s="34" t="s">
        <v>3894</v>
      </c>
      <c r="B265" s="34" t="s">
        <v>2093</v>
      </c>
      <c r="C265" s="34" t="s">
        <v>2018</v>
      </c>
      <c r="D265">
        <v>30623</v>
      </c>
      <c r="E265" s="34" t="s">
        <v>3851</v>
      </c>
      <c r="F265" s="3">
        <v>42429.041666666701</v>
      </c>
      <c r="G265" s="38">
        <f ca="1">TRUNC(YEARFRAC(F265,TODAY(),1))</f>
        <v>9</v>
      </c>
      <c r="H265">
        <f>COUNTIF(BRON!A:A,Tabel6[[#This Row],[Personeelsnummer]])</f>
        <v>2</v>
      </c>
    </row>
    <row r="266" spans="1:8" x14ac:dyDescent="0.25">
      <c r="A266" s="34" t="s">
        <v>4176</v>
      </c>
      <c r="B266" s="34" t="s">
        <v>2562</v>
      </c>
      <c r="C266" s="34" t="s">
        <v>2565</v>
      </c>
      <c r="D266">
        <v>30901</v>
      </c>
      <c r="E266" s="34" t="s">
        <v>3857</v>
      </c>
      <c r="F266" s="3">
        <v>42534.083333333299</v>
      </c>
      <c r="G266" s="38">
        <f ca="1">TRUNC(YEARFRAC(F266,TODAY(),1))</f>
        <v>9</v>
      </c>
      <c r="H266">
        <f>COUNTIF(BRON!A:A,Tabel6[[#This Row],[Personeelsnummer]])</f>
        <v>2</v>
      </c>
    </row>
    <row r="267" spans="1:8" x14ac:dyDescent="0.25">
      <c r="A267" s="34" t="s">
        <v>4177</v>
      </c>
      <c r="B267" s="34" t="s">
        <v>2890</v>
      </c>
      <c r="C267" s="34" t="s">
        <v>2893</v>
      </c>
      <c r="D267">
        <v>30967</v>
      </c>
      <c r="E267" s="34" t="s">
        <v>3859</v>
      </c>
      <c r="F267" s="3">
        <v>42548.083333333299</v>
      </c>
      <c r="G267" s="38">
        <f ca="1">TRUNC(YEARFRAC(F267,TODAY(),1))</f>
        <v>9</v>
      </c>
      <c r="H267">
        <f>COUNTIF(BRON!A:A,Tabel6[[#This Row],[Personeelsnummer]])</f>
        <v>3</v>
      </c>
    </row>
    <row r="268" spans="1:8" x14ac:dyDescent="0.25">
      <c r="A268" s="34" t="s">
        <v>4178</v>
      </c>
      <c r="B268" s="34" t="s">
        <v>4179</v>
      </c>
      <c r="C268" s="34" t="s">
        <v>4180</v>
      </c>
      <c r="D268">
        <v>30988</v>
      </c>
      <c r="E268" s="34" t="s">
        <v>3852</v>
      </c>
      <c r="F268" s="3">
        <v>42553.083333333299</v>
      </c>
      <c r="G268" s="38">
        <f ca="1">TRUNC(YEARFRAC(F268,TODAY(),1))</f>
        <v>9</v>
      </c>
      <c r="H268">
        <f>COUNTIF(BRON!A:A,Tabel6[[#This Row],[Personeelsnummer]])</f>
        <v>0</v>
      </c>
    </row>
    <row r="269" spans="1:8" x14ac:dyDescent="0.25">
      <c r="A269" s="34" t="s">
        <v>4181</v>
      </c>
      <c r="B269" s="34" t="s">
        <v>2619</v>
      </c>
      <c r="C269" s="34" t="s">
        <v>2618</v>
      </c>
      <c r="D269">
        <v>30999</v>
      </c>
      <c r="E269" s="34" t="s">
        <v>3856</v>
      </c>
      <c r="F269" s="3">
        <v>42562.083333333299</v>
      </c>
      <c r="G269" s="38">
        <f ca="1">TRUNC(YEARFRAC(F269,TODAY(),1))</f>
        <v>9</v>
      </c>
      <c r="H269">
        <f>COUNTIF(BRON!A:A,Tabel6[[#This Row],[Personeelsnummer]])</f>
        <v>0</v>
      </c>
    </row>
    <row r="270" spans="1:8" x14ac:dyDescent="0.25">
      <c r="A270" s="34" t="s">
        <v>4182</v>
      </c>
      <c r="B270" s="34" t="s">
        <v>2453</v>
      </c>
      <c r="C270" s="34" t="s">
        <v>2459</v>
      </c>
      <c r="D270">
        <v>31092</v>
      </c>
      <c r="E270" s="34" t="s">
        <v>3855</v>
      </c>
      <c r="F270" s="3">
        <v>42604.083333333299</v>
      </c>
      <c r="G270" s="38">
        <f ca="1">TRUNC(YEARFRAC(F270,TODAY(),1))</f>
        <v>9</v>
      </c>
      <c r="H270">
        <f>COUNTIF(BRON!A:A,Tabel6[[#This Row],[Personeelsnummer]])</f>
        <v>2</v>
      </c>
    </row>
    <row r="271" spans="1:8" x14ac:dyDescent="0.25">
      <c r="A271" s="34" t="s">
        <v>4183</v>
      </c>
      <c r="B271" s="34" t="s">
        <v>2057</v>
      </c>
      <c r="C271" s="34" t="s">
        <v>2056</v>
      </c>
      <c r="D271">
        <v>31111</v>
      </c>
      <c r="E271" s="34" t="s">
        <v>3856</v>
      </c>
      <c r="F271" s="3">
        <v>42604.083333333299</v>
      </c>
      <c r="G271" s="38">
        <f ca="1">TRUNC(YEARFRAC(F271,TODAY(),1))</f>
        <v>9</v>
      </c>
      <c r="H271">
        <f>COUNTIF(BRON!A:A,Tabel6[[#This Row],[Personeelsnummer]])</f>
        <v>2</v>
      </c>
    </row>
    <row r="272" spans="1:8" x14ac:dyDescent="0.25">
      <c r="A272" s="34" t="s">
        <v>4184</v>
      </c>
      <c r="B272" s="34" t="s">
        <v>1343</v>
      </c>
      <c r="C272" s="34" t="s">
        <v>2191</v>
      </c>
      <c r="D272">
        <v>31118</v>
      </c>
      <c r="E272" s="34" t="s">
        <v>3857</v>
      </c>
      <c r="F272" s="3">
        <v>42618.083333333299</v>
      </c>
      <c r="G272" s="38">
        <f ca="1">TRUNC(YEARFRAC(F272,TODAY(),1))</f>
        <v>9</v>
      </c>
      <c r="H272">
        <f>COUNTIF(BRON!A:A,Tabel6[[#This Row],[Personeelsnummer]])</f>
        <v>2</v>
      </c>
    </row>
    <row r="273" spans="1:8" x14ac:dyDescent="0.25">
      <c r="A273" s="34" t="s">
        <v>4185</v>
      </c>
      <c r="B273" s="34" t="s">
        <v>2155</v>
      </c>
      <c r="C273" s="34" t="s">
        <v>2154</v>
      </c>
      <c r="D273">
        <v>31150</v>
      </c>
      <c r="E273" s="34" t="s">
        <v>3851</v>
      </c>
      <c r="F273" s="3">
        <v>42643.083333333299</v>
      </c>
      <c r="G273" s="38">
        <f ca="1">TRUNC(YEARFRAC(F273,TODAY(),1))</f>
        <v>9</v>
      </c>
      <c r="H273">
        <f>COUNTIF(BRON!A:A,Tabel6[[#This Row],[Personeelsnummer]])</f>
        <v>1</v>
      </c>
    </row>
    <row r="274" spans="1:8" x14ac:dyDescent="0.25">
      <c r="A274" s="34" t="s">
        <v>4186</v>
      </c>
      <c r="B274" s="34" t="s">
        <v>1729</v>
      </c>
      <c r="C274" s="34" t="s">
        <v>1728</v>
      </c>
      <c r="D274">
        <v>31165</v>
      </c>
      <c r="E274" s="34" t="s">
        <v>3855</v>
      </c>
      <c r="F274" s="3">
        <v>42646.083333333299</v>
      </c>
      <c r="G274" s="38">
        <f ca="1">TRUNC(YEARFRAC(F274,TODAY(),1))</f>
        <v>9</v>
      </c>
      <c r="H274">
        <f>COUNTIF(BRON!A:A,Tabel6[[#This Row],[Personeelsnummer]])</f>
        <v>2</v>
      </c>
    </row>
    <row r="275" spans="1:8" x14ac:dyDescent="0.25">
      <c r="A275" s="34" t="s">
        <v>4187</v>
      </c>
      <c r="B275" s="34" t="s">
        <v>2972</v>
      </c>
      <c r="C275" s="34" t="s">
        <v>2978</v>
      </c>
      <c r="D275">
        <v>31231</v>
      </c>
      <c r="E275" s="34" t="s">
        <v>3856</v>
      </c>
      <c r="F275" s="3">
        <v>42674.041666666701</v>
      </c>
      <c r="G275" s="38">
        <f ca="1">TRUNC(YEARFRAC(F275,TODAY(),1))</f>
        <v>9</v>
      </c>
      <c r="H275">
        <f>COUNTIF(BRON!A:A,Tabel6[[#This Row],[Personeelsnummer]])</f>
        <v>3</v>
      </c>
    </row>
    <row r="276" spans="1:8" x14ac:dyDescent="0.25">
      <c r="A276" s="34" t="s">
        <v>4188</v>
      </c>
      <c r="B276" s="34" t="s">
        <v>2890</v>
      </c>
      <c r="C276" s="34" t="s">
        <v>2666</v>
      </c>
      <c r="D276">
        <v>31360</v>
      </c>
      <c r="E276" s="34" t="s">
        <v>3859</v>
      </c>
      <c r="F276" s="3">
        <v>42744.041666666701</v>
      </c>
      <c r="G276" s="38">
        <f ca="1">TRUNC(YEARFRAC(F276,TODAY(),1))</f>
        <v>8</v>
      </c>
      <c r="H276">
        <f>COUNTIF(BRON!A:A,Tabel6[[#This Row],[Personeelsnummer]])</f>
        <v>3</v>
      </c>
    </row>
    <row r="277" spans="1:8" x14ac:dyDescent="0.25">
      <c r="A277" s="34" t="s">
        <v>4189</v>
      </c>
      <c r="B277" s="34" t="s">
        <v>1991</v>
      </c>
      <c r="C277" s="34" t="s">
        <v>1997</v>
      </c>
      <c r="D277">
        <v>31361</v>
      </c>
      <c r="E277" s="34" t="s">
        <v>3856</v>
      </c>
      <c r="F277" s="3">
        <v>42751.041666666701</v>
      </c>
      <c r="G277" s="38">
        <f ca="1">TRUNC(YEARFRAC(F277,TODAY(),1))</f>
        <v>8</v>
      </c>
      <c r="H277">
        <f>COUNTIF(BRON!A:A,Tabel6[[#This Row],[Personeelsnummer]])</f>
        <v>0</v>
      </c>
    </row>
    <row r="278" spans="1:8" x14ac:dyDescent="0.25">
      <c r="A278" s="34" t="s">
        <v>4190</v>
      </c>
      <c r="B278" s="34" t="s">
        <v>2074</v>
      </c>
      <c r="C278" s="34" t="s">
        <v>2077</v>
      </c>
      <c r="D278">
        <v>31404</v>
      </c>
      <c r="E278" s="34" t="s">
        <v>3859</v>
      </c>
      <c r="F278" s="3">
        <v>42758.041666666701</v>
      </c>
      <c r="G278" s="38">
        <f ca="1">TRUNC(YEARFRAC(F278,TODAY(),1))</f>
        <v>8</v>
      </c>
      <c r="H278">
        <f>COUNTIF(BRON!A:A,Tabel6[[#This Row],[Personeelsnummer]])</f>
        <v>0</v>
      </c>
    </row>
    <row r="279" spans="1:8" x14ac:dyDescent="0.25">
      <c r="A279" s="34" t="s">
        <v>4191</v>
      </c>
      <c r="B279" s="34" t="s">
        <v>1702</v>
      </c>
      <c r="C279" s="34" t="s">
        <v>1701</v>
      </c>
      <c r="D279">
        <v>31550</v>
      </c>
      <c r="E279" s="34" t="s">
        <v>3859</v>
      </c>
      <c r="F279" s="3">
        <v>42828.083333333299</v>
      </c>
      <c r="G279" s="38">
        <f ca="1">TRUNC(YEARFRAC(F279,TODAY(),1))</f>
        <v>8</v>
      </c>
      <c r="H279">
        <f>COUNTIF(BRON!A:A,Tabel6[[#This Row],[Personeelsnummer]])</f>
        <v>0</v>
      </c>
    </row>
    <row r="280" spans="1:8" x14ac:dyDescent="0.25">
      <c r="A280" s="34" t="s">
        <v>4192</v>
      </c>
      <c r="B280" s="34" t="s">
        <v>1550</v>
      </c>
      <c r="C280" s="34" t="s">
        <v>1563</v>
      </c>
      <c r="D280">
        <v>31600</v>
      </c>
      <c r="E280" s="34" t="s">
        <v>3857</v>
      </c>
      <c r="F280" s="3">
        <v>42843.083333333299</v>
      </c>
      <c r="G280" s="38">
        <f ca="1">TRUNC(YEARFRAC(F280,TODAY(),1))</f>
        <v>8</v>
      </c>
      <c r="H280">
        <f>COUNTIF(BRON!A:A,Tabel6[[#This Row],[Personeelsnummer]])</f>
        <v>2</v>
      </c>
    </row>
    <row r="281" spans="1:8" x14ac:dyDescent="0.25">
      <c r="A281" s="34" t="s">
        <v>4193</v>
      </c>
      <c r="B281" s="34" t="s">
        <v>1861</v>
      </c>
      <c r="C281" s="34" t="s">
        <v>1860</v>
      </c>
      <c r="D281">
        <v>31601</v>
      </c>
      <c r="E281" s="34" t="s">
        <v>3859</v>
      </c>
      <c r="F281" s="3">
        <v>42843.083333333299</v>
      </c>
      <c r="G281" s="38">
        <f ca="1">TRUNC(YEARFRAC(F281,TODAY(),1))</f>
        <v>8</v>
      </c>
      <c r="H281">
        <f>COUNTIF(BRON!A:A,Tabel6[[#This Row],[Personeelsnummer]])</f>
        <v>0</v>
      </c>
    </row>
    <row r="282" spans="1:8" x14ac:dyDescent="0.25">
      <c r="A282" s="34" t="s">
        <v>4194</v>
      </c>
      <c r="B282" s="34" t="s">
        <v>2034</v>
      </c>
      <c r="C282" s="34" t="s">
        <v>2033</v>
      </c>
      <c r="D282">
        <v>31634</v>
      </c>
      <c r="E282" s="34" t="s">
        <v>3856</v>
      </c>
      <c r="F282" s="3">
        <v>42863.083333333299</v>
      </c>
      <c r="G282" s="38">
        <f ca="1">TRUNC(YEARFRAC(F282,TODAY(),1))</f>
        <v>8</v>
      </c>
      <c r="H282">
        <f>COUNTIF(BRON!A:A,Tabel6[[#This Row],[Personeelsnummer]])</f>
        <v>1</v>
      </c>
    </row>
    <row r="283" spans="1:8" x14ac:dyDescent="0.25">
      <c r="A283" s="34" t="s">
        <v>4195</v>
      </c>
      <c r="B283" s="34" t="s">
        <v>2188</v>
      </c>
      <c r="C283" s="34" t="s">
        <v>2187</v>
      </c>
      <c r="D283">
        <v>31635</v>
      </c>
      <c r="E283" s="34" t="s">
        <v>3856</v>
      </c>
      <c r="F283" s="3">
        <v>42863.083333333299</v>
      </c>
      <c r="G283" s="38">
        <f ca="1">TRUNC(YEARFRAC(F283,TODAY(),1))</f>
        <v>8</v>
      </c>
      <c r="H283">
        <f>COUNTIF(BRON!A:A,Tabel6[[#This Row],[Personeelsnummer]])</f>
        <v>2</v>
      </c>
    </row>
    <row r="284" spans="1:8" x14ac:dyDescent="0.25">
      <c r="A284" s="34" t="s">
        <v>4196</v>
      </c>
      <c r="B284" s="34" t="s">
        <v>1341</v>
      </c>
      <c r="C284" s="34" t="s">
        <v>2472</v>
      </c>
      <c r="D284">
        <v>31659</v>
      </c>
      <c r="E284" s="34" t="s">
        <v>3854</v>
      </c>
      <c r="F284" s="3">
        <v>42877.083333333299</v>
      </c>
      <c r="G284" s="38">
        <f ca="1">TRUNC(YEARFRAC(F284,TODAY(),1))</f>
        <v>8</v>
      </c>
      <c r="H284">
        <f>COUNTIF(BRON!A:A,Tabel6[[#This Row],[Personeelsnummer]])</f>
        <v>0</v>
      </c>
    </row>
    <row r="285" spans="1:8" x14ac:dyDescent="0.25">
      <c r="A285" s="34" t="s">
        <v>4197</v>
      </c>
      <c r="B285" s="34" t="s">
        <v>2232</v>
      </c>
      <c r="C285" s="34" t="s">
        <v>2231</v>
      </c>
      <c r="D285">
        <v>31668</v>
      </c>
      <c r="E285" s="34" t="s">
        <v>3859</v>
      </c>
      <c r="F285" s="3">
        <v>42877.083333333299</v>
      </c>
      <c r="G285" s="38">
        <f ca="1">TRUNC(YEARFRAC(F285,TODAY(),1))</f>
        <v>8</v>
      </c>
      <c r="H285">
        <f>COUNTIF(BRON!A:A,Tabel6[[#This Row],[Personeelsnummer]])</f>
        <v>5</v>
      </c>
    </row>
    <row r="286" spans="1:8" x14ac:dyDescent="0.25">
      <c r="A286" s="34" t="s">
        <v>4198</v>
      </c>
      <c r="B286" s="34" t="s">
        <v>2615</v>
      </c>
      <c r="C286" s="34" t="s">
        <v>2614</v>
      </c>
      <c r="D286">
        <v>31689</v>
      </c>
      <c r="E286" s="34" t="s">
        <v>3858</v>
      </c>
      <c r="F286" s="3">
        <v>42892.083333333299</v>
      </c>
      <c r="G286" s="38">
        <f ca="1">TRUNC(YEARFRAC(F286,TODAY(),1))</f>
        <v>8</v>
      </c>
      <c r="H286">
        <f>COUNTIF(BRON!A:A,Tabel6[[#This Row],[Personeelsnummer]])</f>
        <v>1</v>
      </c>
    </row>
    <row r="287" spans="1:8" x14ac:dyDescent="0.25">
      <c r="A287" s="34" t="s">
        <v>4199</v>
      </c>
      <c r="B287" s="34" t="s">
        <v>2284</v>
      </c>
      <c r="C287" s="34" t="s">
        <v>2283</v>
      </c>
      <c r="D287">
        <v>31731</v>
      </c>
      <c r="E287" s="34" t="s">
        <v>3856</v>
      </c>
      <c r="F287" s="3">
        <v>42919.083333333299</v>
      </c>
      <c r="G287" s="38">
        <f ca="1">TRUNC(YEARFRAC(F287,TODAY(),1))</f>
        <v>8</v>
      </c>
      <c r="H287">
        <f>COUNTIF(BRON!A:A,Tabel6[[#This Row],[Personeelsnummer]])</f>
        <v>2</v>
      </c>
    </row>
    <row r="288" spans="1:8" x14ac:dyDescent="0.25">
      <c r="A288" s="34" t="s">
        <v>4200</v>
      </c>
      <c r="B288" s="34" t="s">
        <v>1347</v>
      </c>
      <c r="C288" s="34" t="s">
        <v>2412</v>
      </c>
      <c r="D288">
        <v>31733</v>
      </c>
      <c r="E288" s="34" t="s">
        <v>3859</v>
      </c>
      <c r="F288" s="3">
        <v>42919.083333333299</v>
      </c>
      <c r="G288" s="38">
        <f ca="1">TRUNC(YEARFRAC(F288,TODAY(),1))</f>
        <v>8</v>
      </c>
      <c r="H288">
        <f>COUNTIF(BRON!A:A,Tabel6[[#This Row],[Personeelsnummer]])</f>
        <v>2</v>
      </c>
    </row>
    <row r="289" spans="1:8" x14ac:dyDescent="0.25">
      <c r="A289" s="34" t="s">
        <v>4201</v>
      </c>
      <c r="B289" s="34" t="s">
        <v>1647</v>
      </c>
      <c r="C289" s="34" t="s">
        <v>1650</v>
      </c>
      <c r="D289">
        <v>31776</v>
      </c>
      <c r="E289" s="34" t="s">
        <v>3859</v>
      </c>
      <c r="F289" s="3">
        <v>42933.083333333299</v>
      </c>
      <c r="G289" s="38">
        <f ca="1">TRUNC(YEARFRAC(F289,TODAY(),1))</f>
        <v>8</v>
      </c>
      <c r="H289">
        <f>COUNTIF(BRON!A:A,Tabel6[[#This Row],[Personeelsnummer]])</f>
        <v>1</v>
      </c>
    </row>
    <row r="290" spans="1:8" x14ac:dyDescent="0.25">
      <c r="A290" s="34" t="s">
        <v>4203</v>
      </c>
      <c r="B290" s="34" t="s">
        <v>2737</v>
      </c>
      <c r="C290" s="34" t="s">
        <v>2736</v>
      </c>
      <c r="D290">
        <v>32002</v>
      </c>
      <c r="E290" s="34" t="s">
        <v>3858</v>
      </c>
      <c r="F290" s="3">
        <v>42989.083333333299</v>
      </c>
      <c r="G290" s="38">
        <f ca="1">TRUNC(YEARFRAC(F290,TODAY(),1))</f>
        <v>8</v>
      </c>
      <c r="H290">
        <f>COUNTIF(BRON!A:A,Tabel6[[#This Row],[Personeelsnummer]])</f>
        <v>2</v>
      </c>
    </row>
    <row r="291" spans="1:8" x14ac:dyDescent="0.25">
      <c r="A291" s="34" t="s">
        <v>4204</v>
      </c>
      <c r="B291" s="34" t="s">
        <v>2940</v>
      </c>
      <c r="C291" s="34" t="s">
        <v>2939</v>
      </c>
      <c r="D291">
        <v>32091</v>
      </c>
      <c r="E291" s="34" t="s">
        <v>3851</v>
      </c>
      <c r="F291" s="3">
        <v>43003.083333333299</v>
      </c>
      <c r="G291" s="38">
        <f ca="1">TRUNC(YEARFRAC(F291,TODAY(),1))</f>
        <v>8</v>
      </c>
      <c r="H291">
        <f>COUNTIF(BRON!A:A,Tabel6[[#This Row],[Personeelsnummer]])</f>
        <v>1</v>
      </c>
    </row>
    <row r="292" spans="1:8" x14ac:dyDescent="0.25">
      <c r="A292" s="34" t="s">
        <v>4205</v>
      </c>
      <c r="B292" s="34" t="s">
        <v>1571</v>
      </c>
      <c r="C292" s="34" t="s">
        <v>1570</v>
      </c>
      <c r="D292">
        <v>32092</v>
      </c>
      <c r="E292" s="34" t="s">
        <v>3854</v>
      </c>
      <c r="F292" s="3">
        <v>43003.083333333299</v>
      </c>
      <c r="G292" s="38">
        <f ca="1">TRUNC(YEARFRAC(F292,TODAY(),1))</f>
        <v>8</v>
      </c>
      <c r="H292">
        <f>COUNTIF(BRON!A:A,Tabel6[[#This Row],[Personeelsnummer]])</f>
        <v>0</v>
      </c>
    </row>
    <row r="293" spans="1:8" x14ac:dyDescent="0.25">
      <c r="A293" s="34" t="s">
        <v>4206</v>
      </c>
      <c r="B293" s="34" t="s">
        <v>1377</v>
      </c>
      <c r="C293" s="34" t="s">
        <v>1376</v>
      </c>
      <c r="D293">
        <v>32168</v>
      </c>
      <c r="E293" s="34" t="s">
        <v>3851</v>
      </c>
      <c r="F293" s="3">
        <v>43045.041666666701</v>
      </c>
      <c r="G293" s="38">
        <f ca="1">TRUNC(YEARFRAC(F293,TODAY(),1))</f>
        <v>8</v>
      </c>
      <c r="H293">
        <f>COUNTIF(BRON!A:A,Tabel6[[#This Row],[Personeelsnummer]])</f>
        <v>1</v>
      </c>
    </row>
    <row r="294" spans="1:8" x14ac:dyDescent="0.25">
      <c r="A294" s="34" t="s">
        <v>4207</v>
      </c>
      <c r="B294" s="34" t="s">
        <v>1899</v>
      </c>
      <c r="C294" s="34" t="s">
        <v>1898</v>
      </c>
      <c r="D294">
        <v>32169</v>
      </c>
      <c r="E294" s="34" t="s">
        <v>3858</v>
      </c>
      <c r="F294" s="3">
        <v>43031.083333333299</v>
      </c>
      <c r="G294" s="38">
        <f ca="1">TRUNC(YEARFRAC(F294,TODAY(),1))</f>
        <v>8</v>
      </c>
      <c r="H294">
        <f>COUNTIF(BRON!A:A,Tabel6[[#This Row],[Personeelsnummer]])</f>
        <v>0</v>
      </c>
    </row>
    <row r="295" spans="1:8" x14ac:dyDescent="0.25">
      <c r="A295" s="34" t="s">
        <v>4208</v>
      </c>
      <c r="B295" s="34" t="s">
        <v>3236</v>
      </c>
      <c r="C295" s="34" t="s">
        <v>3235</v>
      </c>
      <c r="D295">
        <v>32245</v>
      </c>
      <c r="E295" s="34" t="s">
        <v>3856</v>
      </c>
      <c r="F295" s="3">
        <v>43073.041666666701</v>
      </c>
      <c r="G295" s="38">
        <f ca="1">TRUNC(YEARFRAC(F295,TODAY(),1))</f>
        <v>8</v>
      </c>
      <c r="H295">
        <f>COUNTIF(BRON!A:A,Tabel6[[#This Row],[Personeelsnummer]])</f>
        <v>2</v>
      </c>
    </row>
    <row r="296" spans="1:8" x14ac:dyDescent="0.25">
      <c r="A296" s="34" t="s">
        <v>4209</v>
      </c>
      <c r="B296" s="34" t="s">
        <v>1960</v>
      </c>
      <c r="C296" s="34" t="s">
        <v>1967</v>
      </c>
      <c r="D296">
        <v>32369</v>
      </c>
      <c r="E296" s="34" t="s">
        <v>3856</v>
      </c>
      <c r="F296" s="3">
        <v>43108.041666666701</v>
      </c>
      <c r="G296" s="38">
        <f ca="1">TRUNC(YEARFRAC(F296,TODAY(),1))</f>
        <v>7</v>
      </c>
      <c r="H296">
        <f>COUNTIF(BRON!A:A,Tabel6[[#This Row],[Personeelsnummer]])</f>
        <v>1</v>
      </c>
    </row>
    <row r="297" spans="1:8" x14ac:dyDescent="0.25">
      <c r="A297" s="34" t="s">
        <v>4210</v>
      </c>
      <c r="B297" s="34" t="s">
        <v>2725</v>
      </c>
      <c r="C297" s="34" t="s">
        <v>2724</v>
      </c>
      <c r="D297">
        <v>32387</v>
      </c>
      <c r="E297" s="34" t="s">
        <v>3858</v>
      </c>
      <c r="F297" s="3">
        <v>43108.041666666701</v>
      </c>
      <c r="G297" s="38">
        <f ca="1">TRUNC(YEARFRAC(F297,TODAY(),1))</f>
        <v>7</v>
      </c>
      <c r="H297">
        <f>COUNTIF(BRON!A:A,Tabel6[[#This Row],[Personeelsnummer]])</f>
        <v>4</v>
      </c>
    </row>
    <row r="298" spans="1:8" x14ac:dyDescent="0.25">
      <c r="A298" s="34" t="s">
        <v>4211</v>
      </c>
      <c r="B298" s="34" t="s">
        <v>1714</v>
      </c>
      <c r="C298" s="34" t="s">
        <v>1713</v>
      </c>
      <c r="D298">
        <v>32458</v>
      </c>
      <c r="E298" s="34" t="s">
        <v>3857</v>
      </c>
      <c r="F298" s="3">
        <v>43150.041666666701</v>
      </c>
      <c r="G298" s="38">
        <f ca="1">TRUNC(YEARFRAC(F298,TODAY(),1))</f>
        <v>7</v>
      </c>
      <c r="H298">
        <f>COUNTIF(BRON!A:A,Tabel6[[#This Row],[Personeelsnummer]])</f>
        <v>0</v>
      </c>
    </row>
    <row r="299" spans="1:8" x14ac:dyDescent="0.25">
      <c r="A299" s="34" t="s">
        <v>4212</v>
      </c>
      <c r="B299" s="34" t="s">
        <v>3465</v>
      </c>
      <c r="C299" s="34" t="s">
        <v>3464</v>
      </c>
      <c r="D299">
        <v>32528</v>
      </c>
      <c r="E299" s="34" t="s">
        <v>3858</v>
      </c>
      <c r="F299" s="3">
        <v>43164.041666666701</v>
      </c>
      <c r="G299" s="38">
        <f ca="1">TRUNC(YEARFRAC(F299,TODAY(),1))</f>
        <v>7</v>
      </c>
      <c r="H299">
        <f>COUNTIF(BRON!A:A,Tabel6[[#This Row],[Personeelsnummer]])</f>
        <v>2</v>
      </c>
    </row>
    <row r="300" spans="1:8" x14ac:dyDescent="0.25">
      <c r="A300" s="34" t="s">
        <v>4213</v>
      </c>
      <c r="B300" s="34" t="s">
        <v>2462</v>
      </c>
      <c r="C300" s="34" t="s">
        <v>2468</v>
      </c>
      <c r="D300">
        <v>32542</v>
      </c>
      <c r="E300" s="34" t="s">
        <v>3859</v>
      </c>
      <c r="F300" s="3">
        <v>43150.041666666701</v>
      </c>
      <c r="G300" s="38">
        <f ca="1">TRUNC(YEARFRAC(F300,TODAY(),1))</f>
        <v>7</v>
      </c>
      <c r="H300">
        <f>COUNTIF(BRON!A:A,Tabel6[[#This Row],[Personeelsnummer]])</f>
        <v>2</v>
      </c>
    </row>
    <row r="301" spans="1:8" x14ac:dyDescent="0.25">
      <c r="A301" s="34" t="s">
        <v>4214</v>
      </c>
      <c r="B301" s="34" t="s">
        <v>2007</v>
      </c>
      <c r="C301" s="34" t="s">
        <v>2006</v>
      </c>
      <c r="D301">
        <v>32611</v>
      </c>
      <c r="E301" s="34" t="s">
        <v>3851</v>
      </c>
      <c r="F301" s="3">
        <v>43178.041666666701</v>
      </c>
      <c r="G301" s="38">
        <f ca="1">TRUNC(YEARFRAC(F301,TODAY(),1))</f>
        <v>7</v>
      </c>
      <c r="H301">
        <f>COUNTIF(BRON!A:A,Tabel6[[#This Row],[Personeelsnummer]])</f>
        <v>2</v>
      </c>
    </row>
    <row r="302" spans="1:8" x14ac:dyDescent="0.25">
      <c r="A302" s="34" t="s">
        <v>4215</v>
      </c>
      <c r="B302" s="34" t="s">
        <v>2964</v>
      </c>
      <c r="C302" s="34" t="s">
        <v>2963</v>
      </c>
      <c r="D302">
        <v>32620</v>
      </c>
      <c r="E302" s="34" t="s">
        <v>3856</v>
      </c>
      <c r="F302" s="3">
        <v>43193.083333333299</v>
      </c>
      <c r="G302" s="38">
        <f ca="1">TRUNC(YEARFRAC(F302,TODAY(),1))</f>
        <v>7</v>
      </c>
      <c r="H302">
        <f>COUNTIF(BRON!A:A,Tabel6[[#This Row],[Personeelsnummer]])</f>
        <v>3</v>
      </c>
    </row>
    <row r="303" spans="1:8" x14ac:dyDescent="0.25">
      <c r="A303" s="34" t="s">
        <v>4216</v>
      </c>
      <c r="B303" s="34" t="s">
        <v>1674</v>
      </c>
      <c r="C303" s="34" t="s">
        <v>1673</v>
      </c>
      <c r="D303">
        <v>32951</v>
      </c>
      <c r="E303" s="34" t="s">
        <v>3855</v>
      </c>
      <c r="F303" s="3">
        <v>43304.083333333299</v>
      </c>
      <c r="G303" s="38">
        <f ca="1">TRUNC(YEARFRAC(F303,TODAY(),1))</f>
        <v>7</v>
      </c>
      <c r="H303">
        <f>COUNTIF(BRON!A:A,Tabel6[[#This Row],[Personeelsnummer]])</f>
        <v>6</v>
      </c>
    </row>
    <row r="304" spans="1:8" x14ac:dyDescent="0.25">
      <c r="A304" s="34" t="s">
        <v>4217</v>
      </c>
      <c r="B304" s="34" t="s">
        <v>3015</v>
      </c>
      <c r="C304" s="34" t="s">
        <v>3024</v>
      </c>
      <c r="D304">
        <v>33049</v>
      </c>
      <c r="E304" s="34" t="s">
        <v>3851</v>
      </c>
      <c r="F304" s="3">
        <v>43318.083333333299</v>
      </c>
      <c r="G304" s="38">
        <f ca="1">TRUNC(YEARFRAC(F304,TODAY(),1))</f>
        <v>7</v>
      </c>
      <c r="H304">
        <f>COUNTIF(BRON!A:A,Tabel6[[#This Row],[Personeelsnummer]])</f>
        <v>0</v>
      </c>
    </row>
    <row r="305" spans="1:8" x14ac:dyDescent="0.25">
      <c r="A305" s="34" t="s">
        <v>4219</v>
      </c>
      <c r="B305" s="34" t="s">
        <v>3116</v>
      </c>
      <c r="C305" s="34" t="s">
        <v>3115</v>
      </c>
      <c r="D305">
        <v>33400</v>
      </c>
      <c r="E305" s="34" t="s">
        <v>3853</v>
      </c>
      <c r="F305" s="3">
        <v>43444.041666666701</v>
      </c>
      <c r="G305" s="38">
        <f ca="1">TRUNC(YEARFRAC(F305,TODAY(),1))</f>
        <v>6</v>
      </c>
      <c r="H305">
        <f>COUNTIF(BRON!A:A,Tabel6[[#This Row],[Personeelsnummer]])</f>
        <v>3</v>
      </c>
    </row>
    <row r="306" spans="1:8" x14ac:dyDescent="0.25">
      <c r="A306" s="34" t="s">
        <v>4220</v>
      </c>
      <c r="B306" s="34" t="s">
        <v>3151</v>
      </c>
      <c r="C306" s="34" t="s">
        <v>3150</v>
      </c>
      <c r="D306">
        <v>33450</v>
      </c>
      <c r="E306" s="34" t="s">
        <v>3851</v>
      </c>
      <c r="F306" s="3">
        <v>43472.041666666701</v>
      </c>
      <c r="G306" s="38">
        <f ca="1">TRUNC(YEARFRAC(F306,TODAY(),1))</f>
        <v>6</v>
      </c>
      <c r="H306">
        <f>COUNTIF(BRON!A:A,Tabel6[[#This Row],[Personeelsnummer]])</f>
        <v>2</v>
      </c>
    </row>
    <row r="307" spans="1:8" x14ac:dyDescent="0.25">
      <c r="A307" s="34" t="s">
        <v>4221</v>
      </c>
      <c r="B307" s="34" t="s">
        <v>1956</v>
      </c>
      <c r="C307" s="34" t="s">
        <v>1955</v>
      </c>
      <c r="D307">
        <v>33488</v>
      </c>
      <c r="E307" s="34" t="s">
        <v>3856</v>
      </c>
      <c r="F307" s="3">
        <v>43486.041666666701</v>
      </c>
      <c r="G307" s="38">
        <f ca="1">TRUNC(YEARFRAC(F307,TODAY(),1))</f>
        <v>6</v>
      </c>
      <c r="H307">
        <f>COUNTIF(BRON!A:A,Tabel6[[#This Row],[Personeelsnummer]])</f>
        <v>2</v>
      </c>
    </row>
    <row r="308" spans="1:8" x14ac:dyDescent="0.25">
      <c r="A308" s="34" t="s">
        <v>4223</v>
      </c>
      <c r="B308" s="34" t="s">
        <v>2241</v>
      </c>
      <c r="C308" s="34" t="s">
        <v>2240</v>
      </c>
      <c r="D308">
        <v>33600</v>
      </c>
      <c r="E308" s="34" t="s">
        <v>3851</v>
      </c>
      <c r="F308" s="3">
        <v>43514.041666666701</v>
      </c>
      <c r="G308" s="38">
        <f ca="1">TRUNC(YEARFRAC(F308,TODAY(),1))</f>
        <v>6</v>
      </c>
      <c r="H308">
        <f>COUNTIF(BRON!A:A,Tabel6[[#This Row],[Personeelsnummer]])</f>
        <v>0</v>
      </c>
    </row>
    <row r="309" spans="1:8" x14ac:dyDescent="0.25">
      <c r="A309" s="34" t="s">
        <v>4224</v>
      </c>
      <c r="B309" s="34" t="s">
        <v>1528</v>
      </c>
      <c r="C309" s="34" t="s">
        <v>1527</v>
      </c>
      <c r="D309">
        <v>33639</v>
      </c>
      <c r="E309" s="34" t="s">
        <v>3855</v>
      </c>
      <c r="F309" s="3">
        <v>43528.041666666701</v>
      </c>
      <c r="G309" s="38">
        <f ca="1">TRUNC(YEARFRAC(F309,TODAY(),1))</f>
        <v>6</v>
      </c>
      <c r="H309">
        <f>COUNTIF(BRON!A:A,Tabel6[[#This Row],[Personeelsnummer]])</f>
        <v>0</v>
      </c>
    </row>
    <row r="310" spans="1:8" x14ac:dyDescent="0.25">
      <c r="A310" s="34" t="s">
        <v>4225</v>
      </c>
      <c r="B310" s="34" t="s">
        <v>1960</v>
      </c>
      <c r="C310" s="34" t="s">
        <v>1964</v>
      </c>
      <c r="D310">
        <v>33640</v>
      </c>
      <c r="E310" s="34" t="s">
        <v>3858</v>
      </c>
      <c r="F310" s="3">
        <v>43528.041666666701</v>
      </c>
      <c r="G310" s="38">
        <f ca="1">TRUNC(YEARFRAC(F310,TODAY(),1))</f>
        <v>6</v>
      </c>
      <c r="H310">
        <f>COUNTIF(BRON!A:A,Tabel6[[#This Row],[Personeelsnummer]])</f>
        <v>1</v>
      </c>
    </row>
    <row r="311" spans="1:8" x14ac:dyDescent="0.25">
      <c r="A311" s="34" t="s">
        <v>4226</v>
      </c>
      <c r="B311" s="34" t="s">
        <v>3092</v>
      </c>
      <c r="C311" s="34" t="s">
        <v>3095</v>
      </c>
      <c r="D311">
        <v>33698</v>
      </c>
      <c r="E311" s="34" t="s">
        <v>3858</v>
      </c>
      <c r="F311" s="3">
        <v>43542.041666666701</v>
      </c>
      <c r="G311" s="38">
        <f ca="1">TRUNC(YEARFRAC(F311,TODAY(),1))</f>
        <v>6</v>
      </c>
      <c r="H311">
        <f>COUNTIF(BRON!A:A,Tabel6[[#This Row],[Personeelsnummer]])</f>
        <v>0</v>
      </c>
    </row>
    <row r="312" spans="1:8" x14ac:dyDescent="0.25">
      <c r="A312" s="34" t="s">
        <v>4227</v>
      </c>
      <c r="B312" s="34" t="s">
        <v>2706</v>
      </c>
      <c r="C312" s="34" t="s">
        <v>2709</v>
      </c>
      <c r="D312">
        <v>33757</v>
      </c>
      <c r="E312" s="34" t="s">
        <v>3858</v>
      </c>
      <c r="F312" s="3">
        <v>43556.083333333299</v>
      </c>
      <c r="G312" s="38">
        <f ca="1">TRUNC(YEARFRAC(F312,TODAY(),1))</f>
        <v>6</v>
      </c>
      <c r="H312">
        <f>COUNTIF(BRON!A:A,Tabel6[[#This Row],[Personeelsnummer]])</f>
        <v>0</v>
      </c>
    </row>
    <row r="313" spans="1:8" x14ac:dyDescent="0.25">
      <c r="A313" s="34" t="s">
        <v>4228</v>
      </c>
      <c r="B313" s="34" t="s">
        <v>1349</v>
      </c>
      <c r="C313" s="34" t="s">
        <v>1585</v>
      </c>
      <c r="D313">
        <v>33982</v>
      </c>
      <c r="E313" s="34" t="s">
        <v>3857</v>
      </c>
      <c r="F313" s="3">
        <v>43605.083333333299</v>
      </c>
      <c r="G313" s="38">
        <f ca="1">TRUNC(YEARFRAC(F313,TODAY(),1))</f>
        <v>6</v>
      </c>
      <c r="H313">
        <f>COUNTIF(BRON!A:A,Tabel6[[#This Row],[Personeelsnummer]])</f>
        <v>0</v>
      </c>
    </row>
    <row r="314" spans="1:8" x14ac:dyDescent="0.25">
      <c r="A314" s="34" t="s">
        <v>4229</v>
      </c>
      <c r="B314" s="34" t="s">
        <v>2125</v>
      </c>
      <c r="C314" s="34" t="s">
        <v>2124</v>
      </c>
      <c r="D314">
        <v>33986</v>
      </c>
      <c r="E314" s="34" t="s">
        <v>3851</v>
      </c>
      <c r="F314" s="3">
        <v>43605.083333333299</v>
      </c>
      <c r="G314" s="38">
        <f ca="1">TRUNC(YEARFRAC(F314,TODAY(),1))</f>
        <v>6</v>
      </c>
      <c r="H314">
        <f>COUNTIF(BRON!A:A,Tabel6[[#This Row],[Personeelsnummer]])</f>
        <v>4</v>
      </c>
    </row>
    <row r="315" spans="1:8" x14ac:dyDescent="0.25">
      <c r="A315" s="34" t="s">
        <v>4230</v>
      </c>
      <c r="B315" s="34" t="s">
        <v>1550</v>
      </c>
      <c r="C315" s="34" t="s">
        <v>1560</v>
      </c>
      <c r="D315">
        <v>34019</v>
      </c>
      <c r="E315" s="34" t="s">
        <v>3853</v>
      </c>
      <c r="F315" s="3">
        <v>43627.083333333299</v>
      </c>
      <c r="G315" s="38">
        <f ca="1">TRUNC(YEARFRAC(F315,TODAY(),1))</f>
        <v>6</v>
      </c>
      <c r="H315">
        <f>COUNTIF(BRON!A:A,Tabel6[[#This Row],[Personeelsnummer]])</f>
        <v>1</v>
      </c>
    </row>
    <row r="316" spans="1:8" x14ac:dyDescent="0.25">
      <c r="A316" s="34" t="s">
        <v>4231</v>
      </c>
      <c r="B316" s="34" t="s">
        <v>2453</v>
      </c>
      <c r="C316" s="34" t="s">
        <v>2456</v>
      </c>
      <c r="D316">
        <v>34044</v>
      </c>
      <c r="E316" s="34" t="s">
        <v>3853</v>
      </c>
      <c r="F316" s="3">
        <v>43640.083333333299</v>
      </c>
      <c r="G316" s="38">
        <f ca="1">TRUNC(YEARFRAC(F316,TODAY(),1))</f>
        <v>6</v>
      </c>
      <c r="H316">
        <f>COUNTIF(BRON!A:A,Tabel6[[#This Row],[Personeelsnummer]])</f>
        <v>2</v>
      </c>
    </row>
    <row r="317" spans="1:8" x14ac:dyDescent="0.25">
      <c r="A317" s="34" t="s">
        <v>4232</v>
      </c>
      <c r="B317" s="34" t="s">
        <v>1575</v>
      </c>
      <c r="C317" s="34" t="s">
        <v>1574</v>
      </c>
      <c r="D317">
        <v>34198</v>
      </c>
      <c r="E317" s="34" t="s">
        <v>3856</v>
      </c>
      <c r="F317" s="3">
        <v>43669.083333333299</v>
      </c>
      <c r="G317" s="38">
        <f ca="1">TRUNC(YEARFRAC(F317,TODAY(),1))</f>
        <v>6</v>
      </c>
      <c r="H317">
        <f>COUNTIF(BRON!A:A,Tabel6[[#This Row],[Personeelsnummer]])</f>
        <v>2</v>
      </c>
    </row>
    <row r="318" spans="1:8" x14ac:dyDescent="0.25">
      <c r="A318" s="34" t="s">
        <v>4233</v>
      </c>
      <c r="B318" s="34" t="s">
        <v>2141</v>
      </c>
      <c r="C318" s="34" t="s">
        <v>2140</v>
      </c>
      <c r="D318">
        <v>34286</v>
      </c>
      <c r="E318" s="34" t="s">
        <v>3858</v>
      </c>
      <c r="F318" s="3">
        <v>43724.083333333299</v>
      </c>
      <c r="G318" s="38">
        <f ca="1">TRUNC(YEARFRAC(F318,TODAY(),1))</f>
        <v>6</v>
      </c>
      <c r="H318">
        <f>COUNTIF(BRON!A:A,Tabel6[[#This Row],[Personeelsnummer]])</f>
        <v>2</v>
      </c>
    </row>
    <row r="319" spans="1:8" x14ac:dyDescent="0.25">
      <c r="A319" s="34" t="s">
        <v>4234</v>
      </c>
      <c r="B319" s="34" t="s">
        <v>2766</v>
      </c>
      <c r="C319" s="34" t="s">
        <v>2765</v>
      </c>
      <c r="D319">
        <v>34312</v>
      </c>
      <c r="E319" s="34" t="s">
        <v>3858</v>
      </c>
      <c r="F319" s="3">
        <v>43710.083333333299</v>
      </c>
      <c r="G319" s="38">
        <f ca="1">TRUNC(YEARFRAC(F319,TODAY(),1))</f>
        <v>6</v>
      </c>
      <c r="H319">
        <f>COUNTIF(BRON!A:A,Tabel6[[#This Row],[Personeelsnummer]])</f>
        <v>0</v>
      </c>
    </row>
    <row r="320" spans="1:8" x14ac:dyDescent="0.25">
      <c r="A320" s="34" t="s">
        <v>4236</v>
      </c>
      <c r="B320" s="34" t="s">
        <v>2531</v>
      </c>
      <c r="C320" s="34" t="s">
        <v>2530</v>
      </c>
      <c r="D320">
        <v>34328</v>
      </c>
      <c r="E320" s="34" t="s">
        <v>3851</v>
      </c>
      <c r="F320" s="3">
        <v>43710.083333333299</v>
      </c>
      <c r="G320" s="38">
        <f ca="1">TRUNC(YEARFRAC(F320,TODAY(),1))</f>
        <v>6</v>
      </c>
      <c r="H320">
        <f>COUNTIF(BRON!A:A,Tabel6[[#This Row],[Personeelsnummer]])</f>
        <v>4</v>
      </c>
    </row>
    <row r="321" spans="1:8" x14ac:dyDescent="0.25">
      <c r="A321" s="34" t="s">
        <v>4237</v>
      </c>
      <c r="B321" s="34" t="s">
        <v>3038</v>
      </c>
      <c r="C321" s="34" t="s">
        <v>3037</v>
      </c>
      <c r="D321">
        <v>34351</v>
      </c>
      <c r="E321" s="34" t="s">
        <v>3856</v>
      </c>
      <c r="F321" s="3">
        <v>43710.083333333299</v>
      </c>
      <c r="G321" s="38">
        <f ca="1">TRUNC(YEARFRAC(F321,TODAY(),1))</f>
        <v>6</v>
      </c>
      <c r="H321">
        <f>COUNTIF(BRON!A:A,Tabel6[[#This Row],[Personeelsnummer]])</f>
        <v>3</v>
      </c>
    </row>
    <row r="322" spans="1:8" x14ac:dyDescent="0.25">
      <c r="A322" s="34" t="s">
        <v>4238</v>
      </c>
      <c r="B322" s="34" t="s">
        <v>549</v>
      </c>
      <c r="C322" s="34" t="s">
        <v>1439</v>
      </c>
      <c r="D322">
        <v>34385</v>
      </c>
      <c r="E322" s="34" t="s">
        <v>3852</v>
      </c>
      <c r="F322" s="3">
        <v>43697.083333333299</v>
      </c>
      <c r="G322" s="38">
        <f ca="1">TRUNC(YEARFRAC(F322,TODAY(),1))</f>
        <v>6</v>
      </c>
      <c r="H322">
        <f>COUNTIF(BRON!A:A,Tabel6[[#This Row],[Personeelsnummer]])</f>
        <v>1</v>
      </c>
    </row>
    <row r="323" spans="1:8" x14ac:dyDescent="0.25">
      <c r="A323" s="34" t="s">
        <v>4239</v>
      </c>
      <c r="B323" s="34" t="s">
        <v>2683</v>
      </c>
      <c r="C323" s="34" t="s">
        <v>2682</v>
      </c>
      <c r="D323">
        <v>34445</v>
      </c>
      <c r="E323" s="34" t="s">
        <v>3859</v>
      </c>
      <c r="F323" s="3">
        <v>43752.083333333299</v>
      </c>
      <c r="G323" s="38">
        <f ca="1">TRUNC(YEARFRAC(F323,TODAY(),1))</f>
        <v>6</v>
      </c>
      <c r="H323">
        <f>COUNTIF(BRON!A:A,Tabel6[[#This Row],[Personeelsnummer]])</f>
        <v>5</v>
      </c>
    </row>
    <row r="324" spans="1:8" x14ac:dyDescent="0.25">
      <c r="A324" s="34" t="s">
        <v>4240</v>
      </c>
      <c r="B324" s="34" t="s">
        <v>2462</v>
      </c>
      <c r="C324" s="34" t="s">
        <v>2465</v>
      </c>
      <c r="D324">
        <v>34664</v>
      </c>
      <c r="E324" s="34" t="s">
        <v>3858</v>
      </c>
      <c r="F324" s="3">
        <v>43781.041666666701</v>
      </c>
      <c r="G324" s="38">
        <f ca="1">TRUNC(YEARFRAC(F324,TODAY(),1))</f>
        <v>6</v>
      </c>
      <c r="H324">
        <f>COUNTIF(BRON!A:A,Tabel6[[#This Row],[Personeelsnummer]])</f>
        <v>0</v>
      </c>
    </row>
    <row r="325" spans="1:8" x14ac:dyDescent="0.25">
      <c r="A325" s="34" t="s">
        <v>4241</v>
      </c>
      <c r="B325" s="34" t="s">
        <v>2093</v>
      </c>
      <c r="C325" s="34" t="s">
        <v>2102</v>
      </c>
      <c r="D325">
        <v>35005</v>
      </c>
      <c r="E325" s="34" t="s">
        <v>3854</v>
      </c>
      <c r="F325" s="3">
        <v>43850.041666666701</v>
      </c>
      <c r="G325" s="38">
        <f ca="1">TRUNC(YEARFRAC(F325,TODAY(),1))</f>
        <v>5</v>
      </c>
      <c r="H325">
        <f>COUNTIF(BRON!A:A,Tabel6[[#This Row],[Personeelsnummer]])</f>
        <v>0</v>
      </c>
    </row>
    <row r="326" spans="1:8" x14ac:dyDescent="0.25">
      <c r="A326" s="34" t="s">
        <v>4242</v>
      </c>
      <c r="B326" s="34" t="s">
        <v>1407</v>
      </c>
      <c r="C326" s="34" t="s">
        <v>1406</v>
      </c>
      <c r="D326">
        <v>35006</v>
      </c>
      <c r="E326" s="34" t="s">
        <v>3851</v>
      </c>
      <c r="F326" s="3">
        <v>43906.041666666701</v>
      </c>
      <c r="G326" s="38">
        <f ca="1">TRUNC(YEARFRAC(F326,TODAY(),1))</f>
        <v>5</v>
      </c>
      <c r="H326">
        <f>COUNTIF(BRON!A:A,Tabel6[[#This Row],[Personeelsnummer]])</f>
        <v>1</v>
      </c>
    </row>
    <row r="327" spans="1:8" x14ac:dyDescent="0.25">
      <c r="A327" s="34" t="s">
        <v>4243</v>
      </c>
      <c r="B327" s="34" t="s">
        <v>1821</v>
      </c>
      <c r="C327" s="34" t="s">
        <v>1820</v>
      </c>
      <c r="D327">
        <v>35026</v>
      </c>
      <c r="E327" s="34" t="s">
        <v>3858</v>
      </c>
      <c r="F327" s="3">
        <v>43850.041666666701</v>
      </c>
      <c r="G327" s="38">
        <f ca="1">TRUNC(YEARFRAC(F327,TODAY(),1))</f>
        <v>5</v>
      </c>
      <c r="H327">
        <f>COUNTIF(BRON!A:A,Tabel6[[#This Row],[Personeelsnummer]])</f>
        <v>0</v>
      </c>
    </row>
    <row r="328" spans="1:8" x14ac:dyDescent="0.25">
      <c r="A328" s="34" t="s">
        <v>4244</v>
      </c>
      <c r="B328" s="34" t="s">
        <v>1452</v>
      </c>
      <c r="C328" s="34" t="s">
        <v>1470</v>
      </c>
      <c r="D328">
        <v>35030</v>
      </c>
      <c r="E328" s="34" t="s">
        <v>3855</v>
      </c>
      <c r="F328" s="3">
        <v>43892.041666666701</v>
      </c>
      <c r="G328" s="38">
        <f ca="1">TRUNC(YEARFRAC(F328,TODAY(),1))</f>
        <v>5</v>
      </c>
      <c r="H328">
        <f>COUNTIF(BRON!A:A,Tabel6[[#This Row],[Personeelsnummer]])</f>
        <v>0</v>
      </c>
    </row>
    <row r="329" spans="1:8" x14ac:dyDescent="0.25">
      <c r="A329" s="34" t="s">
        <v>4245</v>
      </c>
      <c r="B329" s="34" t="s">
        <v>3442</v>
      </c>
      <c r="C329" s="34" t="s">
        <v>3441</v>
      </c>
      <c r="D329">
        <v>35055</v>
      </c>
      <c r="E329" s="34" t="s">
        <v>3856</v>
      </c>
      <c r="F329" s="3">
        <v>43864.041666666701</v>
      </c>
      <c r="G329" s="38">
        <f ca="1">TRUNC(YEARFRAC(F329,TODAY(),1))</f>
        <v>5</v>
      </c>
      <c r="H329">
        <f>COUNTIF(BRON!A:A,Tabel6[[#This Row],[Personeelsnummer]])</f>
        <v>2</v>
      </c>
    </row>
    <row r="330" spans="1:8" x14ac:dyDescent="0.25">
      <c r="A330" s="34" t="s">
        <v>4246</v>
      </c>
      <c r="B330" s="34" t="s">
        <v>1326</v>
      </c>
      <c r="C330" s="34" t="s">
        <v>2995</v>
      </c>
      <c r="D330">
        <v>35107</v>
      </c>
      <c r="E330" s="34" t="s">
        <v>3854</v>
      </c>
      <c r="F330" s="3">
        <v>43864.041666666701</v>
      </c>
      <c r="G330" s="38">
        <f ca="1">TRUNC(YEARFRAC(F330,TODAY(),1))</f>
        <v>5</v>
      </c>
      <c r="H330">
        <f>COUNTIF(BRON!A:A,Tabel6[[#This Row],[Personeelsnummer]])</f>
        <v>1</v>
      </c>
    </row>
    <row r="331" spans="1:8" x14ac:dyDescent="0.25">
      <c r="A331" s="34" t="s">
        <v>4247</v>
      </c>
      <c r="B331" s="34" t="s">
        <v>3105</v>
      </c>
      <c r="C331" s="34" t="s">
        <v>3108</v>
      </c>
      <c r="D331">
        <v>35120</v>
      </c>
      <c r="E331" s="34" t="s">
        <v>3857</v>
      </c>
      <c r="F331" s="3">
        <v>43878.041666666701</v>
      </c>
      <c r="G331" s="38">
        <f ca="1">TRUNC(YEARFRAC(F331,TODAY(),1))</f>
        <v>5</v>
      </c>
      <c r="H331">
        <f>COUNTIF(BRON!A:A,Tabel6[[#This Row],[Personeelsnummer]])</f>
        <v>1</v>
      </c>
    </row>
    <row r="332" spans="1:8" x14ac:dyDescent="0.25">
      <c r="A332" s="34" t="s">
        <v>4248</v>
      </c>
      <c r="B332" s="34" t="s">
        <v>2931</v>
      </c>
      <c r="C332" s="34" t="s">
        <v>2936</v>
      </c>
      <c r="D332">
        <v>35187</v>
      </c>
      <c r="E332" s="34" t="s">
        <v>3855</v>
      </c>
      <c r="F332" s="3">
        <v>43891.041666666701</v>
      </c>
      <c r="G332" s="38">
        <f ca="1">TRUNC(YEARFRAC(F332,TODAY(),1))</f>
        <v>5</v>
      </c>
      <c r="H332">
        <f>COUNTIF(BRON!A:A,Tabel6[[#This Row],[Personeelsnummer]])</f>
        <v>1</v>
      </c>
    </row>
    <row r="333" spans="1:8" x14ac:dyDescent="0.25">
      <c r="A333" s="34" t="s">
        <v>4249</v>
      </c>
      <c r="B333" s="34" t="s">
        <v>2220</v>
      </c>
      <c r="C333" s="34" t="s">
        <v>2219</v>
      </c>
      <c r="D333">
        <v>35216</v>
      </c>
      <c r="E333" s="34" t="s">
        <v>3855</v>
      </c>
      <c r="F333" s="3">
        <v>43892.041666666701</v>
      </c>
      <c r="G333" s="38">
        <f ca="1">TRUNC(YEARFRAC(F333,TODAY(),1))</f>
        <v>5</v>
      </c>
      <c r="H333">
        <f>COUNTIF(BRON!A:A,Tabel6[[#This Row],[Personeelsnummer]])</f>
        <v>1</v>
      </c>
    </row>
    <row r="334" spans="1:8" x14ac:dyDescent="0.25">
      <c r="A334" s="34" t="s">
        <v>4250</v>
      </c>
      <c r="B334" s="34" t="s">
        <v>3418</v>
      </c>
      <c r="C334" s="34" t="s">
        <v>3417</v>
      </c>
      <c r="D334">
        <v>35220</v>
      </c>
      <c r="E334" s="34" t="s">
        <v>3855</v>
      </c>
      <c r="F334" s="3">
        <v>43906.041666666701</v>
      </c>
      <c r="G334" s="38">
        <f ca="1">TRUNC(YEARFRAC(F334,TODAY(),1))</f>
        <v>5</v>
      </c>
      <c r="H334">
        <f>COUNTIF(BRON!A:A,Tabel6[[#This Row],[Personeelsnummer]])</f>
        <v>0</v>
      </c>
    </row>
    <row r="335" spans="1:8" x14ac:dyDescent="0.25">
      <c r="A335" s="34" t="s">
        <v>4251</v>
      </c>
      <c r="B335" s="34" t="s">
        <v>2516</v>
      </c>
      <c r="C335" s="34" t="s">
        <v>1255</v>
      </c>
      <c r="D335">
        <v>35246</v>
      </c>
      <c r="E335" s="34" t="s">
        <v>3856</v>
      </c>
      <c r="F335" s="3">
        <v>43906.041666666701</v>
      </c>
      <c r="G335" s="38">
        <f ca="1">TRUNC(YEARFRAC(F335,TODAY(),1))</f>
        <v>5</v>
      </c>
      <c r="H335">
        <f>COUNTIF(BRON!A:A,Tabel6[[#This Row],[Personeelsnummer]])</f>
        <v>2</v>
      </c>
    </row>
    <row r="336" spans="1:8" x14ac:dyDescent="0.25">
      <c r="A336" s="34" t="s">
        <v>4252</v>
      </c>
      <c r="B336" s="34" t="s">
        <v>2237</v>
      </c>
      <c r="C336" s="34" t="s">
        <v>2236</v>
      </c>
      <c r="D336">
        <v>35334</v>
      </c>
      <c r="E336" s="34" t="s">
        <v>3856</v>
      </c>
      <c r="F336" s="3">
        <v>43944.083333333299</v>
      </c>
      <c r="G336" s="38">
        <f ca="1">TRUNC(YEARFRAC(F336,TODAY(),1))</f>
        <v>5</v>
      </c>
      <c r="H336">
        <f>COUNTIF(BRON!A:A,Tabel6[[#This Row],[Personeelsnummer]])</f>
        <v>0</v>
      </c>
    </row>
    <row r="337" spans="1:8" x14ac:dyDescent="0.25">
      <c r="A337" s="34" t="s">
        <v>4253</v>
      </c>
      <c r="B337" s="34" t="s">
        <v>1766</v>
      </c>
      <c r="C337" s="34" t="s">
        <v>1490</v>
      </c>
      <c r="D337">
        <v>35379</v>
      </c>
      <c r="E337" s="34" t="s">
        <v>3856</v>
      </c>
      <c r="F337" s="3">
        <v>43969.083333333299</v>
      </c>
      <c r="G337" s="38">
        <f ca="1">TRUNC(YEARFRAC(F337,TODAY(),1))</f>
        <v>5</v>
      </c>
      <c r="H337">
        <f>COUNTIF(BRON!A:A,Tabel6[[#This Row],[Personeelsnummer]])</f>
        <v>2</v>
      </c>
    </row>
    <row r="338" spans="1:8" x14ac:dyDescent="0.25">
      <c r="A338" s="34" t="s">
        <v>4254</v>
      </c>
      <c r="B338" s="34" t="s">
        <v>2745</v>
      </c>
      <c r="C338" s="34" t="s">
        <v>2744</v>
      </c>
      <c r="D338">
        <v>35395</v>
      </c>
      <c r="E338" s="34" t="s">
        <v>3858</v>
      </c>
      <c r="F338" s="3">
        <v>43980.083333333299</v>
      </c>
      <c r="G338" s="38">
        <f ca="1">TRUNC(YEARFRAC(F338,TODAY(),1))</f>
        <v>5</v>
      </c>
      <c r="H338">
        <f>COUNTIF(BRON!A:A,Tabel6[[#This Row],[Personeelsnummer]])</f>
        <v>2</v>
      </c>
    </row>
    <row r="339" spans="1:8" x14ac:dyDescent="0.25">
      <c r="A339" s="34" t="s">
        <v>4255</v>
      </c>
      <c r="B339" s="34" t="s">
        <v>3408</v>
      </c>
      <c r="C339" s="34" t="s">
        <v>3407</v>
      </c>
      <c r="D339">
        <v>35397</v>
      </c>
      <c r="E339" s="34" t="s">
        <v>3855</v>
      </c>
      <c r="F339" s="3">
        <v>43984.083333333299</v>
      </c>
      <c r="G339" s="38">
        <f ca="1">TRUNC(YEARFRAC(F339,TODAY(),1))</f>
        <v>5</v>
      </c>
      <c r="H339">
        <f>COUNTIF(BRON!A:A,Tabel6[[#This Row],[Personeelsnummer]])</f>
        <v>2</v>
      </c>
    </row>
    <row r="340" spans="1:8" x14ac:dyDescent="0.25">
      <c r="A340" s="34" t="s">
        <v>4257</v>
      </c>
      <c r="B340" s="34" t="s">
        <v>3055</v>
      </c>
      <c r="C340" s="34" t="s">
        <v>3058</v>
      </c>
      <c r="D340">
        <v>35419</v>
      </c>
      <c r="E340" s="34" t="s">
        <v>3855</v>
      </c>
      <c r="F340" s="3">
        <v>44011.083333333299</v>
      </c>
      <c r="G340" s="38">
        <f ca="1">TRUNC(YEARFRAC(F340,TODAY(),1))</f>
        <v>5</v>
      </c>
      <c r="H340">
        <f>COUNTIF(BRON!A:A,Tabel6[[#This Row],[Personeelsnummer]])</f>
        <v>0</v>
      </c>
    </row>
    <row r="341" spans="1:8" x14ac:dyDescent="0.25">
      <c r="A341" s="34" t="s">
        <v>4258</v>
      </c>
      <c r="B341" s="34" t="s">
        <v>3015</v>
      </c>
      <c r="C341" s="34" t="s">
        <v>3021</v>
      </c>
      <c r="D341">
        <v>35430</v>
      </c>
      <c r="E341" s="34" t="s">
        <v>3856</v>
      </c>
      <c r="F341" s="3">
        <v>44011.083333333299</v>
      </c>
      <c r="G341" s="38">
        <f ca="1">TRUNC(YEARFRAC(F341,TODAY(),1))</f>
        <v>5</v>
      </c>
      <c r="H341">
        <f>COUNTIF(BRON!A:A,Tabel6[[#This Row],[Personeelsnummer]])</f>
        <v>2</v>
      </c>
    </row>
    <row r="342" spans="1:8" x14ac:dyDescent="0.25">
      <c r="A342" s="34" t="s">
        <v>4259</v>
      </c>
      <c r="B342" s="34" t="s">
        <v>3299</v>
      </c>
      <c r="C342" s="34" t="s">
        <v>3298</v>
      </c>
      <c r="D342">
        <v>35434</v>
      </c>
      <c r="E342" s="34" t="s">
        <v>3859</v>
      </c>
      <c r="F342" s="3">
        <v>44081.083333333299</v>
      </c>
      <c r="G342" s="38">
        <f ca="1">TRUNC(YEARFRAC(F342,TODAY(),1))</f>
        <v>5</v>
      </c>
      <c r="H342">
        <f>COUNTIF(BRON!A:A,Tabel6[[#This Row],[Personeelsnummer]])</f>
        <v>1</v>
      </c>
    </row>
    <row r="343" spans="1:8" x14ac:dyDescent="0.25">
      <c r="A343" s="34" t="s">
        <v>4260</v>
      </c>
      <c r="B343" s="34" t="s">
        <v>2706</v>
      </c>
      <c r="C343" s="34" t="s">
        <v>2705</v>
      </c>
      <c r="D343">
        <v>35450</v>
      </c>
      <c r="E343" s="34" t="s">
        <v>3857</v>
      </c>
      <c r="F343" s="3">
        <v>43997.083333333299</v>
      </c>
      <c r="G343" s="38">
        <f ca="1">TRUNC(YEARFRAC(F343,TODAY(),1))</f>
        <v>5</v>
      </c>
      <c r="H343">
        <f>COUNTIF(BRON!A:A,Tabel6[[#This Row],[Personeelsnummer]])</f>
        <v>4</v>
      </c>
    </row>
    <row r="344" spans="1:8" x14ac:dyDescent="0.25">
      <c r="A344" s="34" t="s">
        <v>4261</v>
      </c>
      <c r="B344" s="34" t="s">
        <v>1550</v>
      </c>
      <c r="C344" s="34" t="s">
        <v>1554</v>
      </c>
      <c r="D344">
        <v>35463</v>
      </c>
      <c r="E344" s="34" t="s">
        <v>3859</v>
      </c>
      <c r="F344" s="3">
        <v>44025.083333333299</v>
      </c>
      <c r="G344" s="38">
        <f ca="1">TRUNC(YEARFRAC(F344,TODAY(),1))</f>
        <v>5</v>
      </c>
      <c r="H344">
        <f>COUNTIF(BRON!A:A,Tabel6[[#This Row],[Personeelsnummer]])</f>
        <v>4</v>
      </c>
    </row>
    <row r="345" spans="1:8" x14ac:dyDescent="0.25">
      <c r="A345" s="34" t="s">
        <v>4262</v>
      </c>
      <c r="B345" s="34" t="s">
        <v>2850</v>
      </c>
      <c r="C345" s="34" t="s">
        <v>1744</v>
      </c>
      <c r="D345">
        <v>35471</v>
      </c>
      <c r="E345" s="34" t="s">
        <v>3855</v>
      </c>
      <c r="F345" s="3">
        <v>43993.083333333299</v>
      </c>
      <c r="G345" s="38">
        <f ca="1">TRUNC(YEARFRAC(F345,TODAY(),1))</f>
        <v>5</v>
      </c>
      <c r="H345">
        <f>COUNTIF(BRON!A:A,Tabel6[[#This Row],[Personeelsnummer]])</f>
        <v>0</v>
      </c>
    </row>
    <row r="346" spans="1:8" x14ac:dyDescent="0.25">
      <c r="A346" s="34" t="s">
        <v>4263</v>
      </c>
      <c r="B346" s="34" t="s">
        <v>3191</v>
      </c>
      <c r="C346" s="34" t="s">
        <v>3190</v>
      </c>
      <c r="D346">
        <v>35490</v>
      </c>
      <c r="E346" s="34" t="s">
        <v>3858</v>
      </c>
      <c r="F346" s="3">
        <v>44025.083333333299</v>
      </c>
      <c r="G346" s="38">
        <f ca="1">TRUNC(YEARFRAC(F346,TODAY(),1))</f>
        <v>5</v>
      </c>
      <c r="H346">
        <f>COUNTIF(BRON!A:A,Tabel6[[#This Row],[Personeelsnummer]])</f>
        <v>1</v>
      </c>
    </row>
    <row r="347" spans="1:8" x14ac:dyDescent="0.25">
      <c r="A347" s="34" t="s">
        <v>4264</v>
      </c>
      <c r="B347" s="34" t="s">
        <v>1394</v>
      </c>
      <c r="C347" s="34" t="s">
        <v>1393</v>
      </c>
      <c r="D347">
        <v>35491</v>
      </c>
      <c r="E347" s="34" t="s">
        <v>3856</v>
      </c>
      <c r="F347" s="3">
        <v>44025.083333333299</v>
      </c>
      <c r="G347" s="38">
        <f ca="1">TRUNC(YEARFRAC(F347,TODAY(),1))</f>
        <v>5</v>
      </c>
      <c r="H347">
        <f>COUNTIF(BRON!A:A,Tabel6[[#This Row],[Personeelsnummer]])</f>
        <v>2</v>
      </c>
    </row>
    <row r="348" spans="1:8" x14ac:dyDescent="0.25">
      <c r="A348" s="34" t="s">
        <v>4265</v>
      </c>
      <c r="B348" s="34" t="s">
        <v>2288</v>
      </c>
      <c r="C348" s="34" t="s">
        <v>2287</v>
      </c>
      <c r="D348">
        <v>35493</v>
      </c>
      <c r="E348" s="34" t="s">
        <v>3855</v>
      </c>
      <c r="F348" s="3">
        <v>44039.083333333299</v>
      </c>
      <c r="G348" s="38">
        <f ca="1">TRUNC(YEARFRAC(F348,TODAY(),1))</f>
        <v>5</v>
      </c>
      <c r="H348">
        <f>COUNTIF(BRON!A:A,Tabel6[[#This Row],[Personeelsnummer]])</f>
        <v>1</v>
      </c>
    </row>
    <row r="349" spans="1:8" x14ac:dyDescent="0.25">
      <c r="A349" s="34" t="s">
        <v>4266</v>
      </c>
      <c r="B349" s="34" t="s">
        <v>2324</v>
      </c>
      <c r="C349" s="34" t="s">
        <v>2323</v>
      </c>
      <c r="D349">
        <v>35494</v>
      </c>
      <c r="E349" s="34" t="s">
        <v>3856</v>
      </c>
      <c r="F349" s="3">
        <v>44039.083333333299</v>
      </c>
      <c r="G349" s="38">
        <f ca="1">TRUNC(YEARFRAC(F349,TODAY(),1))</f>
        <v>5</v>
      </c>
      <c r="H349">
        <f>COUNTIF(BRON!A:A,Tabel6[[#This Row],[Personeelsnummer]])</f>
        <v>0</v>
      </c>
    </row>
    <row r="350" spans="1:8" x14ac:dyDescent="0.25">
      <c r="A350" s="34" t="s">
        <v>4267</v>
      </c>
      <c r="B350" s="34" t="s">
        <v>2311</v>
      </c>
      <c r="C350" s="34" t="s">
        <v>2320</v>
      </c>
      <c r="D350">
        <v>35495</v>
      </c>
      <c r="E350" s="34" t="s">
        <v>3851</v>
      </c>
      <c r="F350" s="3">
        <v>44025.083333333299</v>
      </c>
      <c r="G350" s="38">
        <f ca="1">TRUNC(YEARFRAC(F350,TODAY(),1))</f>
        <v>5</v>
      </c>
      <c r="H350">
        <f>COUNTIF(BRON!A:A,Tabel6[[#This Row],[Personeelsnummer]])</f>
        <v>1</v>
      </c>
    </row>
    <row r="351" spans="1:8" x14ac:dyDescent="0.25">
      <c r="A351" s="34" t="s">
        <v>4268</v>
      </c>
      <c r="B351" s="34" t="s">
        <v>2792</v>
      </c>
      <c r="C351" s="34" t="s">
        <v>2068</v>
      </c>
      <c r="D351">
        <v>35588</v>
      </c>
      <c r="E351" s="34" t="s">
        <v>3855</v>
      </c>
      <c r="F351" s="3">
        <v>44039.083333333299</v>
      </c>
      <c r="G351" s="38">
        <f ca="1">TRUNC(YEARFRAC(F351,TODAY(),1))</f>
        <v>5</v>
      </c>
      <c r="H351">
        <f>COUNTIF(BRON!A:A,Tabel6[[#This Row],[Personeelsnummer]])</f>
        <v>3</v>
      </c>
    </row>
    <row r="352" spans="1:8" x14ac:dyDescent="0.25">
      <c r="A352" s="34" t="s">
        <v>4269</v>
      </c>
      <c r="B352" s="34" t="s">
        <v>1448</v>
      </c>
      <c r="C352" s="34" t="s">
        <v>1447</v>
      </c>
      <c r="D352">
        <v>35598</v>
      </c>
      <c r="E352" s="34" t="s">
        <v>3859</v>
      </c>
      <c r="F352" s="3">
        <v>44039.083333333299</v>
      </c>
      <c r="G352" s="38">
        <f ca="1">TRUNC(YEARFRAC(F352,TODAY(),1))</f>
        <v>5</v>
      </c>
      <c r="H352">
        <f>COUNTIF(BRON!A:A,Tabel6[[#This Row],[Personeelsnummer]])</f>
        <v>1</v>
      </c>
    </row>
    <row r="353" spans="1:8" x14ac:dyDescent="0.25">
      <c r="A353" s="34" t="s">
        <v>4270</v>
      </c>
      <c r="B353" s="34" t="s">
        <v>1389</v>
      </c>
      <c r="C353" s="34" t="s">
        <v>1388</v>
      </c>
      <c r="D353">
        <v>35619</v>
      </c>
      <c r="E353" s="34" t="s">
        <v>3858</v>
      </c>
      <c r="F353" s="3">
        <v>44067.083333333299</v>
      </c>
      <c r="G353" s="38">
        <f ca="1">TRUNC(YEARFRAC(F353,TODAY(),1))</f>
        <v>5</v>
      </c>
      <c r="H353">
        <f>COUNTIF(BRON!A:A,Tabel6[[#This Row],[Personeelsnummer]])</f>
        <v>1</v>
      </c>
    </row>
    <row r="354" spans="1:8" x14ac:dyDescent="0.25">
      <c r="A354" s="34" t="s">
        <v>4271</v>
      </c>
      <c r="B354" s="34" t="s">
        <v>3136</v>
      </c>
      <c r="C354" s="34" t="s">
        <v>3135</v>
      </c>
      <c r="D354">
        <v>35623</v>
      </c>
      <c r="E354" s="34" t="s">
        <v>3854</v>
      </c>
      <c r="F354" s="3">
        <v>44081.083333333299</v>
      </c>
      <c r="G354" s="38">
        <f ca="1">TRUNC(YEARFRAC(F354,TODAY(),1))</f>
        <v>5</v>
      </c>
      <c r="H354">
        <f>COUNTIF(BRON!A:A,Tabel6[[#This Row],[Personeelsnummer]])</f>
        <v>0</v>
      </c>
    </row>
    <row r="355" spans="1:8" x14ac:dyDescent="0.25">
      <c r="A355" s="34" t="s">
        <v>4272</v>
      </c>
      <c r="B355" s="34" t="s">
        <v>1435</v>
      </c>
      <c r="C355" s="34" t="s">
        <v>1434</v>
      </c>
      <c r="D355">
        <v>35645</v>
      </c>
      <c r="E355" s="34" t="s">
        <v>3858</v>
      </c>
      <c r="F355" s="3">
        <v>44070.083333333299</v>
      </c>
      <c r="G355" s="38">
        <f ca="1">TRUNC(YEARFRAC(F355,TODAY(),1))</f>
        <v>5</v>
      </c>
      <c r="H355">
        <f>COUNTIF(BRON!A:A,Tabel6[[#This Row],[Personeelsnummer]])</f>
        <v>4</v>
      </c>
    </row>
    <row r="356" spans="1:8" x14ac:dyDescent="0.25">
      <c r="A356" s="34" t="s">
        <v>4273</v>
      </c>
      <c r="B356" s="34" t="s">
        <v>1760</v>
      </c>
      <c r="C356" s="34" t="s">
        <v>1759</v>
      </c>
      <c r="D356">
        <v>35709</v>
      </c>
      <c r="E356" s="34" t="s">
        <v>3856</v>
      </c>
      <c r="F356" s="3">
        <v>44075.083333333299</v>
      </c>
      <c r="G356" s="38">
        <f ca="1">TRUNC(YEARFRAC(F356,TODAY(),1))</f>
        <v>5</v>
      </c>
      <c r="H356">
        <f>COUNTIF(BRON!A:A,Tabel6[[#This Row],[Personeelsnummer]])</f>
        <v>1</v>
      </c>
    </row>
    <row r="357" spans="1:8" x14ac:dyDescent="0.25">
      <c r="A357" s="34" t="s">
        <v>4274</v>
      </c>
      <c r="B357" s="34" t="s">
        <v>2698</v>
      </c>
      <c r="C357" s="34" t="s">
        <v>2666</v>
      </c>
      <c r="D357">
        <v>35761</v>
      </c>
      <c r="E357" s="34" t="s">
        <v>3857</v>
      </c>
      <c r="F357" s="3">
        <v>44067.083333333299</v>
      </c>
      <c r="G357" s="38">
        <f ca="1">TRUNC(YEARFRAC(F357,TODAY(),1))</f>
        <v>5</v>
      </c>
      <c r="H357">
        <f>COUNTIF(BRON!A:A,Tabel6[[#This Row],[Personeelsnummer]])</f>
        <v>0</v>
      </c>
    </row>
    <row r="358" spans="1:8" x14ac:dyDescent="0.25">
      <c r="A358" s="34" t="s">
        <v>4275</v>
      </c>
      <c r="B358" s="34" t="s">
        <v>1960</v>
      </c>
      <c r="C358" s="34" t="s">
        <v>1959</v>
      </c>
      <c r="D358">
        <v>35862</v>
      </c>
      <c r="E358" s="34" t="s">
        <v>3857</v>
      </c>
      <c r="F358" s="3">
        <v>44123.083333333299</v>
      </c>
      <c r="G358" s="38">
        <f ca="1">TRUNC(YEARFRAC(F358,TODAY(),1))</f>
        <v>5</v>
      </c>
      <c r="H358">
        <f>COUNTIF(BRON!A:A,Tabel6[[#This Row],[Personeelsnummer]])</f>
        <v>0</v>
      </c>
    </row>
    <row r="359" spans="1:8" x14ac:dyDescent="0.25">
      <c r="A359" s="34" t="s">
        <v>4276</v>
      </c>
      <c r="B359" s="34" t="s">
        <v>2841</v>
      </c>
      <c r="C359" s="34" t="s">
        <v>2840</v>
      </c>
      <c r="D359">
        <v>36021</v>
      </c>
      <c r="E359" s="34" t="s">
        <v>3855</v>
      </c>
      <c r="F359" s="3">
        <v>44151.041666666701</v>
      </c>
      <c r="G359" s="38">
        <f ca="1">TRUNC(YEARFRAC(F359,TODAY(),1))</f>
        <v>5</v>
      </c>
      <c r="H359">
        <f>COUNTIF(BRON!A:A,Tabel6[[#This Row],[Personeelsnummer]])</f>
        <v>3</v>
      </c>
    </row>
    <row r="360" spans="1:8" x14ac:dyDescent="0.25">
      <c r="A360" s="34" t="s">
        <v>3893</v>
      </c>
      <c r="B360" s="34" t="s">
        <v>2663</v>
      </c>
      <c r="C360" s="34" t="s">
        <v>2662</v>
      </c>
      <c r="D360">
        <v>30321</v>
      </c>
      <c r="E360" s="34" t="s">
        <v>3851</v>
      </c>
      <c r="F360" s="3">
        <v>44348.083333333299</v>
      </c>
      <c r="G360" s="38">
        <f ca="1">TRUNC(YEARFRAC(F360,TODAY(),1))</f>
        <v>4</v>
      </c>
      <c r="H360">
        <f>COUNTIF(BRON!A:A,Tabel6[[#This Row],[Personeelsnummer]])</f>
        <v>2</v>
      </c>
    </row>
    <row r="361" spans="1:8" x14ac:dyDescent="0.25">
      <c r="A361" s="34" t="s">
        <v>4256</v>
      </c>
      <c r="B361" s="34" t="s">
        <v>3199</v>
      </c>
      <c r="C361" s="34" t="s">
        <v>3198</v>
      </c>
      <c r="D361">
        <v>35414</v>
      </c>
      <c r="E361" s="34" t="s">
        <v>3858</v>
      </c>
      <c r="F361" s="3">
        <v>44207.041666666701</v>
      </c>
      <c r="G361" s="38">
        <f ca="1">TRUNC(YEARFRAC(F361,TODAY(),1))</f>
        <v>4</v>
      </c>
      <c r="H361">
        <f>COUNTIF(BRON!A:A,Tabel6[[#This Row],[Personeelsnummer]])</f>
        <v>0</v>
      </c>
    </row>
    <row r="362" spans="1:8" x14ac:dyDescent="0.25">
      <c r="A362" s="34" t="s">
        <v>4277</v>
      </c>
      <c r="B362" s="34" t="s">
        <v>1616</v>
      </c>
      <c r="C362" s="34" t="s">
        <v>1495</v>
      </c>
      <c r="D362">
        <v>36154</v>
      </c>
      <c r="E362" s="34" t="s">
        <v>3855</v>
      </c>
      <c r="F362" s="3">
        <v>44214.041666666701</v>
      </c>
      <c r="G362" s="38">
        <f ca="1">TRUNC(YEARFRAC(F362,TODAY(),1))</f>
        <v>4</v>
      </c>
      <c r="H362">
        <f>COUNTIF(BRON!A:A,Tabel6[[#This Row],[Personeelsnummer]])</f>
        <v>1</v>
      </c>
    </row>
    <row r="363" spans="1:8" x14ac:dyDescent="0.25">
      <c r="A363" s="34" t="s">
        <v>4278</v>
      </c>
      <c r="B363" s="34" t="s">
        <v>3318</v>
      </c>
      <c r="C363" s="34" t="s">
        <v>3317</v>
      </c>
      <c r="D363">
        <v>36228</v>
      </c>
      <c r="E363" s="34" t="s">
        <v>3856</v>
      </c>
      <c r="F363" s="3">
        <v>44256.041666666701</v>
      </c>
      <c r="G363" s="38">
        <f ca="1">TRUNC(YEARFRAC(F363,TODAY(),1))</f>
        <v>4</v>
      </c>
      <c r="H363">
        <f>COUNTIF(BRON!A:A,Tabel6[[#This Row],[Personeelsnummer]])</f>
        <v>1</v>
      </c>
    </row>
    <row r="364" spans="1:8" x14ac:dyDescent="0.25">
      <c r="A364" s="34" t="s">
        <v>4280</v>
      </c>
      <c r="B364" s="34" t="s">
        <v>1647</v>
      </c>
      <c r="C364" s="34" t="s">
        <v>1646</v>
      </c>
      <c r="D364">
        <v>36289</v>
      </c>
      <c r="E364" s="34" t="s">
        <v>3856</v>
      </c>
      <c r="F364" s="3">
        <v>44284.083333333299</v>
      </c>
      <c r="G364" s="38">
        <f ca="1">TRUNC(YEARFRAC(F364,TODAY(),1))</f>
        <v>4</v>
      </c>
      <c r="H364">
        <f>COUNTIF(BRON!A:A,Tabel6[[#This Row],[Personeelsnummer]])</f>
        <v>3</v>
      </c>
    </row>
    <row r="365" spans="1:8" x14ac:dyDescent="0.25">
      <c r="A365" s="34" t="s">
        <v>4281</v>
      </c>
      <c r="B365" s="34" t="s">
        <v>1929</v>
      </c>
      <c r="C365" s="34" t="s">
        <v>1932</v>
      </c>
      <c r="D365">
        <v>36336</v>
      </c>
      <c r="E365" s="34" t="s">
        <v>3855</v>
      </c>
      <c r="F365" s="3">
        <v>44284.083333333299</v>
      </c>
      <c r="G365" s="38">
        <f ca="1">TRUNC(YEARFRAC(F365,TODAY(),1))</f>
        <v>4</v>
      </c>
      <c r="H365">
        <f>COUNTIF(BRON!A:A,Tabel6[[#This Row],[Personeelsnummer]])</f>
        <v>1</v>
      </c>
    </row>
    <row r="366" spans="1:8" x14ac:dyDescent="0.25">
      <c r="A366" s="34" t="s">
        <v>4282</v>
      </c>
      <c r="B366" s="34" t="s">
        <v>3105</v>
      </c>
      <c r="C366" s="34" t="s">
        <v>3104</v>
      </c>
      <c r="D366">
        <v>36337</v>
      </c>
      <c r="E366" s="34" t="s">
        <v>3851</v>
      </c>
      <c r="F366" s="3">
        <v>44284.083333333299</v>
      </c>
      <c r="G366" s="38">
        <f ca="1">TRUNC(YEARFRAC(F366,TODAY(),1))</f>
        <v>4</v>
      </c>
      <c r="H366">
        <f>COUNTIF(BRON!A:A,Tabel6[[#This Row],[Personeelsnummer]])</f>
        <v>1</v>
      </c>
    </row>
    <row r="367" spans="1:8" x14ac:dyDescent="0.25">
      <c r="A367" s="34" t="s">
        <v>4283</v>
      </c>
      <c r="B367" s="34" t="s">
        <v>2713</v>
      </c>
      <c r="C367" s="34" t="s">
        <v>2712</v>
      </c>
      <c r="D367">
        <v>36354</v>
      </c>
      <c r="E367" s="34" t="s">
        <v>3856</v>
      </c>
      <c r="F367" s="3">
        <v>44298.083333333299</v>
      </c>
      <c r="G367" s="38">
        <f ca="1">TRUNC(YEARFRAC(F367,TODAY(),1))</f>
        <v>4</v>
      </c>
      <c r="H367">
        <f>COUNTIF(BRON!A:A,Tabel6[[#This Row],[Personeelsnummer]])</f>
        <v>0</v>
      </c>
    </row>
    <row r="368" spans="1:8" x14ac:dyDescent="0.25">
      <c r="A368" s="34" t="s">
        <v>4284</v>
      </c>
      <c r="B368" s="34" t="s">
        <v>2957</v>
      </c>
      <c r="C368" s="34" t="s">
        <v>2956</v>
      </c>
      <c r="D368">
        <v>36358</v>
      </c>
      <c r="E368" s="34" t="s">
        <v>3857</v>
      </c>
      <c r="F368" s="3">
        <v>44270.041666666701</v>
      </c>
      <c r="G368" s="38">
        <f ca="1">TRUNC(YEARFRAC(F368,TODAY(),1))</f>
        <v>4</v>
      </c>
      <c r="H368">
        <f>COUNTIF(BRON!A:A,Tabel6[[#This Row],[Personeelsnummer]])</f>
        <v>2</v>
      </c>
    </row>
    <row r="369" spans="1:8" x14ac:dyDescent="0.25">
      <c r="A369" s="34" t="s">
        <v>4285</v>
      </c>
      <c r="B369" s="34" t="s">
        <v>2808</v>
      </c>
      <c r="C369" s="34" t="s">
        <v>2807</v>
      </c>
      <c r="D369">
        <v>36378</v>
      </c>
      <c r="E369" s="34" t="s">
        <v>3855</v>
      </c>
      <c r="F369" s="3">
        <v>44336.083333333299</v>
      </c>
      <c r="G369" s="38">
        <f ca="1">TRUNC(YEARFRAC(F369,TODAY(),1))</f>
        <v>4</v>
      </c>
      <c r="H369">
        <f>COUNTIF(BRON!A:A,Tabel6[[#This Row],[Personeelsnummer]])</f>
        <v>0</v>
      </c>
    </row>
    <row r="370" spans="1:8" x14ac:dyDescent="0.25">
      <c r="A370" s="34" t="s">
        <v>4286</v>
      </c>
      <c r="B370" s="34" t="s">
        <v>2065</v>
      </c>
      <c r="C370" s="34" t="s">
        <v>2071</v>
      </c>
      <c r="D370">
        <v>36425</v>
      </c>
      <c r="E370" s="34" t="s">
        <v>3856</v>
      </c>
      <c r="F370" s="3">
        <v>44333.083333333299</v>
      </c>
      <c r="G370" s="38">
        <f ca="1">TRUNC(YEARFRAC(F370,TODAY(),1))</f>
        <v>4</v>
      </c>
      <c r="H370">
        <f>COUNTIF(BRON!A:A,Tabel6[[#This Row],[Personeelsnummer]])</f>
        <v>0</v>
      </c>
    </row>
    <row r="371" spans="1:8" x14ac:dyDescent="0.25">
      <c r="A371" s="34" t="s">
        <v>4287</v>
      </c>
      <c r="B371" s="34" t="s">
        <v>3446</v>
      </c>
      <c r="C371" s="34" t="s">
        <v>3445</v>
      </c>
      <c r="D371">
        <v>36426</v>
      </c>
      <c r="E371" s="34" t="s">
        <v>3854</v>
      </c>
      <c r="F371" s="3">
        <v>44305.083333333299</v>
      </c>
      <c r="G371" s="38">
        <f ca="1">TRUNC(YEARFRAC(F371,TODAY(),1))</f>
        <v>4</v>
      </c>
      <c r="H371">
        <f>COUNTIF(BRON!A:A,Tabel6[[#This Row],[Personeelsnummer]])</f>
        <v>3</v>
      </c>
    </row>
    <row r="372" spans="1:8" x14ac:dyDescent="0.25">
      <c r="A372" s="34" t="s">
        <v>4289</v>
      </c>
      <c r="B372" s="34" t="s">
        <v>1884</v>
      </c>
      <c r="C372" s="34" t="s">
        <v>1883</v>
      </c>
      <c r="D372">
        <v>36428</v>
      </c>
      <c r="E372" s="34" t="s">
        <v>3855</v>
      </c>
      <c r="F372" s="3">
        <v>44312.083333333299</v>
      </c>
      <c r="G372" s="38">
        <f ca="1">TRUNC(YEARFRAC(F372,TODAY(),1))</f>
        <v>4</v>
      </c>
      <c r="H372">
        <f>COUNTIF(BRON!A:A,Tabel6[[#This Row],[Personeelsnummer]])</f>
        <v>5</v>
      </c>
    </row>
    <row r="373" spans="1:8" x14ac:dyDescent="0.25">
      <c r="A373" s="34" t="s">
        <v>4290</v>
      </c>
      <c r="B373" s="34" t="s">
        <v>2449</v>
      </c>
      <c r="C373" s="34" t="s">
        <v>2448</v>
      </c>
      <c r="D373">
        <v>36429</v>
      </c>
      <c r="E373" s="34" t="s">
        <v>3851</v>
      </c>
      <c r="F373" s="3">
        <v>44312.083333333299</v>
      </c>
      <c r="G373" s="38">
        <f ca="1">TRUNC(YEARFRAC(F373,TODAY(),1))</f>
        <v>4</v>
      </c>
      <c r="H373">
        <f>COUNTIF(BRON!A:A,Tabel6[[#This Row],[Personeelsnummer]])</f>
        <v>1</v>
      </c>
    </row>
    <row r="374" spans="1:8" x14ac:dyDescent="0.25">
      <c r="A374" s="34" t="s">
        <v>4291</v>
      </c>
      <c r="B374" s="34" t="s">
        <v>3220</v>
      </c>
      <c r="C374" s="34" t="s">
        <v>3219</v>
      </c>
      <c r="D374">
        <v>36438</v>
      </c>
      <c r="E374" s="34" t="s">
        <v>3854</v>
      </c>
      <c r="F374" s="3">
        <v>44298.083333333299</v>
      </c>
      <c r="G374" s="38">
        <f ca="1">TRUNC(YEARFRAC(F374,TODAY(),1))</f>
        <v>4</v>
      </c>
      <c r="H374">
        <f>COUNTIF(BRON!A:A,Tabel6[[#This Row],[Personeelsnummer]])</f>
        <v>3</v>
      </c>
    </row>
    <row r="375" spans="1:8" x14ac:dyDescent="0.25">
      <c r="A375" s="34" t="s">
        <v>4292</v>
      </c>
      <c r="B375" s="34" t="s">
        <v>3034</v>
      </c>
      <c r="C375" s="34" t="s">
        <v>3033</v>
      </c>
      <c r="D375">
        <v>36503</v>
      </c>
      <c r="E375" s="34" t="s">
        <v>3853</v>
      </c>
      <c r="F375" s="3">
        <v>44333.083333333299</v>
      </c>
      <c r="G375" s="38">
        <f ca="1">TRUNC(YEARFRAC(F375,TODAY(),1))</f>
        <v>4</v>
      </c>
      <c r="H375">
        <f>COUNTIF(BRON!A:A,Tabel6[[#This Row],[Personeelsnummer]])</f>
        <v>1</v>
      </c>
    </row>
    <row r="376" spans="1:8" x14ac:dyDescent="0.25">
      <c r="A376" s="34" t="s">
        <v>4293</v>
      </c>
      <c r="B376" s="34" t="s">
        <v>1812</v>
      </c>
      <c r="C376" s="34" t="s">
        <v>1811</v>
      </c>
      <c r="D376">
        <v>36505</v>
      </c>
      <c r="E376" s="34" t="s">
        <v>3851</v>
      </c>
      <c r="F376" s="3">
        <v>44333.083333333299</v>
      </c>
      <c r="G376" s="38">
        <f ca="1">TRUNC(YEARFRAC(F376,TODAY(),1))</f>
        <v>4</v>
      </c>
      <c r="H376">
        <f>COUNTIF(BRON!A:A,Tabel6[[#This Row],[Personeelsnummer]])</f>
        <v>1</v>
      </c>
    </row>
    <row r="377" spans="1:8" x14ac:dyDescent="0.25">
      <c r="A377" s="34" t="s">
        <v>4294</v>
      </c>
      <c r="B377" s="34" t="s">
        <v>1947</v>
      </c>
      <c r="C377" s="34" t="s">
        <v>1946</v>
      </c>
      <c r="D377">
        <v>36507</v>
      </c>
      <c r="E377" s="34" t="s">
        <v>3858</v>
      </c>
      <c r="F377" s="3">
        <v>44347.083333333299</v>
      </c>
      <c r="G377" s="38">
        <f ca="1">TRUNC(YEARFRAC(F377,TODAY(),1))</f>
        <v>4</v>
      </c>
      <c r="H377">
        <f>COUNTIF(BRON!A:A,Tabel6[[#This Row],[Personeelsnummer]])</f>
        <v>0</v>
      </c>
    </row>
    <row r="378" spans="1:8" x14ac:dyDescent="0.25">
      <c r="A378" s="34" t="s">
        <v>4295</v>
      </c>
      <c r="B378" s="34" t="s">
        <v>3195</v>
      </c>
      <c r="C378" s="34" t="s">
        <v>3194</v>
      </c>
      <c r="D378">
        <v>36512</v>
      </c>
      <c r="E378" s="34" t="s">
        <v>3858</v>
      </c>
      <c r="F378" s="3">
        <v>44333.083333333299</v>
      </c>
      <c r="G378" s="38">
        <f ca="1">TRUNC(YEARFRAC(F378,TODAY(),1))</f>
        <v>4</v>
      </c>
      <c r="H378">
        <f>COUNTIF(BRON!A:A,Tabel6[[#This Row],[Personeelsnummer]])</f>
        <v>3</v>
      </c>
    </row>
    <row r="379" spans="1:8" x14ac:dyDescent="0.25">
      <c r="A379" s="34" t="s">
        <v>4296</v>
      </c>
      <c r="B379" s="34" t="s">
        <v>1880</v>
      </c>
      <c r="C379" s="34" t="s">
        <v>1240</v>
      </c>
      <c r="D379">
        <v>36513</v>
      </c>
      <c r="E379" s="34" t="s">
        <v>3851</v>
      </c>
      <c r="F379" s="3">
        <v>44333.083333333299</v>
      </c>
      <c r="G379" s="38">
        <f ca="1">TRUNC(YEARFRAC(F379,TODAY(),1))</f>
        <v>4</v>
      </c>
      <c r="H379">
        <f>COUNTIF(BRON!A:A,Tabel6[[#This Row],[Personeelsnummer]])</f>
        <v>1</v>
      </c>
    </row>
    <row r="380" spans="1:8" x14ac:dyDescent="0.25">
      <c r="A380" s="34" t="s">
        <v>4297</v>
      </c>
      <c r="B380" s="34" t="s">
        <v>1752</v>
      </c>
      <c r="C380" s="34" t="s">
        <v>1751</v>
      </c>
      <c r="D380">
        <v>36543</v>
      </c>
      <c r="E380" s="34" t="s">
        <v>3855</v>
      </c>
      <c r="F380" s="3">
        <v>44347.083333333299</v>
      </c>
      <c r="G380" s="38">
        <f ca="1">TRUNC(YEARFRAC(F380,TODAY(),1))</f>
        <v>4</v>
      </c>
      <c r="H380">
        <f>COUNTIF(BRON!A:A,Tabel6[[#This Row],[Personeelsnummer]])</f>
        <v>0</v>
      </c>
    </row>
    <row r="381" spans="1:8" x14ac:dyDescent="0.25">
      <c r="A381" s="34" t="s">
        <v>4298</v>
      </c>
      <c r="B381" s="34" t="s">
        <v>1733</v>
      </c>
      <c r="C381" s="34" t="s">
        <v>1741</v>
      </c>
      <c r="D381">
        <v>36559</v>
      </c>
      <c r="E381" s="34" t="s">
        <v>3851</v>
      </c>
      <c r="F381" s="3">
        <v>44347.083333333299</v>
      </c>
      <c r="G381" s="38">
        <f ca="1">TRUNC(YEARFRAC(F381,TODAY(),1))</f>
        <v>4</v>
      </c>
      <c r="H381">
        <f>COUNTIF(BRON!A:A,Tabel6[[#This Row],[Personeelsnummer]])</f>
        <v>2</v>
      </c>
    </row>
    <row r="382" spans="1:8" x14ac:dyDescent="0.25">
      <c r="A382" s="34" t="s">
        <v>4299</v>
      </c>
      <c r="B382" s="34" t="s">
        <v>3601</v>
      </c>
      <c r="C382" s="34" t="s">
        <v>3863</v>
      </c>
      <c r="D382">
        <v>36569</v>
      </c>
      <c r="E382" s="34" t="s">
        <v>3856</v>
      </c>
      <c r="F382" s="3">
        <v>44347.083333333299</v>
      </c>
      <c r="G382" s="38">
        <f ca="1">TRUNC(YEARFRAC(F382,TODAY(),1))</f>
        <v>4</v>
      </c>
      <c r="H382">
        <f>COUNTIF(BRON!A:A,Tabel6[[#This Row],[Personeelsnummer]])</f>
        <v>6</v>
      </c>
    </row>
    <row r="383" spans="1:8" x14ac:dyDescent="0.25">
      <c r="A383" s="34" t="s">
        <v>4300</v>
      </c>
      <c r="B383" s="34" t="s">
        <v>2257</v>
      </c>
      <c r="C383" s="34" t="s">
        <v>2256</v>
      </c>
      <c r="D383">
        <v>36577</v>
      </c>
      <c r="E383" s="34" t="s">
        <v>3857</v>
      </c>
      <c r="F383" s="3">
        <v>44389.083333333299</v>
      </c>
      <c r="G383" s="38">
        <f ca="1">TRUNC(YEARFRAC(F383,TODAY(),1))</f>
        <v>4</v>
      </c>
      <c r="H383">
        <f>COUNTIF(BRON!A:A,Tabel6[[#This Row],[Personeelsnummer]])</f>
        <v>1</v>
      </c>
    </row>
    <row r="384" spans="1:8" x14ac:dyDescent="0.25">
      <c r="A384" s="34" t="s">
        <v>4301</v>
      </c>
      <c r="B384" s="34" t="s">
        <v>4302</v>
      </c>
      <c r="C384" s="34" t="s">
        <v>2436</v>
      </c>
      <c r="D384">
        <v>36586</v>
      </c>
      <c r="E384" s="34" t="s">
        <v>3852</v>
      </c>
      <c r="F384" s="3">
        <v>44340.083333333299</v>
      </c>
      <c r="G384" s="38">
        <f ca="1">TRUNC(YEARFRAC(F384,TODAY(),1))</f>
        <v>4</v>
      </c>
      <c r="H384">
        <f>COUNTIF(BRON!A:A,Tabel6[[#This Row],[Personeelsnummer]])</f>
        <v>0</v>
      </c>
    </row>
    <row r="385" spans="1:8" x14ac:dyDescent="0.25">
      <c r="A385" s="34" t="s">
        <v>4303</v>
      </c>
      <c r="B385" s="34" t="s">
        <v>2394</v>
      </c>
      <c r="C385" s="34" t="s">
        <v>2397</v>
      </c>
      <c r="D385">
        <v>36624</v>
      </c>
      <c r="E385" s="34" t="s">
        <v>3859</v>
      </c>
      <c r="F385" s="3">
        <v>44375.083333333299</v>
      </c>
      <c r="G385" s="38">
        <f ca="1">TRUNC(YEARFRAC(F385,TODAY(),1))</f>
        <v>4</v>
      </c>
      <c r="H385">
        <f>COUNTIF(BRON!A:A,Tabel6[[#This Row],[Personeelsnummer]])</f>
        <v>3</v>
      </c>
    </row>
    <row r="386" spans="1:8" x14ac:dyDescent="0.25">
      <c r="A386" s="34" t="s">
        <v>4304</v>
      </c>
      <c r="B386" s="34" t="s">
        <v>2524</v>
      </c>
      <c r="C386" s="34" t="s">
        <v>2523</v>
      </c>
      <c r="D386">
        <v>36626</v>
      </c>
      <c r="E386" s="34" t="s">
        <v>3857</v>
      </c>
      <c r="F386" s="3">
        <v>44389.083333333299</v>
      </c>
      <c r="G386" s="38">
        <f ca="1">TRUNC(YEARFRAC(F386,TODAY(),1))</f>
        <v>4</v>
      </c>
      <c r="H386">
        <f>COUNTIF(BRON!A:A,Tabel6[[#This Row],[Personeelsnummer]])</f>
        <v>10</v>
      </c>
    </row>
    <row r="387" spans="1:8" x14ac:dyDescent="0.25">
      <c r="A387" s="34" t="s">
        <v>4305</v>
      </c>
      <c r="B387" s="34" t="s">
        <v>2405</v>
      </c>
      <c r="C387" s="34" t="s">
        <v>3070</v>
      </c>
      <c r="D387">
        <v>36627</v>
      </c>
      <c r="E387" s="34" t="s">
        <v>3857</v>
      </c>
      <c r="F387" s="3">
        <v>44384.083333333299</v>
      </c>
      <c r="G387" s="38">
        <f ca="1">TRUNC(YEARFRAC(F387,TODAY(),1))</f>
        <v>4</v>
      </c>
      <c r="H387">
        <f>COUNTIF(BRON!A:A,Tabel6[[#This Row],[Personeelsnummer]])</f>
        <v>5</v>
      </c>
    </row>
    <row r="388" spans="1:8" x14ac:dyDescent="0.25">
      <c r="A388" s="34" t="s">
        <v>4306</v>
      </c>
      <c r="B388" s="34" t="s">
        <v>2702</v>
      </c>
      <c r="C388" s="34" t="s">
        <v>2701</v>
      </c>
      <c r="D388">
        <v>36635</v>
      </c>
      <c r="E388" s="34" t="s">
        <v>3851</v>
      </c>
      <c r="F388" s="3">
        <v>44417.083333333299</v>
      </c>
      <c r="G388" s="38">
        <f ca="1">TRUNC(YEARFRAC(F388,TODAY(),1))</f>
        <v>4</v>
      </c>
      <c r="H388">
        <f>COUNTIF(BRON!A:A,Tabel6[[#This Row],[Personeelsnummer]])</f>
        <v>4</v>
      </c>
    </row>
    <row r="389" spans="1:8" x14ac:dyDescent="0.25">
      <c r="A389" s="34" t="s">
        <v>4307</v>
      </c>
      <c r="B389" s="34" t="s">
        <v>3435</v>
      </c>
      <c r="C389" s="34" t="s">
        <v>3434</v>
      </c>
      <c r="D389">
        <v>36663</v>
      </c>
      <c r="E389" s="34" t="s">
        <v>3859</v>
      </c>
      <c r="F389" s="3">
        <v>44431.083333333299</v>
      </c>
      <c r="G389" s="38">
        <f ca="1">TRUNC(YEARFRAC(F389,TODAY(),1))</f>
        <v>4</v>
      </c>
      <c r="H389">
        <f>COUNTIF(BRON!A:A,Tabel6[[#This Row],[Personeelsnummer]])</f>
        <v>3</v>
      </c>
    </row>
    <row r="390" spans="1:8" x14ac:dyDescent="0.25">
      <c r="A390" s="34" t="s">
        <v>4311</v>
      </c>
      <c r="B390" s="34" t="s">
        <v>1918</v>
      </c>
      <c r="C390" s="34" t="s">
        <v>1922</v>
      </c>
      <c r="D390">
        <v>36820</v>
      </c>
      <c r="E390" s="34" t="s">
        <v>3858</v>
      </c>
      <c r="F390" s="3">
        <v>44473.083333333299</v>
      </c>
      <c r="G390" s="38">
        <f ca="1">TRUNC(YEARFRAC(F390,TODAY(),1))</f>
        <v>4</v>
      </c>
      <c r="H390">
        <f>COUNTIF(BRON!A:A,Tabel6[[#This Row],[Personeelsnummer]])</f>
        <v>1</v>
      </c>
    </row>
    <row r="391" spans="1:8" x14ac:dyDescent="0.25">
      <c r="A391" s="34" t="s">
        <v>4312</v>
      </c>
      <c r="B391" s="34" t="s">
        <v>2167</v>
      </c>
      <c r="C391" s="34" t="s">
        <v>2170</v>
      </c>
      <c r="D391">
        <v>36838</v>
      </c>
      <c r="E391" s="34" t="s">
        <v>3859</v>
      </c>
      <c r="F391" s="3">
        <v>44480.083333333299</v>
      </c>
      <c r="G391" s="38">
        <f ca="1">TRUNC(YEARFRAC(F391,TODAY(),1))</f>
        <v>4</v>
      </c>
      <c r="H391">
        <f>COUNTIF(BRON!A:A,Tabel6[[#This Row],[Personeelsnummer]])</f>
        <v>0</v>
      </c>
    </row>
    <row r="392" spans="1:8" x14ac:dyDescent="0.25">
      <c r="A392" s="34" t="s">
        <v>4313</v>
      </c>
      <c r="B392" s="34" t="s">
        <v>2296</v>
      </c>
      <c r="C392" s="34" t="s">
        <v>2301</v>
      </c>
      <c r="D392">
        <v>36845</v>
      </c>
      <c r="E392" s="34" t="s">
        <v>3855</v>
      </c>
      <c r="F392" s="3">
        <v>44440.083333333299</v>
      </c>
      <c r="G392" s="38">
        <f ca="1">TRUNC(YEARFRAC(F392,TODAY(),1))</f>
        <v>4</v>
      </c>
      <c r="H392">
        <f>COUNTIF(BRON!A:A,Tabel6[[#This Row],[Personeelsnummer]])</f>
        <v>0</v>
      </c>
    </row>
    <row r="393" spans="1:8" x14ac:dyDescent="0.25">
      <c r="A393" s="34" t="s">
        <v>3895</v>
      </c>
      <c r="B393" s="34" t="s">
        <v>1849</v>
      </c>
      <c r="C393" s="34" t="s">
        <v>1848</v>
      </c>
      <c r="D393">
        <v>36625</v>
      </c>
      <c r="E393" s="34" t="s">
        <v>3851</v>
      </c>
      <c r="F393" s="3">
        <v>44818.083333333299</v>
      </c>
      <c r="G393" s="38">
        <f ca="1">TRUNC(YEARFRAC(F393,TODAY(),1))</f>
        <v>3</v>
      </c>
      <c r="H393">
        <f>COUNTIF(BRON!A:A,Tabel6[[#This Row],[Personeelsnummer]])</f>
        <v>0</v>
      </c>
    </row>
    <row r="394" spans="1:8" x14ac:dyDescent="0.25">
      <c r="A394" s="34" t="s">
        <v>4014</v>
      </c>
      <c r="B394" s="34" t="s">
        <v>2554</v>
      </c>
      <c r="C394" s="34" t="s">
        <v>2553</v>
      </c>
      <c r="D394">
        <v>19251</v>
      </c>
      <c r="E394" s="34" t="s">
        <v>3859</v>
      </c>
      <c r="F394" s="3">
        <v>44761.083333333299</v>
      </c>
      <c r="G394" s="38">
        <f ca="1">TRUNC(YEARFRAC(F394,TODAY(),1))</f>
        <v>3</v>
      </c>
      <c r="H394">
        <f>COUNTIF(BRON!A:A,Tabel6[[#This Row],[Personeelsnummer]])</f>
        <v>0</v>
      </c>
    </row>
    <row r="395" spans="1:8" x14ac:dyDescent="0.25">
      <c r="A395" s="34" t="s">
        <v>4279</v>
      </c>
      <c r="B395" s="34" t="s">
        <v>3255</v>
      </c>
      <c r="C395" s="34" t="s">
        <v>3254</v>
      </c>
      <c r="D395">
        <v>36275</v>
      </c>
      <c r="E395" s="34" t="s">
        <v>3859</v>
      </c>
      <c r="F395" s="3">
        <v>44687.083333333299</v>
      </c>
      <c r="G395" s="38">
        <f ca="1">TRUNC(YEARFRAC(F395,TODAY(),1))</f>
        <v>3</v>
      </c>
      <c r="H395">
        <f>COUNTIF(BRON!A:A,Tabel6[[#This Row],[Personeelsnummer]])</f>
        <v>2</v>
      </c>
    </row>
    <row r="396" spans="1:8" x14ac:dyDescent="0.25">
      <c r="A396" s="34" t="s">
        <v>4314</v>
      </c>
      <c r="B396" s="34" t="s">
        <v>2224</v>
      </c>
      <c r="C396" s="34" t="s">
        <v>2223</v>
      </c>
      <c r="D396">
        <v>37131</v>
      </c>
      <c r="E396" s="34" t="s">
        <v>3851</v>
      </c>
      <c r="F396" s="3">
        <v>44585.041666666701</v>
      </c>
      <c r="G396" s="38">
        <f ca="1">TRUNC(YEARFRAC(F396,TODAY(),1))</f>
        <v>3</v>
      </c>
      <c r="H396">
        <f>COUNTIF(BRON!A:A,Tabel6[[#This Row],[Personeelsnummer]])</f>
        <v>2</v>
      </c>
    </row>
    <row r="397" spans="1:8" x14ac:dyDescent="0.25">
      <c r="A397" s="34" t="s">
        <v>4315</v>
      </c>
      <c r="B397" s="34" t="s">
        <v>2917</v>
      </c>
      <c r="C397" s="34" t="s">
        <v>2916</v>
      </c>
      <c r="D397">
        <v>37132</v>
      </c>
      <c r="E397" s="34" t="s">
        <v>3859</v>
      </c>
      <c r="F397" s="3">
        <v>44599.041666666701</v>
      </c>
      <c r="G397" s="38">
        <f ca="1">TRUNC(YEARFRAC(F397,TODAY(),1))</f>
        <v>3</v>
      </c>
      <c r="H397">
        <f>COUNTIF(BRON!A:A,Tabel6[[#This Row],[Personeelsnummer]])</f>
        <v>2</v>
      </c>
    </row>
    <row r="398" spans="1:8" x14ac:dyDescent="0.25">
      <c r="A398" s="34" t="s">
        <v>4316</v>
      </c>
      <c r="B398" s="34" t="s">
        <v>2137</v>
      </c>
      <c r="C398" s="34" t="s">
        <v>2136</v>
      </c>
      <c r="D398">
        <v>37179</v>
      </c>
      <c r="E398" s="34" t="s">
        <v>3854</v>
      </c>
      <c r="F398" s="3">
        <v>44571.041666666701</v>
      </c>
      <c r="G398" s="38">
        <f ca="1">TRUNC(YEARFRAC(F398,TODAY(),1))</f>
        <v>3</v>
      </c>
      <c r="H398">
        <f>COUNTIF(BRON!A:A,Tabel6[[#This Row],[Personeelsnummer]])</f>
        <v>2</v>
      </c>
    </row>
    <row r="399" spans="1:8" x14ac:dyDescent="0.25">
      <c r="A399" s="34" t="s">
        <v>4317</v>
      </c>
      <c r="B399" s="34" t="s">
        <v>2789</v>
      </c>
      <c r="C399" s="34" t="s">
        <v>2788</v>
      </c>
      <c r="D399">
        <v>37208</v>
      </c>
      <c r="E399" s="34" t="s">
        <v>3851</v>
      </c>
      <c r="F399" s="3">
        <v>44641.041666666701</v>
      </c>
      <c r="G399" s="38">
        <f ca="1">TRUNC(YEARFRAC(F399,TODAY(),1))</f>
        <v>3</v>
      </c>
      <c r="H399">
        <f>COUNTIF(BRON!A:A,Tabel6[[#This Row],[Personeelsnummer]])</f>
        <v>1</v>
      </c>
    </row>
    <row r="400" spans="1:8" x14ac:dyDescent="0.25">
      <c r="A400" s="34" t="s">
        <v>4318</v>
      </c>
      <c r="B400" s="34" t="s">
        <v>1662</v>
      </c>
      <c r="C400" s="34" t="s">
        <v>1661</v>
      </c>
      <c r="D400">
        <v>37216</v>
      </c>
      <c r="E400" s="34" t="s">
        <v>3851</v>
      </c>
      <c r="F400" s="3">
        <v>44664.083333333299</v>
      </c>
      <c r="G400" s="38">
        <f ca="1">TRUNC(YEARFRAC(F400,TODAY(),1))</f>
        <v>3</v>
      </c>
      <c r="H400">
        <f>COUNTIF(BRON!A:A,Tabel6[[#This Row],[Personeelsnummer]])</f>
        <v>1</v>
      </c>
    </row>
    <row r="401" spans="1:8" x14ac:dyDescent="0.25">
      <c r="A401" s="34" t="s">
        <v>4319</v>
      </c>
      <c r="B401" s="34" t="s">
        <v>1326</v>
      </c>
      <c r="C401" s="34" t="s">
        <v>2992</v>
      </c>
      <c r="D401">
        <v>37222</v>
      </c>
      <c r="E401" s="34" t="s">
        <v>3855</v>
      </c>
      <c r="F401" s="3">
        <v>44599.041666666701</v>
      </c>
      <c r="G401" s="38">
        <f ca="1">TRUNC(YEARFRAC(F401,TODAY(),1))</f>
        <v>3</v>
      </c>
      <c r="H401">
        <f>COUNTIF(BRON!A:A,Tabel6[[#This Row],[Personeelsnummer]])</f>
        <v>1</v>
      </c>
    </row>
    <row r="402" spans="1:8" x14ac:dyDescent="0.25">
      <c r="A402" s="34" t="s">
        <v>4320</v>
      </c>
      <c r="B402" s="34" t="s">
        <v>1334</v>
      </c>
      <c r="C402" s="34" t="s">
        <v>3212</v>
      </c>
      <c r="D402">
        <v>37226</v>
      </c>
      <c r="E402" s="34" t="s">
        <v>3857</v>
      </c>
      <c r="F402" s="3">
        <v>44613.041666666701</v>
      </c>
      <c r="G402" s="38">
        <f ca="1">TRUNC(YEARFRAC(F402,TODAY(),1))</f>
        <v>3</v>
      </c>
      <c r="H402">
        <f>COUNTIF(BRON!A:A,Tabel6[[#This Row],[Personeelsnummer]])</f>
        <v>0</v>
      </c>
    </row>
    <row r="403" spans="1:8" x14ac:dyDescent="0.25">
      <c r="A403" s="34" t="s">
        <v>4321</v>
      </c>
      <c r="B403" s="34" t="s">
        <v>1877</v>
      </c>
      <c r="C403" s="34" t="s">
        <v>1876</v>
      </c>
      <c r="D403">
        <v>37254</v>
      </c>
      <c r="E403" s="34" t="s">
        <v>3851</v>
      </c>
      <c r="F403" s="3">
        <v>44585.041666666701</v>
      </c>
      <c r="G403" s="38">
        <f ca="1">TRUNC(YEARFRAC(F403,TODAY(),1))</f>
        <v>3</v>
      </c>
      <c r="H403">
        <f>COUNTIF(BRON!A:A,Tabel6[[#This Row],[Personeelsnummer]])</f>
        <v>2</v>
      </c>
    </row>
    <row r="404" spans="1:8" x14ac:dyDescent="0.25">
      <c r="A404" s="34" t="s">
        <v>4322</v>
      </c>
      <c r="B404" s="34" t="s">
        <v>1417</v>
      </c>
      <c r="C404" s="34" t="s">
        <v>1416</v>
      </c>
      <c r="D404">
        <v>37261</v>
      </c>
      <c r="E404" s="34" t="s">
        <v>3859</v>
      </c>
      <c r="F404" s="3">
        <v>44599.041666666701</v>
      </c>
      <c r="G404" s="38">
        <f ca="1">TRUNC(YEARFRAC(F404,TODAY(),1))</f>
        <v>3</v>
      </c>
      <c r="H404">
        <f>COUNTIF(BRON!A:A,Tabel6[[#This Row],[Personeelsnummer]])</f>
        <v>4</v>
      </c>
    </row>
    <row r="405" spans="1:8" x14ac:dyDescent="0.25">
      <c r="A405" s="34" t="s">
        <v>4323</v>
      </c>
      <c r="B405" s="34" t="s">
        <v>2228</v>
      </c>
      <c r="C405" s="34" t="s">
        <v>2227</v>
      </c>
      <c r="D405">
        <v>37313</v>
      </c>
      <c r="E405" s="34" t="s">
        <v>3854</v>
      </c>
      <c r="F405" s="3">
        <v>44704.083333333299</v>
      </c>
      <c r="G405" s="38">
        <f ca="1">TRUNC(YEARFRAC(F405,TODAY(),1))</f>
        <v>3</v>
      </c>
      <c r="H405">
        <f>COUNTIF(BRON!A:A,Tabel6[[#This Row],[Personeelsnummer]])</f>
        <v>1</v>
      </c>
    </row>
    <row r="406" spans="1:8" x14ac:dyDescent="0.25">
      <c r="A406" s="34" t="s">
        <v>4324</v>
      </c>
      <c r="B406" s="34" t="s">
        <v>1869</v>
      </c>
      <c r="C406" s="34" t="s">
        <v>1868</v>
      </c>
      <c r="D406">
        <v>37345</v>
      </c>
      <c r="E406" s="34" t="s">
        <v>3855</v>
      </c>
      <c r="F406" s="3">
        <v>44655.083333333299</v>
      </c>
      <c r="G406" s="38">
        <f ca="1">TRUNC(YEARFRAC(F406,TODAY(),1))</f>
        <v>3</v>
      </c>
      <c r="H406">
        <f>COUNTIF(BRON!A:A,Tabel6[[#This Row],[Personeelsnummer]])</f>
        <v>3</v>
      </c>
    </row>
    <row r="407" spans="1:8" x14ac:dyDescent="0.25">
      <c r="A407" s="34" t="s">
        <v>4325</v>
      </c>
      <c r="B407" s="34" t="s">
        <v>2093</v>
      </c>
      <c r="C407" s="34" t="s">
        <v>2099</v>
      </c>
      <c r="D407">
        <v>37439</v>
      </c>
      <c r="E407" s="34" t="s">
        <v>3851</v>
      </c>
      <c r="F407" s="3">
        <v>44655.083333333299</v>
      </c>
      <c r="G407" s="38">
        <f ca="1">TRUNC(YEARFRAC(F407,TODAY(),1))</f>
        <v>3</v>
      </c>
      <c r="H407">
        <f>COUNTIF(BRON!A:A,Tabel6[[#This Row],[Personeelsnummer]])</f>
        <v>4</v>
      </c>
    </row>
    <row r="408" spans="1:8" x14ac:dyDescent="0.25">
      <c r="A408" s="34" t="s">
        <v>4326</v>
      </c>
      <c r="B408" s="34" t="s">
        <v>1474</v>
      </c>
      <c r="C408" s="34" t="s">
        <v>1473</v>
      </c>
      <c r="D408">
        <v>37496</v>
      </c>
      <c r="E408" s="34" t="s">
        <v>3859</v>
      </c>
      <c r="F408" s="3">
        <v>44700.083333333299</v>
      </c>
      <c r="G408" s="38">
        <f ca="1">TRUNC(YEARFRAC(F408,TODAY(),1))</f>
        <v>3</v>
      </c>
      <c r="H408">
        <f>COUNTIF(BRON!A:A,Tabel6[[#This Row],[Personeelsnummer]])</f>
        <v>4</v>
      </c>
    </row>
    <row r="409" spans="1:8" x14ac:dyDescent="0.25">
      <c r="A409" s="34" t="s">
        <v>4327</v>
      </c>
      <c r="B409" s="34" t="s">
        <v>1797</v>
      </c>
      <c r="C409" s="34" t="s">
        <v>1796</v>
      </c>
      <c r="D409">
        <v>37509</v>
      </c>
      <c r="E409" s="34" t="s">
        <v>3854</v>
      </c>
      <c r="F409" s="3">
        <v>44670.083333333299</v>
      </c>
      <c r="G409" s="38">
        <f ca="1">TRUNC(YEARFRAC(F409,TODAY(),1))</f>
        <v>3</v>
      </c>
      <c r="H409">
        <f>COUNTIF(BRON!A:A,Tabel6[[#This Row],[Personeelsnummer]])</f>
        <v>3</v>
      </c>
    </row>
    <row r="410" spans="1:8" x14ac:dyDescent="0.25">
      <c r="A410" s="34" t="s">
        <v>4328</v>
      </c>
      <c r="B410" s="34" t="s">
        <v>2754</v>
      </c>
      <c r="C410" s="34" t="s">
        <v>2753</v>
      </c>
      <c r="D410">
        <v>37542</v>
      </c>
      <c r="E410" s="34" t="s">
        <v>3854</v>
      </c>
      <c r="F410" s="3">
        <v>44683.083333333299</v>
      </c>
      <c r="G410" s="38">
        <f ca="1">TRUNC(YEARFRAC(F410,TODAY(),1))</f>
        <v>3</v>
      </c>
      <c r="H410">
        <f>COUNTIF(BRON!A:A,Tabel6[[#This Row],[Personeelsnummer]])</f>
        <v>5</v>
      </c>
    </row>
    <row r="411" spans="1:8" x14ac:dyDescent="0.25">
      <c r="A411" s="34" t="s">
        <v>4329</v>
      </c>
      <c r="B411" s="34" t="s">
        <v>3228</v>
      </c>
      <c r="C411" s="34" t="s">
        <v>3227</v>
      </c>
      <c r="D411">
        <v>37543</v>
      </c>
      <c r="E411" s="34" t="s">
        <v>3851</v>
      </c>
      <c r="F411" s="3">
        <v>44683.083333333299</v>
      </c>
      <c r="G411" s="38">
        <f ca="1">TRUNC(YEARFRAC(F411,TODAY(),1))</f>
        <v>3</v>
      </c>
      <c r="H411">
        <f>COUNTIF(BRON!A:A,Tabel6[[#This Row],[Personeelsnummer]])</f>
        <v>6</v>
      </c>
    </row>
    <row r="412" spans="1:8" x14ac:dyDescent="0.25">
      <c r="A412" s="34" t="s">
        <v>4330</v>
      </c>
      <c r="B412" s="34" t="s">
        <v>2085</v>
      </c>
      <c r="C412" s="34" t="s">
        <v>2084</v>
      </c>
      <c r="D412">
        <v>37564</v>
      </c>
      <c r="E412" s="34" t="s">
        <v>3856</v>
      </c>
      <c r="F412" s="3">
        <v>44683.083333333299</v>
      </c>
      <c r="G412" s="38">
        <f ca="1">TRUNC(YEARFRAC(F412,TODAY(),1))</f>
        <v>3</v>
      </c>
      <c r="H412">
        <f>COUNTIF(BRON!A:A,Tabel6[[#This Row],[Personeelsnummer]])</f>
        <v>1</v>
      </c>
    </row>
    <row r="413" spans="1:8" x14ac:dyDescent="0.25">
      <c r="A413" s="34" t="s">
        <v>4331</v>
      </c>
      <c r="B413" s="34" t="s">
        <v>2065</v>
      </c>
      <c r="C413" s="34" t="s">
        <v>2068</v>
      </c>
      <c r="D413">
        <v>37600</v>
      </c>
      <c r="E413" s="34" t="s">
        <v>3855</v>
      </c>
      <c r="F413" s="3">
        <v>44704.083333333299</v>
      </c>
      <c r="G413" s="38">
        <f ca="1">TRUNC(YEARFRAC(F413,TODAY(),1))</f>
        <v>3</v>
      </c>
      <c r="H413">
        <f>COUNTIF(BRON!A:A,Tabel6[[#This Row],[Personeelsnummer]])</f>
        <v>0</v>
      </c>
    </row>
    <row r="414" spans="1:8" x14ac:dyDescent="0.25">
      <c r="A414" s="34" t="s">
        <v>4332</v>
      </c>
      <c r="B414" s="34" t="s">
        <v>2972</v>
      </c>
      <c r="C414" s="34" t="s">
        <v>2975</v>
      </c>
      <c r="D414">
        <v>37609</v>
      </c>
      <c r="E414" s="34" t="s">
        <v>3851</v>
      </c>
      <c r="F414" s="3">
        <v>44704.083333333299</v>
      </c>
      <c r="G414" s="38">
        <f ca="1">TRUNC(YEARFRAC(F414,TODAY(),1))</f>
        <v>3</v>
      </c>
      <c r="H414">
        <f>COUNTIF(BRON!A:A,Tabel6[[#This Row],[Personeelsnummer]])</f>
        <v>2</v>
      </c>
    </row>
    <row r="415" spans="1:8" x14ac:dyDescent="0.25">
      <c r="A415" s="34" t="s">
        <v>4333</v>
      </c>
      <c r="B415" s="34" t="s">
        <v>2538</v>
      </c>
      <c r="C415" s="34" t="s">
        <v>4334</v>
      </c>
      <c r="D415">
        <v>37623</v>
      </c>
      <c r="E415" s="34" t="s">
        <v>3852</v>
      </c>
      <c r="F415" s="3">
        <v>44774.083333333299</v>
      </c>
      <c r="G415" s="38">
        <f ca="1">TRUNC(YEARFRAC(F415,TODAY(),1))</f>
        <v>3</v>
      </c>
      <c r="H415">
        <f>COUNTIF(BRON!A:A,Tabel6[[#This Row],[Personeelsnummer]])</f>
        <v>0</v>
      </c>
    </row>
    <row r="416" spans="1:8" x14ac:dyDescent="0.25">
      <c r="A416" s="34" t="s">
        <v>4335</v>
      </c>
      <c r="B416" s="34" t="s">
        <v>1328</v>
      </c>
      <c r="C416" s="34" t="s">
        <v>1629</v>
      </c>
      <c r="D416">
        <v>37662</v>
      </c>
      <c r="E416" s="34" t="s">
        <v>3854</v>
      </c>
      <c r="F416" s="3">
        <v>44719.083333333299</v>
      </c>
      <c r="G416" s="38">
        <f ca="1">TRUNC(YEARFRAC(F416,TODAY(),1))</f>
        <v>3</v>
      </c>
      <c r="H416">
        <f>COUNTIF(BRON!A:A,Tabel6[[#This Row],[Personeelsnummer]])</f>
        <v>8</v>
      </c>
    </row>
    <row r="417" spans="1:8" x14ac:dyDescent="0.25">
      <c r="A417" s="34" t="s">
        <v>4336</v>
      </c>
      <c r="B417" s="34" t="s">
        <v>3157</v>
      </c>
      <c r="C417" s="34" t="s">
        <v>2327</v>
      </c>
      <c r="D417">
        <v>37683</v>
      </c>
      <c r="E417" s="34" t="s">
        <v>3858</v>
      </c>
      <c r="F417" s="3">
        <v>44739.083333333299</v>
      </c>
      <c r="G417" s="38">
        <f ca="1">TRUNC(YEARFRAC(F417,TODAY(),1))</f>
        <v>3</v>
      </c>
      <c r="H417">
        <f>COUNTIF(BRON!A:A,Tabel6[[#This Row],[Personeelsnummer]])</f>
        <v>1</v>
      </c>
    </row>
    <row r="418" spans="1:8" x14ac:dyDescent="0.25">
      <c r="A418" s="34" t="s">
        <v>4337</v>
      </c>
      <c r="B418" s="34" t="s">
        <v>2866</v>
      </c>
      <c r="C418" s="34" t="s">
        <v>1811</v>
      </c>
      <c r="D418">
        <v>37744</v>
      </c>
      <c r="E418" s="34" t="s">
        <v>3859</v>
      </c>
      <c r="F418" s="3">
        <v>44753.083333333299</v>
      </c>
      <c r="G418" s="38">
        <f ca="1">TRUNC(YEARFRAC(F418,TODAY(),1))</f>
        <v>3</v>
      </c>
      <c r="H418">
        <f>COUNTIF(BRON!A:A,Tabel6[[#This Row],[Personeelsnummer]])</f>
        <v>1</v>
      </c>
    </row>
    <row r="419" spans="1:8" x14ac:dyDescent="0.25">
      <c r="A419" s="34" t="s">
        <v>4338</v>
      </c>
      <c r="B419" s="34" t="s">
        <v>2492</v>
      </c>
      <c r="C419" s="34" t="s">
        <v>1692</v>
      </c>
      <c r="D419">
        <v>37794</v>
      </c>
      <c r="E419" s="34" t="s">
        <v>3858</v>
      </c>
      <c r="F419" s="3">
        <v>44790.083333333299</v>
      </c>
      <c r="G419" s="38">
        <f ca="1">TRUNC(YEARFRAC(F419,TODAY(),1))</f>
        <v>3</v>
      </c>
      <c r="H419">
        <f>COUNTIF(BRON!A:A,Tabel6[[#This Row],[Personeelsnummer]])</f>
        <v>1</v>
      </c>
    </row>
    <row r="420" spans="1:8" x14ac:dyDescent="0.25">
      <c r="A420" s="34" t="s">
        <v>4339</v>
      </c>
      <c r="B420" s="34" t="s">
        <v>2093</v>
      </c>
      <c r="C420" s="34" t="s">
        <v>2096</v>
      </c>
      <c r="D420">
        <v>37808</v>
      </c>
      <c r="E420" s="34" t="s">
        <v>3856</v>
      </c>
      <c r="F420" s="3">
        <v>44795.083333333299</v>
      </c>
      <c r="G420" s="38">
        <f ca="1">TRUNC(YEARFRAC(F420,TODAY(),1))</f>
        <v>3</v>
      </c>
      <c r="H420">
        <f>COUNTIF(BRON!A:A,Tabel6[[#This Row],[Personeelsnummer]])</f>
        <v>1</v>
      </c>
    </row>
    <row r="421" spans="1:8" x14ac:dyDescent="0.25">
      <c r="A421" s="34" t="s">
        <v>4340</v>
      </c>
      <c r="B421" s="34" t="s">
        <v>2462</v>
      </c>
      <c r="C421" s="34" t="s">
        <v>1557</v>
      </c>
      <c r="D421">
        <v>37809</v>
      </c>
      <c r="E421" s="34" t="s">
        <v>3858</v>
      </c>
      <c r="F421" s="3">
        <v>44809.083333333299</v>
      </c>
      <c r="G421" s="38">
        <f ca="1">TRUNC(YEARFRAC(F421,TODAY(),1))</f>
        <v>3</v>
      </c>
      <c r="H421">
        <f>COUNTIF(BRON!A:A,Tabel6[[#This Row],[Personeelsnummer]])</f>
        <v>3</v>
      </c>
    </row>
    <row r="422" spans="1:8" x14ac:dyDescent="0.25">
      <c r="A422" s="34" t="s">
        <v>4341</v>
      </c>
      <c r="B422" s="34" t="s">
        <v>3400</v>
      </c>
      <c r="C422" s="34" t="s">
        <v>3399</v>
      </c>
      <c r="D422">
        <v>37907</v>
      </c>
      <c r="E422" s="34" t="s">
        <v>3859</v>
      </c>
      <c r="F422" s="3">
        <v>44809.083333333299</v>
      </c>
      <c r="G422" s="38">
        <f ca="1">TRUNC(YEARFRAC(F422,TODAY(),1))</f>
        <v>3</v>
      </c>
      <c r="H422">
        <f>COUNTIF(BRON!A:A,Tabel6[[#This Row],[Personeelsnummer]])</f>
        <v>0</v>
      </c>
    </row>
    <row r="423" spans="1:8" x14ac:dyDescent="0.25">
      <c r="A423" s="34" t="s">
        <v>4342</v>
      </c>
      <c r="B423" s="34" t="s">
        <v>2203</v>
      </c>
      <c r="C423" s="34" t="s">
        <v>2206</v>
      </c>
      <c r="D423">
        <v>37908</v>
      </c>
      <c r="E423" s="34" t="s">
        <v>3858</v>
      </c>
      <c r="F423" s="3">
        <v>44823.083333333299</v>
      </c>
      <c r="G423" s="38">
        <f ca="1">TRUNC(YEARFRAC(F423,TODAY(),1))</f>
        <v>3</v>
      </c>
      <c r="H423">
        <f>COUNTIF(BRON!A:A,Tabel6[[#This Row],[Personeelsnummer]])</f>
        <v>1</v>
      </c>
    </row>
    <row r="424" spans="1:8" x14ac:dyDescent="0.25">
      <c r="A424" s="34" t="s">
        <v>4343</v>
      </c>
      <c r="B424" s="34" t="s">
        <v>3388</v>
      </c>
      <c r="C424" s="34" t="s">
        <v>3391</v>
      </c>
      <c r="D424">
        <v>37936</v>
      </c>
      <c r="E424" s="34" t="s">
        <v>3858</v>
      </c>
      <c r="F424" s="3">
        <v>44837.083333333299</v>
      </c>
      <c r="G424" s="38">
        <f ca="1">TRUNC(YEARFRAC(F424,TODAY(),1))</f>
        <v>3</v>
      </c>
      <c r="H424">
        <f>COUNTIF(BRON!A:A,Tabel6[[#This Row],[Personeelsnummer]])</f>
        <v>2</v>
      </c>
    </row>
    <row r="425" spans="1:8" x14ac:dyDescent="0.25">
      <c r="A425" s="34" t="s">
        <v>4344</v>
      </c>
      <c r="B425" s="34" t="s">
        <v>3181</v>
      </c>
      <c r="C425" s="34" t="s">
        <v>3184</v>
      </c>
      <c r="D425">
        <v>37950</v>
      </c>
      <c r="E425" s="34" t="s">
        <v>3859</v>
      </c>
      <c r="F425" s="3">
        <v>44809.083333333299</v>
      </c>
      <c r="G425" s="38">
        <f ca="1">TRUNC(YEARFRAC(F425,TODAY(),1))</f>
        <v>3</v>
      </c>
      <c r="H425">
        <f>COUNTIF(BRON!A:A,Tabel6[[#This Row],[Personeelsnummer]])</f>
        <v>3</v>
      </c>
    </row>
    <row r="426" spans="1:8" x14ac:dyDescent="0.25">
      <c r="A426" s="34" t="s">
        <v>4345</v>
      </c>
      <c r="B426" s="34" t="s">
        <v>3132</v>
      </c>
      <c r="C426" s="34" t="s">
        <v>3131</v>
      </c>
      <c r="D426">
        <v>37951</v>
      </c>
      <c r="E426" s="34" t="s">
        <v>3855</v>
      </c>
      <c r="F426" s="3">
        <v>44837.083333333299</v>
      </c>
      <c r="G426" s="38">
        <f ca="1">TRUNC(YEARFRAC(F426,TODAY(),1))</f>
        <v>3</v>
      </c>
      <c r="H426">
        <f>COUNTIF(BRON!A:A,Tabel6[[#This Row],[Personeelsnummer]])</f>
        <v>1</v>
      </c>
    </row>
    <row r="427" spans="1:8" x14ac:dyDescent="0.25">
      <c r="A427" s="34" t="s">
        <v>4346</v>
      </c>
      <c r="B427" s="34" t="s">
        <v>3161</v>
      </c>
      <c r="C427" s="34" t="s">
        <v>3160</v>
      </c>
      <c r="D427">
        <v>37999</v>
      </c>
      <c r="E427" s="34" t="s">
        <v>3858</v>
      </c>
      <c r="F427" s="3">
        <v>44805.083333333299</v>
      </c>
      <c r="G427" s="38">
        <f ca="1">TRUNC(YEARFRAC(F427,TODAY(),1))</f>
        <v>3</v>
      </c>
      <c r="H427">
        <f>COUNTIF(BRON!A:A,Tabel6[[#This Row],[Personeelsnummer]])</f>
        <v>0</v>
      </c>
    </row>
    <row r="428" spans="1:8" x14ac:dyDescent="0.25">
      <c r="A428" s="34" t="s">
        <v>4347</v>
      </c>
      <c r="B428" s="34" t="s">
        <v>1860</v>
      </c>
      <c r="C428" s="34" t="s">
        <v>3411</v>
      </c>
      <c r="D428">
        <v>38013</v>
      </c>
      <c r="E428" s="34" t="s">
        <v>3855</v>
      </c>
      <c r="F428" s="3">
        <v>44837.083333333299</v>
      </c>
      <c r="G428" s="38">
        <f ca="1">TRUNC(YEARFRAC(F428,TODAY(),1))</f>
        <v>3</v>
      </c>
      <c r="H428">
        <f>COUNTIF(BRON!A:A,Tabel6[[#This Row],[Personeelsnummer]])</f>
        <v>1</v>
      </c>
    </row>
    <row r="429" spans="1:8" x14ac:dyDescent="0.25">
      <c r="A429" s="34" t="s">
        <v>4348</v>
      </c>
      <c r="B429" s="34" t="s">
        <v>2667</v>
      </c>
      <c r="C429" s="34" t="s">
        <v>2666</v>
      </c>
      <c r="D429">
        <v>38035</v>
      </c>
      <c r="E429" s="34" t="s">
        <v>3854</v>
      </c>
      <c r="F429" s="3">
        <v>44837.083333333299</v>
      </c>
      <c r="G429" s="38">
        <f ca="1">TRUNC(YEARFRAC(F429,TODAY(),1))</f>
        <v>3</v>
      </c>
      <c r="H429">
        <f>COUNTIF(BRON!A:A,Tabel6[[#This Row],[Personeelsnummer]])</f>
        <v>1</v>
      </c>
    </row>
    <row r="430" spans="1:8" x14ac:dyDescent="0.25">
      <c r="A430" s="34" t="s">
        <v>4350</v>
      </c>
      <c r="B430" s="34" t="s">
        <v>2721</v>
      </c>
      <c r="C430" s="34" t="s">
        <v>2720</v>
      </c>
      <c r="D430">
        <v>38205</v>
      </c>
      <c r="E430" s="34" t="s">
        <v>3851</v>
      </c>
      <c r="F430" s="3">
        <v>44893.041666666701</v>
      </c>
      <c r="G430" s="38">
        <f ca="1">TRUNC(YEARFRAC(F430,TODAY(),1))</f>
        <v>3</v>
      </c>
      <c r="H430">
        <f>COUNTIF(BRON!A:A,Tabel6[[#This Row],[Personeelsnummer]])</f>
        <v>0</v>
      </c>
    </row>
    <row r="431" spans="1:8" x14ac:dyDescent="0.25">
      <c r="A431" s="34" t="s">
        <v>3896</v>
      </c>
      <c r="B431" s="34" t="s">
        <v>3047</v>
      </c>
      <c r="C431" s="34" t="s">
        <v>2765</v>
      </c>
      <c r="D431">
        <v>38481</v>
      </c>
      <c r="E431" s="34" t="s">
        <v>3851</v>
      </c>
      <c r="F431" s="3">
        <v>44970.041666666701</v>
      </c>
      <c r="G431" s="38">
        <f ca="1">TRUNC(YEARFRAC(F431,TODAY(),1))</f>
        <v>2</v>
      </c>
      <c r="H431">
        <f>COUNTIF(BRON!A:A,Tabel6[[#This Row],[Personeelsnummer]])</f>
        <v>3</v>
      </c>
    </row>
    <row r="432" spans="1:8" x14ac:dyDescent="0.25">
      <c r="A432" s="34" t="s">
        <v>4084</v>
      </c>
      <c r="B432" s="34" t="s">
        <v>3136</v>
      </c>
      <c r="C432" s="34" t="s">
        <v>3139</v>
      </c>
      <c r="D432">
        <v>23700</v>
      </c>
      <c r="E432" s="34" t="s">
        <v>3859</v>
      </c>
      <c r="F432" s="3">
        <v>45181.083333333299</v>
      </c>
      <c r="G432" s="38">
        <f ca="1">TRUNC(YEARFRAC(F432,TODAY(),1))</f>
        <v>2</v>
      </c>
      <c r="H432">
        <f>COUNTIF(BRON!A:A,Tabel6[[#This Row],[Personeelsnummer]])</f>
        <v>2</v>
      </c>
    </row>
    <row r="433" spans="1:8" x14ac:dyDescent="0.25">
      <c r="A433" s="34" t="s">
        <v>4128</v>
      </c>
      <c r="B433" s="34" t="s">
        <v>2897</v>
      </c>
      <c r="C433" s="34" t="s">
        <v>2896</v>
      </c>
      <c r="D433">
        <v>27186</v>
      </c>
      <c r="E433" s="34" t="s">
        <v>3853</v>
      </c>
      <c r="F433" s="3">
        <v>45139.083333333299</v>
      </c>
      <c r="G433" s="38">
        <f ca="1">TRUNC(YEARFRAC(F433,TODAY(),1))</f>
        <v>2</v>
      </c>
      <c r="H433">
        <f>COUNTIF(BRON!A:A,Tabel6[[#This Row],[Personeelsnummer]])</f>
        <v>2</v>
      </c>
    </row>
    <row r="434" spans="1:8" x14ac:dyDescent="0.25">
      <c r="A434" s="34" t="s">
        <v>4235</v>
      </c>
      <c r="B434" s="34" t="s">
        <v>2249</v>
      </c>
      <c r="C434" s="34" t="s">
        <v>2248</v>
      </c>
      <c r="D434">
        <v>34325</v>
      </c>
      <c r="E434" s="34" t="s">
        <v>3858</v>
      </c>
      <c r="F434" s="3">
        <v>44971.041666666701</v>
      </c>
      <c r="G434" s="38">
        <f ca="1">TRUNC(YEARFRAC(F434,TODAY(),1))</f>
        <v>2</v>
      </c>
      <c r="H434">
        <f>COUNTIF(BRON!A:A,Tabel6[[#This Row],[Personeelsnummer]])</f>
        <v>5</v>
      </c>
    </row>
    <row r="435" spans="1:8" x14ac:dyDescent="0.25">
      <c r="A435" s="34" t="s">
        <v>4349</v>
      </c>
      <c r="B435" s="34" t="s">
        <v>2253</v>
      </c>
      <c r="C435" s="34" t="s">
        <v>2252</v>
      </c>
      <c r="D435">
        <v>38047</v>
      </c>
      <c r="E435" s="34" t="s">
        <v>3853</v>
      </c>
      <c r="F435" s="3">
        <v>45169.083333333299</v>
      </c>
      <c r="G435" s="38">
        <f ca="1">TRUNC(YEARFRAC(F435,TODAY(),1))</f>
        <v>2</v>
      </c>
      <c r="H435">
        <f>COUNTIF(BRON!A:A,Tabel6[[#This Row],[Personeelsnummer]])</f>
        <v>0</v>
      </c>
    </row>
    <row r="436" spans="1:8" x14ac:dyDescent="0.25">
      <c r="A436" s="34" t="s">
        <v>4351</v>
      </c>
      <c r="B436" s="34" t="s">
        <v>2495</v>
      </c>
      <c r="C436" s="34" t="s">
        <v>1964</v>
      </c>
      <c r="D436">
        <v>38475</v>
      </c>
      <c r="E436" s="34" t="s">
        <v>3857</v>
      </c>
      <c r="F436" s="3">
        <v>44942.041666666701</v>
      </c>
      <c r="G436" s="38">
        <f ca="1">TRUNC(YEARFRAC(F436,TODAY(),1))</f>
        <v>2</v>
      </c>
      <c r="H436">
        <f>COUNTIF(BRON!A:A,Tabel6[[#This Row],[Personeelsnummer]])</f>
        <v>4</v>
      </c>
    </row>
    <row r="437" spans="1:8" x14ac:dyDescent="0.25">
      <c r="A437" s="34" t="s">
        <v>4352</v>
      </c>
      <c r="B437" s="34" t="s">
        <v>2631</v>
      </c>
      <c r="C437" s="34" t="s">
        <v>2630</v>
      </c>
      <c r="D437">
        <v>38529</v>
      </c>
      <c r="E437" s="34" t="s">
        <v>3857</v>
      </c>
      <c r="F437" s="3">
        <v>44956.041666666701</v>
      </c>
      <c r="G437" s="38">
        <f ca="1">TRUNC(YEARFRAC(F437,TODAY(),1))</f>
        <v>2</v>
      </c>
      <c r="H437">
        <f>COUNTIF(BRON!A:A,Tabel6[[#This Row],[Personeelsnummer]])</f>
        <v>5</v>
      </c>
    </row>
    <row r="438" spans="1:8" x14ac:dyDescent="0.25">
      <c r="A438" s="34" t="s">
        <v>4353</v>
      </c>
      <c r="B438" s="34" t="s">
        <v>1725</v>
      </c>
      <c r="C438" s="34" t="s">
        <v>1615</v>
      </c>
      <c r="D438">
        <v>38550</v>
      </c>
      <c r="E438" s="34" t="s">
        <v>3853</v>
      </c>
      <c r="F438" s="3">
        <v>44984.041666666701</v>
      </c>
      <c r="G438" s="38">
        <f ca="1">TRUNC(YEARFRAC(F438,TODAY(),1))</f>
        <v>2</v>
      </c>
      <c r="H438">
        <f>COUNTIF(BRON!A:A,Tabel6[[#This Row],[Personeelsnummer]])</f>
        <v>0</v>
      </c>
    </row>
    <row r="439" spans="1:8" x14ac:dyDescent="0.25">
      <c r="A439" s="34" t="s">
        <v>4354</v>
      </c>
      <c r="B439" s="34" t="s">
        <v>2014</v>
      </c>
      <c r="C439" s="34" t="s">
        <v>3431</v>
      </c>
      <c r="D439">
        <v>38551</v>
      </c>
      <c r="E439" s="34" t="s">
        <v>3854</v>
      </c>
      <c r="F439" s="3">
        <v>44970.041666666701</v>
      </c>
      <c r="G439" s="38">
        <f ca="1">TRUNC(YEARFRAC(F439,TODAY(),1))</f>
        <v>2</v>
      </c>
      <c r="H439">
        <f>COUNTIF(BRON!A:A,Tabel6[[#This Row],[Personeelsnummer]])</f>
        <v>1</v>
      </c>
    </row>
    <row r="440" spans="1:8" x14ac:dyDescent="0.25">
      <c r="A440" s="34" t="s">
        <v>4355</v>
      </c>
      <c r="B440" s="34" t="s">
        <v>2307</v>
      </c>
      <c r="C440" s="34" t="s">
        <v>2306</v>
      </c>
      <c r="D440">
        <v>38555</v>
      </c>
      <c r="E440" s="34" t="s">
        <v>3856</v>
      </c>
      <c r="F440" s="3">
        <v>44984.041666666701</v>
      </c>
      <c r="G440" s="38">
        <f ca="1">TRUNC(YEARFRAC(F440,TODAY(),1))</f>
        <v>2</v>
      </c>
      <c r="H440">
        <f>COUNTIF(BRON!A:A,Tabel6[[#This Row],[Personeelsnummer]])</f>
        <v>1</v>
      </c>
    </row>
    <row r="441" spans="1:8" x14ac:dyDescent="0.25">
      <c r="A441" s="34" t="s">
        <v>4356</v>
      </c>
      <c r="B441" s="34" t="s">
        <v>1616</v>
      </c>
      <c r="C441" s="34" t="s">
        <v>1615</v>
      </c>
      <c r="D441">
        <v>38579</v>
      </c>
      <c r="E441" s="34" t="s">
        <v>3857</v>
      </c>
      <c r="F441" s="3">
        <v>45035.083333333299</v>
      </c>
      <c r="G441" s="38">
        <f ca="1">TRUNC(YEARFRAC(F441,TODAY(),1))</f>
        <v>2</v>
      </c>
      <c r="H441">
        <f>COUNTIF(BRON!A:A,Tabel6[[#This Row],[Personeelsnummer]])</f>
        <v>1</v>
      </c>
    </row>
    <row r="442" spans="1:8" x14ac:dyDescent="0.25">
      <c r="A442" s="34" t="s">
        <v>4357</v>
      </c>
      <c r="B442" s="34" t="s">
        <v>1763</v>
      </c>
      <c r="C442" s="34" t="s">
        <v>1762</v>
      </c>
      <c r="D442">
        <v>38580</v>
      </c>
      <c r="E442" s="34" t="s">
        <v>3857</v>
      </c>
      <c r="F442" s="3">
        <v>44998.041666666701</v>
      </c>
      <c r="G442" s="38">
        <f ca="1">TRUNC(YEARFRAC(F442,TODAY(),1))</f>
        <v>2</v>
      </c>
      <c r="H442">
        <f>COUNTIF(BRON!A:A,Tabel6[[#This Row],[Personeelsnummer]])</f>
        <v>1</v>
      </c>
    </row>
    <row r="443" spans="1:8" x14ac:dyDescent="0.25">
      <c r="A443" s="34" t="s">
        <v>4358</v>
      </c>
      <c r="B443" s="34" t="s">
        <v>2245</v>
      </c>
      <c r="C443" s="34" t="s">
        <v>2244</v>
      </c>
      <c r="D443">
        <v>38633</v>
      </c>
      <c r="E443" s="34" t="s">
        <v>3857</v>
      </c>
      <c r="F443" s="3">
        <v>44970.041666666701</v>
      </c>
      <c r="G443" s="38">
        <f ca="1">TRUNC(YEARFRAC(F443,TODAY(),1))</f>
        <v>2</v>
      </c>
      <c r="H443">
        <f>COUNTIF(BRON!A:A,Tabel6[[#This Row],[Personeelsnummer]])</f>
        <v>3</v>
      </c>
    </row>
    <row r="444" spans="1:8" x14ac:dyDescent="0.25">
      <c r="A444" s="34" t="s">
        <v>4359</v>
      </c>
      <c r="B444" s="34" t="s">
        <v>1384</v>
      </c>
      <c r="C444" s="34" t="s">
        <v>1383</v>
      </c>
      <c r="D444">
        <v>38634</v>
      </c>
      <c r="E444" s="34" t="s">
        <v>3854</v>
      </c>
      <c r="F444" s="3">
        <v>45012.083333333299</v>
      </c>
      <c r="G444" s="38">
        <f ca="1">TRUNC(YEARFRAC(F444,TODAY(),1))</f>
        <v>2</v>
      </c>
      <c r="H444">
        <f>COUNTIF(BRON!A:A,Tabel6[[#This Row],[Personeelsnummer]])</f>
        <v>3</v>
      </c>
    </row>
    <row r="445" spans="1:8" x14ac:dyDescent="0.25">
      <c r="A445" s="34" t="s">
        <v>4360</v>
      </c>
      <c r="B445" s="34" t="s">
        <v>2129</v>
      </c>
      <c r="C445" s="34" t="s">
        <v>2128</v>
      </c>
      <c r="D445">
        <v>38648</v>
      </c>
      <c r="E445" s="34" t="s">
        <v>3855</v>
      </c>
      <c r="F445" s="3">
        <v>45027.083333333299</v>
      </c>
      <c r="G445" s="38">
        <f ca="1">TRUNC(YEARFRAC(F445,TODAY(),1))</f>
        <v>2</v>
      </c>
      <c r="H445">
        <f>COUNTIF(BRON!A:A,Tabel6[[#This Row],[Personeelsnummer]])</f>
        <v>4</v>
      </c>
    </row>
    <row r="446" spans="1:8" x14ac:dyDescent="0.25">
      <c r="A446" s="34" t="s">
        <v>4361</v>
      </c>
      <c r="B446" s="34" t="s">
        <v>1706</v>
      </c>
      <c r="C446" s="34" t="s">
        <v>1705</v>
      </c>
      <c r="D446">
        <v>38688</v>
      </c>
      <c r="E446" s="34" t="s">
        <v>3857</v>
      </c>
      <c r="F446" s="3">
        <v>45027.083333333299</v>
      </c>
      <c r="G446" s="38">
        <f ca="1">TRUNC(YEARFRAC(F446,TODAY(),1))</f>
        <v>2</v>
      </c>
      <c r="H446">
        <f>COUNTIF(BRON!A:A,Tabel6[[#This Row],[Personeelsnummer]])</f>
        <v>3</v>
      </c>
    </row>
    <row r="447" spans="1:8" x14ac:dyDescent="0.25">
      <c r="A447" s="34" t="s">
        <v>4362</v>
      </c>
      <c r="B447" s="34" t="s">
        <v>3473</v>
      </c>
      <c r="C447" s="34" t="s">
        <v>3472</v>
      </c>
      <c r="D447">
        <v>38691</v>
      </c>
      <c r="E447" s="34" t="s">
        <v>3857</v>
      </c>
      <c r="F447" s="3">
        <v>45012.083333333299</v>
      </c>
      <c r="G447" s="38">
        <f ca="1">TRUNC(YEARFRAC(F447,TODAY(),1))</f>
        <v>2</v>
      </c>
      <c r="H447">
        <f>COUNTIF(BRON!A:A,Tabel6[[#This Row],[Personeelsnummer]])</f>
        <v>0</v>
      </c>
    </row>
    <row r="448" spans="1:8" x14ac:dyDescent="0.25">
      <c r="A448" s="34" t="s">
        <v>4363</v>
      </c>
      <c r="B448" s="34" t="s">
        <v>1756</v>
      </c>
      <c r="C448" s="34" t="s">
        <v>1755</v>
      </c>
      <c r="D448">
        <v>38731</v>
      </c>
      <c r="E448" s="34" t="s">
        <v>3853</v>
      </c>
      <c r="F448" s="3">
        <v>45062.083333333299</v>
      </c>
      <c r="G448" s="38">
        <f ca="1">TRUNC(YEARFRAC(F448,TODAY(),1))</f>
        <v>2</v>
      </c>
      <c r="H448">
        <f>COUNTIF(BRON!A:A,Tabel6[[#This Row],[Personeelsnummer]])</f>
        <v>1</v>
      </c>
    </row>
    <row r="449" spans="1:8" x14ac:dyDescent="0.25">
      <c r="A449" s="34" t="s">
        <v>4364</v>
      </c>
      <c r="B449" s="34" t="s">
        <v>3335</v>
      </c>
      <c r="C449" s="34" t="s">
        <v>3334</v>
      </c>
      <c r="D449">
        <v>38740</v>
      </c>
      <c r="E449" s="34" t="s">
        <v>3853</v>
      </c>
      <c r="F449" s="3">
        <v>45027.083333333299</v>
      </c>
      <c r="G449" s="38">
        <f ca="1">TRUNC(YEARFRAC(F449,TODAY(),1))</f>
        <v>2</v>
      </c>
      <c r="H449">
        <f>COUNTIF(BRON!A:A,Tabel6[[#This Row],[Personeelsnummer]])</f>
        <v>2</v>
      </c>
    </row>
    <row r="450" spans="1:8" x14ac:dyDescent="0.25">
      <c r="A450" s="34" t="s">
        <v>4365</v>
      </c>
      <c r="B450" s="34" t="s">
        <v>3173</v>
      </c>
      <c r="C450" s="34" t="s">
        <v>3172</v>
      </c>
      <c r="D450">
        <v>38807</v>
      </c>
      <c r="E450" s="34" t="s">
        <v>3853</v>
      </c>
      <c r="F450" s="3">
        <v>45027.083333333299</v>
      </c>
      <c r="G450" s="38">
        <f ca="1">TRUNC(YEARFRAC(F450,TODAY(),1))</f>
        <v>2</v>
      </c>
      <c r="H450">
        <f>COUNTIF(BRON!A:A,Tabel6[[#This Row],[Personeelsnummer]])</f>
        <v>4</v>
      </c>
    </row>
    <row r="451" spans="1:8" x14ac:dyDescent="0.25">
      <c r="A451" s="34" t="s">
        <v>4366</v>
      </c>
      <c r="B451" s="34" t="s">
        <v>2604</v>
      </c>
      <c r="C451" s="34" t="s">
        <v>2607</v>
      </c>
      <c r="D451">
        <v>38808</v>
      </c>
      <c r="E451" s="34" t="s">
        <v>3857</v>
      </c>
      <c r="F451" s="3">
        <v>45090.083333333299</v>
      </c>
      <c r="G451" s="38">
        <f ca="1">TRUNC(YEARFRAC(F451,TODAY(),1))</f>
        <v>2</v>
      </c>
      <c r="H451">
        <f>COUNTIF(BRON!A:A,Tabel6[[#This Row],[Personeelsnummer]])</f>
        <v>5</v>
      </c>
    </row>
    <row r="452" spans="1:8" x14ac:dyDescent="0.25">
      <c r="A452" s="34" t="s">
        <v>4367</v>
      </c>
      <c r="B452" s="34" t="s">
        <v>2909</v>
      </c>
      <c r="C452" s="34" t="s">
        <v>2908</v>
      </c>
      <c r="D452">
        <v>38931</v>
      </c>
      <c r="E452" s="34" t="s">
        <v>3854</v>
      </c>
      <c r="F452" s="3">
        <v>45040.083333333299</v>
      </c>
      <c r="G452" s="38">
        <f ca="1">TRUNC(YEARFRAC(F452,TODAY(),1))</f>
        <v>2</v>
      </c>
      <c r="H452">
        <f>COUNTIF(BRON!A:A,Tabel6[[#This Row],[Personeelsnummer]])</f>
        <v>4</v>
      </c>
    </row>
    <row r="453" spans="1:8" x14ac:dyDescent="0.25">
      <c r="A453" s="34" t="s">
        <v>4368</v>
      </c>
      <c r="B453" s="34" t="s">
        <v>2762</v>
      </c>
      <c r="C453" s="34" t="s">
        <v>2761</v>
      </c>
      <c r="D453">
        <v>38938</v>
      </c>
      <c r="E453" s="34" t="s">
        <v>3855</v>
      </c>
      <c r="F453" s="3">
        <v>45061.083333333299</v>
      </c>
      <c r="G453" s="38">
        <f ca="1">TRUNC(YEARFRAC(F453,TODAY(),1))</f>
        <v>2</v>
      </c>
      <c r="H453">
        <f>COUNTIF(BRON!A:A,Tabel6[[#This Row],[Personeelsnummer]])</f>
        <v>7</v>
      </c>
    </row>
    <row r="454" spans="1:8" x14ac:dyDescent="0.25">
      <c r="A454" s="34" t="s">
        <v>4369</v>
      </c>
      <c r="B454" s="34" t="s">
        <v>2770</v>
      </c>
      <c r="C454" s="34" t="s">
        <v>2769</v>
      </c>
      <c r="D454">
        <v>39013</v>
      </c>
      <c r="E454" s="34" t="s">
        <v>3857</v>
      </c>
      <c r="F454" s="3">
        <v>45076.083333333299</v>
      </c>
      <c r="G454" s="38">
        <f ca="1">TRUNC(YEARFRAC(F454,TODAY(),1))</f>
        <v>2</v>
      </c>
      <c r="H454">
        <f>COUNTIF(BRON!A:A,Tabel6[[#This Row],[Personeelsnummer]])</f>
        <v>3</v>
      </c>
    </row>
    <row r="455" spans="1:8" x14ac:dyDescent="0.25">
      <c r="A455" s="34" t="s">
        <v>4370</v>
      </c>
      <c r="B455" s="34" t="s">
        <v>2390</v>
      </c>
      <c r="C455" s="34" t="s">
        <v>2389</v>
      </c>
      <c r="D455">
        <v>39014</v>
      </c>
      <c r="E455" s="34" t="s">
        <v>3854</v>
      </c>
      <c r="F455" s="3">
        <v>45076.083333333299</v>
      </c>
      <c r="G455" s="38">
        <f ca="1">TRUNC(YEARFRAC(F455,TODAY(),1))</f>
        <v>2</v>
      </c>
      <c r="H455">
        <f>COUNTIF(BRON!A:A,Tabel6[[#This Row],[Personeelsnummer]])</f>
        <v>3</v>
      </c>
    </row>
    <row r="456" spans="1:8" x14ac:dyDescent="0.25">
      <c r="A456" s="34" t="s">
        <v>4371</v>
      </c>
      <c r="B456" s="34" t="s">
        <v>2483</v>
      </c>
      <c r="C456" s="34" t="s">
        <v>2489</v>
      </c>
      <c r="D456">
        <v>39019</v>
      </c>
      <c r="E456" s="34" t="s">
        <v>3855</v>
      </c>
      <c r="F456" s="3">
        <v>45061.083333333299</v>
      </c>
      <c r="G456" s="38">
        <f ca="1">TRUNC(YEARFRAC(F456,TODAY(),1))</f>
        <v>2</v>
      </c>
      <c r="H456">
        <f>COUNTIF(BRON!A:A,Tabel6[[#This Row],[Personeelsnummer]])</f>
        <v>2</v>
      </c>
    </row>
    <row r="457" spans="1:8" x14ac:dyDescent="0.25">
      <c r="A457" s="34" t="s">
        <v>4373</v>
      </c>
      <c r="B457" s="34" t="s">
        <v>3423</v>
      </c>
      <c r="C457" s="34" t="s">
        <v>3422</v>
      </c>
      <c r="D457">
        <v>39106</v>
      </c>
      <c r="E457" s="34" t="s">
        <v>3854</v>
      </c>
      <c r="F457" s="3">
        <v>45076.083333333299</v>
      </c>
      <c r="G457" s="38">
        <f ca="1">TRUNC(YEARFRAC(F457,TODAY(),1))</f>
        <v>2</v>
      </c>
      <c r="H457">
        <f>COUNTIF(BRON!A:A,Tabel6[[#This Row],[Personeelsnummer]])</f>
        <v>0</v>
      </c>
    </row>
    <row r="458" spans="1:8" x14ac:dyDescent="0.25">
      <c r="A458" s="34" t="s">
        <v>4374</v>
      </c>
      <c r="B458" s="34" t="s">
        <v>1789</v>
      </c>
      <c r="C458" s="34" t="s">
        <v>1788</v>
      </c>
      <c r="D458">
        <v>39145</v>
      </c>
      <c r="E458" s="34" t="s">
        <v>3853</v>
      </c>
      <c r="F458" s="3">
        <v>45166.083333333299</v>
      </c>
      <c r="G458" s="38">
        <f ca="1">TRUNC(YEARFRAC(F458,TODAY(),1))</f>
        <v>2</v>
      </c>
      <c r="H458">
        <f>COUNTIF(BRON!A:A,Tabel6[[#This Row],[Personeelsnummer]])</f>
        <v>1</v>
      </c>
    </row>
    <row r="459" spans="1:8" x14ac:dyDescent="0.25">
      <c r="A459" s="34" t="s">
        <v>4375</v>
      </c>
      <c r="B459" s="34" t="s">
        <v>3395</v>
      </c>
      <c r="C459" s="34" t="s">
        <v>3394</v>
      </c>
      <c r="D459">
        <v>39146</v>
      </c>
      <c r="E459" s="34" t="s">
        <v>3857</v>
      </c>
      <c r="F459" s="3">
        <v>45090.083333333299</v>
      </c>
      <c r="G459" s="38">
        <f ca="1">TRUNC(YEARFRAC(F459,TODAY(),1))</f>
        <v>2</v>
      </c>
      <c r="H459">
        <f>COUNTIF(BRON!A:A,Tabel6[[#This Row],[Personeelsnummer]])</f>
        <v>3</v>
      </c>
    </row>
    <row r="460" spans="1:8" x14ac:dyDescent="0.25">
      <c r="A460" s="34" t="s">
        <v>4376</v>
      </c>
      <c r="B460" s="34" t="s">
        <v>3362</v>
      </c>
      <c r="C460" s="34" t="s">
        <v>3361</v>
      </c>
      <c r="D460">
        <v>39183</v>
      </c>
      <c r="E460" s="34" t="s">
        <v>3853</v>
      </c>
      <c r="F460" s="3">
        <v>45103.083333333299</v>
      </c>
      <c r="G460" s="38">
        <f ca="1">TRUNC(YEARFRAC(F460,TODAY(),1))</f>
        <v>2</v>
      </c>
      <c r="H460">
        <f>COUNTIF(BRON!A:A,Tabel6[[#This Row],[Personeelsnummer]])</f>
        <v>4</v>
      </c>
    </row>
    <row r="461" spans="1:8" x14ac:dyDescent="0.25">
      <c r="A461" s="34" t="s">
        <v>4377</v>
      </c>
      <c r="B461" s="34" t="s">
        <v>1427</v>
      </c>
      <c r="C461" s="34" t="s">
        <v>1426</v>
      </c>
      <c r="D461">
        <v>39184</v>
      </c>
      <c r="E461" s="34" t="s">
        <v>3853</v>
      </c>
      <c r="F461" s="3">
        <v>45097.083333333299</v>
      </c>
      <c r="G461" s="38">
        <f ca="1">TRUNC(YEARFRAC(F461,TODAY(),1))</f>
        <v>2</v>
      </c>
      <c r="H461">
        <f>COUNTIF(BRON!A:A,Tabel6[[#This Row],[Personeelsnummer]])</f>
        <v>3</v>
      </c>
    </row>
    <row r="462" spans="1:8" x14ac:dyDescent="0.25">
      <c r="A462" s="34" t="s">
        <v>4378</v>
      </c>
      <c r="B462" s="34" t="s">
        <v>3378</v>
      </c>
      <c r="C462" s="34" t="s">
        <v>3381</v>
      </c>
      <c r="D462">
        <v>39251</v>
      </c>
      <c r="E462" s="34" t="s">
        <v>3857</v>
      </c>
      <c r="F462" s="3">
        <v>45103.083333333299</v>
      </c>
      <c r="G462" s="38">
        <f ca="1">TRUNC(YEARFRAC(F462,TODAY(),1))</f>
        <v>2</v>
      </c>
      <c r="H462">
        <f>COUNTIF(BRON!A:A,Tabel6[[#This Row],[Personeelsnummer]])</f>
        <v>0</v>
      </c>
    </row>
    <row r="463" spans="1:8" x14ac:dyDescent="0.25">
      <c r="A463" s="34" t="s">
        <v>4379</v>
      </c>
      <c r="B463" s="34" t="s">
        <v>2604</v>
      </c>
      <c r="C463" s="34" t="s">
        <v>1443</v>
      </c>
      <c r="D463">
        <v>39267</v>
      </c>
      <c r="E463" s="34" t="s">
        <v>3853</v>
      </c>
      <c r="F463" s="3">
        <v>45173.083333333299</v>
      </c>
      <c r="G463" s="38">
        <f ca="1">TRUNC(YEARFRAC(F463,TODAY(),1))</f>
        <v>2</v>
      </c>
      <c r="H463">
        <f>COUNTIF(BRON!A:A,Tabel6[[#This Row],[Personeelsnummer]])</f>
        <v>1</v>
      </c>
    </row>
    <row r="464" spans="1:8" x14ac:dyDescent="0.25">
      <c r="A464" s="34" t="s">
        <v>4380</v>
      </c>
      <c r="B464" s="34" t="s">
        <v>2584</v>
      </c>
      <c r="C464" s="34" t="s">
        <v>2583</v>
      </c>
      <c r="D464">
        <v>39358</v>
      </c>
      <c r="E464" s="34" t="s">
        <v>3853</v>
      </c>
      <c r="F464" s="3">
        <v>45124.083333333299</v>
      </c>
      <c r="G464" s="38">
        <f ca="1">TRUNC(YEARFRAC(F464,TODAY(),1))</f>
        <v>2</v>
      </c>
      <c r="H464">
        <f>COUNTIF(BRON!A:A,Tabel6[[#This Row],[Personeelsnummer]])</f>
        <v>5</v>
      </c>
    </row>
    <row r="465" spans="1:8" x14ac:dyDescent="0.25">
      <c r="A465" s="34" t="s">
        <v>4381</v>
      </c>
      <c r="B465" s="34" t="s">
        <v>2151</v>
      </c>
      <c r="C465" s="34" t="s">
        <v>2150</v>
      </c>
      <c r="D465">
        <v>39379</v>
      </c>
      <c r="E465" s="34" t="s">
        <v>3853</v>
      </c>
      <c r="F465" s="3">
        <v>45194.083333333299</v>
      </c>
      <c r="G465" s="38">
        <f ca="1">TRUNC(YEARFRAC(F465,TODAY(),1))</f>
        <v>2</v>
      </c>
      <c r="H465">
        <f>COUNTIF(BRON!A:A,Tabel6[[#This Row],[Personeelsnummer]])</f>
        <v>2</v>
      </c>
    </row>
    <row r="466" spans="1:8" x14ac:dyDescent="0.25">
      <c r="A466" s="34" t="s">
        <v>4382</v>
      </c>
      <c r="B466" s="34" t="s">
        <v>1903</v>
      </c>
      <c r="C466" s="34" t="s">
        <v>1902</v>
      </c>
      <c r="D466">
        <v>39528</v>
      </c>
      <c r="E466" s="34" t="s">
        <v>3853</v>
      </c>
      <c r="F466" s="3">
        <v>45236.041666666701</v>
      </c>
      <c r="G466" s="38">
        <f ca="1">TRUNC(YEARFRAC(F466,TODAY(),1))</f>
        <v>2</v>
      </c>
      <c r="H466">
        <f>COUNTIF(BRON!A:A,Tabel6[[#This Row],[Personeelsnummer]])</f>
        <v>4</v>
      </c>
    </row>
    <row r="467" spans="1:8" x14ac:dyDescent="0.25">
      <c r="A467" s="34" t="s">
        <v>4384</v>
      </c>
      <c r="B467" s="34" t="s">
        <v>2030</v>
      </c>
      <c r="C467" s="34" t="s">
        <v>2029</v>
      </c>
      <c r="D467">
        <v>39532</v>
      </c>
      <c r="E467" s="34" t="s">
        <v>3853</v>
      </c>
      <c r="F467" s="3">
        <v>45208.083333333299</v>
      </c>
      <c r="G467" s="38">
        <f ca="1">TRUNC(YEARFRAC(F467,TODAY(),1))</f>
        <v>2</v>
      </c>
      <c r="H467">
        <f>COUNTIF(BRON!A:A,Tabel6[[#This Row],[Personeelsnummer]])</f>
        <v>6</v>
      </c>
    </row>
    <row r="468" spans="1:8" x14ac:dyDescent="0.25">
      <c r="A468" s="34" t="s">
        <v>4385</v>
      </c>
      <c r="B468" s="34" t="s">
        <v>3169</v>
      </c>
      <c r="C468" s="34" t="s">
        <v>2975</v>
      </c>
      <c r="D468">
        <v>39558</v>
      </c>
      <c r="E468" s="34" t="s">
        <v>3858</v>
      </c>
      <c r="F468" s="3">
        <v>45208.083333333299</v>
      </c>
      <c r="G468" s="38">
        <f ca="1">TRUNC(YEARFRAC(F468,TODAY(),1))</f>
        <v>2</v>
      </c>
      <c r="H468">
        <f>COUNTIF(BRON!A:A,Tabel6[[#This Row],[Personeelsnummer]])</f>
        <v>2</v>
      </c>
    </row>
    <row r="469" spans="1:8" x14ac:dyDescent="0.25">
      <c r="A469" s="34" t="s">
        <v>4386</v>
      </c>
      <c r="B469" s="34" t="s">
        <v>2653</v>
      </c>
      <c r="C469" s="34" t="s">
        <v>2652</v>
      </c>
      <c r="D469">
        <v>39575</v>
      </c>
      <c r="E469" s="34" t="s">
        <v>3857</v>
      </c>
      <c r="F469" s="3">
        <v>45222.083333333299</v>
      </c>
      <c r="G469" s="38">
        <f ca="1">TRUNC(YEARFRAC(F469,TODAY(),1))</f>
        <v>2</v>
      </c>
      <c r="H469">
        <f>COUNTIF(BRON!A:A,Tabel6[[#This Row],[Personeelsnummer]])</f>
        <v>0</v>
      </c>
    </row>
    <row r="470" spans="1:8" x14ac:dyDescent="0.25">
      <c r="A470" s="34" t="s">
        <v>4387</v>
      </c>
      <c r="B470" s="34" t="s">
        <v>2370</v>
      </c>
      <c r="C470" s="34" t="s">
        <v>2369</v>
      </c>
      <c r="D470">
        <v>39581</v>
      </c>
      <c r="E470" s="34" t="s">
        <v>3857</v>
      </c>
      <c r="F470" s="3">
        <v>45194.083333333299</v>
      </c>
      <c r="G470" s="38">
        <f ca="1">TRUNC(YEARFRAC(F470,TODAY(),1))</f>
        <v>2</v>
      </c>
      <c r="H470">
        <f>COUNTIF(BRON!A:A,Tabel6[[#This Row],[Personeelsnummer]])</f>
        <v>5</v>
      </c>
    </row>
    <row r="471" spans="1:8" x14ac:dyDescent="0.25">
      <c r="A471" s="34" t="s">
        <v>4388</v>
      </c>
      <c r="B471" s="34" t="s">
        <v>3273</v>
      </c>
      <c r="C471" s="34" t="s">
        <v>3272</v>
      </c>
      <c r="D471">
        <v>39610</v>
      </c>
      <c r="E471" s="34" t="s">
        <v>3854</v>
      </c>
      <c r="F471" s="3">
        <v>45208.083333333299</v>
      </c>
      <c r="G471" s="38">
        <f ca="1">TRUNC(YEARFRAC(F471,TODAY(),1))</f>
        <v>2</v>
      </c>
      <c r="H471">
        <f>COUNTIF(BRON!A:A,Tabel6[[#This Row],[Personeelsnummer]])</f>
        <v>1</v>
      </c>
    </row>
    <row r="472" spans="1:8" x14ac:dyDescent="0.25">
      <c r="A472" s="34" t="s">
        <v>4389</v>
      </c>
      <c r="B472" s="34" t="s">
        <v>1622</v>
      </c>
      <c r="C472" s="34" t="s">
        <v>1621</v>
      </c>
      <c r="D472">
        <v>39651</v>
      </c>
      <c r="E472" s="34" t="s">
        <v>3851</v>
      </c>
      <c r="F472" s="3">
        <v>45208.083333333299</v>
      </c>
      <c r="G472" s="38">
        <f ca="1">TRUNC(YEARFRAC(F472,TODAY(),1))</f>
        <v>2</v>
      </c>
      <c r="H472">
        <f>COUNTIF(BRON!A:A,Tabel6[[#This Row],[Personeelsnummer]])</f>
        <v>4</v>
      </c>
    </row>
    <row r="473" spans="1:8" x14ac:dyDescent="0.25">
      <c r="A473" s="34" t="s">
        <v>4390</v>
      </c>
      <c r="B473" s="34" t="s">
        <v>2366</v>
      </c>
      <c r="C473" s="34" t="s">
        <v>2365</v>
      </c>
      <c r="D473">
        <v>39654</v>
      </c>
      <c r="E473" s="34" t="s">
        <v>3851</v>
      </c>
      <c r="F473" s="3">
        <v>45222.083333333299</v>
      </c>
      <c r="G473" s="38">
        <f ca="1">TRUNC(YEARFRAC(F473,TODAY(),1))</f>
        <v>2</v>
      </c>
      <c r="H473">
        <f>COUNTIF(BRON!A:A,Tabel6[[#This Row],[Personeelsnummer]])</f>
        <v>2</v>
      </c>
    </row>
    <row r="474" spans="1:8" x14ac:dyDescent="0.25">
      <c r="A474" s="34" t="s">
        <v>4391</v>
      </c>
      <c r="B474" s="34" t="s">
        <v>2792</v>
      </c>
      <c r="C474" s="34" t="s">
        <v>2795</v>
      </c>
      <c r="D474">
        <v>39660</v>
      </c>
      <c r="E474" s="34" t="s">
        <v>3854</v>
      </c>
      <c r="F474" s="3">
        <v>45222.083333333299</v>
      </c>
      <c r="G474" s="38">
        <f ca="1">TRUNC(YEARFRAC(F474,TODAY(),1))</f>
        <v>2</v>
      </c>
      <c r="H474">
        <f>COUNTIF(BRON!A:A,Tabel6[[#This Row],[Personeelsnummer]])</f>
        <v>6</v>
      </c>
    </row>
    <row r="475" spans="1:8" x14ac:dyDescent="0.25">
      <c r="A475" s="34" t="s">
        <v>4392</v>
      </c>
      <c r="B475" s="34" t="s">
        <v>2733</v>
      </c>
      <c r="C475" s="34" t="s">
        <v>2732</v>
      </c>
      <c r="D475">
        <v>39673</v>
      </c>
      <c r="E475" s="34" t="s">
        <v>3856</v>
      </c>
      <c r="F475" s="3">
        <v>45236.041666666701</v>
      </c>
      <c r="G475" s="38">
        <f ca="1">TRUNC(YEARFRAC(F475,TODAY(),1))</f>
        <v>2</v>
      </c>
      <c r="H475">
        <f>COUNTIF(BRON!A:A,Tabel6[[#This Row],[Personeelsnummer]])</f>
        <v>5</v>
      </c>
    </row>
    <row r="476" spans="1:8" x14ac:dyDescent="0.25">
      <c r="A476" s="34" t="s">
        <v>4393</v>
      </c>
      <c r="B476" s="34" t="s">
        <v>2575</v>
      </c>
      <c r="C476" s="34" t="s">
        <v>2574</v>
      </c>
      <c r="D476">
        <v>39677</v>
      </c>
      <c r="E476" s="34" t="s">
        <v>3851</v>
      </c>
      <c r="F476" s="3">
        <v>45222.083333333299</v>
      </c>
      <c r="G476" s="38">
        <f ca="1">TRUNC(YEARFRAC(F476,TODAY(),1))</f>
        <v>2</v>
      </c>
      <c r="H476">
        <f>COUNTIF(BRON!A:A,Tabel6[[#This Row],[Personeelsnummer]])</f>
        <v>1</v>
      </c>
    </row>
    <row r="477" spans="1:8" x14ac:dyDescent="0.25">
      <c r="A477" s="34" t="s">
        <v>4394</v>
      </c>
      <c r="B477" s="34" t="s">
        <v>1210</v>
      </c>
      <c r="C477" s="34" t="s">
        <v>1048</v>
      </c>
      <c r="D477">
        <v>39712</v>
      </c>
      <c r="E477" s="34" t="s">
        <v>3854</v>
      </c>
      <c r="F477" s="3">
        <v>45236.041666666701</v>
      </c>
      <c r="G477" s="38">
        <f ca="1">TRUNC(YEARFRAC(F477,TODAY(),1))</f>
        <v>2</v>
      </c>
      <c r="H477">
        <f>COUNTIF(BRON!A:A,Tabel6[[#This Row],[Personeelsnummer]])</f>
        <v>4</v>
      </c>
    </row>
    <row r="478" spans="1:8" x14ac:dyDescent="0.25">
      <c r="A478" s="34" t="s">
        <v>4396</v>
      </c>
      <c r="B478" s="34" t="s">
        <v>3295</v>
      </c>
      <c r="C478" s="34" t="s">
        <v>3294</v>
      </c>
      <c r="D478">
        <v>39728</v>
      </c>
      <c r="E478" s="34" t="s">
        <v>3855</v>
      </c>
      <c r="F478" s="3">
        <v>45250.041666666701</v>
      </c>
      <c r="G478" s="38">
        <f ca="1">TRUNC(YEARFRAC(F478,TODAY(),1))</f>
        <v>2</v>
      </c>
      <c r="H478">
        <f>COUNTIF(BRON!A:A,Tabel6[[#This Row],[Personeelsnummer]])</f>
        <v>2</v>
      </c>
    </row>
    <row r="479" spans="1:8" x14ac:dyDescent="0.25">
      <c r="A479" s="34" t="s">
        <v>4397</v>
      </c>
      <c r="B479" s="34" t="s">
        <v>2133</v>
      </c>
      <c r="C479" s="34" t="s">
        <v>2132</v>
      </c>
      <c r="D479">
        <v>39779</v>
      </c>
      <c r="E479" s="34" t="s">
        <v>3854</v>
      </c>
      <c r="F479" s="3">
        <v>45250.041666666701</v>
      </c>
      <c r="G479" s="38">
        <f ca="1">TRUNC(YEARFRAC(F479,TODAY(),1))</f>
        <v>2</v>
      </c>
      <c r="H479">
        <f>COUNTIF(BRON!A:A,Tabel6[[#This Row],[Personeelsnummer]])</f>
        <v>7</v>
      </c>
    </row>
    <row r="480" spans="1:8" x14ac:dyDescent="0.25">
      <c r="A480" s="34" t="s">
        <v>4398</v>
      </c>
      <c r="B480" s="34" t="s">
        <v>1693</v>
      </c>
      <c r="C480" s="34" t="s">
        <v>1692</v>
      </c>
      <c r="D480">
        <v>39829</v>
      </c>
      <c r="E480" s="34" t="s">
        <v>3855</v>
      </c>
      <c r="F480" s="3">
        <v>45264.041666666701</v>
      </c>
      <c r="G480" s="38">
        <f ca="1">TRUNC(YEARFRAC(F480,TODAY(),1))</f>
        <v>2</v>
      </c>
      <c r="H480">
        <f>COUNTIF(BRON!A:A,Tabel6[[#This Row],[Personeelsnummer]])</f>
        <v>2</v>
      </c>
    </row>
    <row r="481" spans="1:8" x14ac:dyDescent="0.25">
      <c r="A481" s="34" t="s">
        <v>4399</v>
      </c>
      <c r="B481" s="34" t="s">
        <v>2121</v>
      </c>
      <c r="C481" s="34" t="s">
        <v>2120</v>
      </c>
      <c r="D481">
        <v>39831</v>
      </c>
      <c r="E481" s="34" t="s">
        <v>3857</v>
      </c>
      <c r="F481" s="3">
        <v>45264.041666666701</v>
      </c>
      <c r="G481" s="38">
        <f ca="1">TRUNC(YEARFRAC(F481,TODAY(),1))</f>
        <v>2</v>
      </c>
      <c r="H481">
        <f>COUNTIF(BRON!A:A,Tabel6[[#This Row],[Personeelsnummer]])</f>
        <v>1</v>
      </c>
    </row>
    <row r="482" spans="1:8" x14ac:dyDescent="0.25">
      <c r="A482" s="34" t="s">
        <v>4400</v>
      </c>
      <c r="B482" s="34" t="s">
        <v>1478</v>
      </c>
      <c r="C482" s="34" t="s">
        <v>1477</v>
      </c>
      <c r="D482">
        <v>39850</v>
      </c>
      <c r="E482" s="34" t="s">
        <v>3859</v>
      </c>
      <c r="F482" s="3">
        <v>45264.041666666701</v>
      </c>
      <c r="G482" s="38">
        <f ca="1">TRUNC(YEARFRAC(F482,TODAY(),1))</f>
        <v>2</v>
      </c>
      <c r="H482">
        <f>COUNTIF(BRON!A:A,Tabel6[[#This Row],[Personeelsnummer]])</f>
        <v>2</v>
      </c>
    </row>
    <row r="483" spans="1:8" x14ac:dyDescent="0.25">
      <c r="A483" s="34" t="s">
        <v>4401</v>
      </c>
      <c r="B483" s="34" t="s">
        <v>3269</v>
      </c>
      <c r="C483" s="34" t="s">
        <v>3268</v>
      </c>
      <c r="D483">
        <v>39856</v>
      </c>
      <c r="E483" s="34" t="s">
        <v>3851</v>
      </c>
      <c r="F483" s="3">
        <v>45264.041666666701</v>
      </c>
      <c r="G483" s="38">
        <f ca="1">TRUNC(YEARFRAC(F483,TODAY(),1))</f>
        <v>2</v>
      </c>
      <c r="H483">
        <f>COUNTIF(BRON!A:A,Tabel6[[#This Row],[Personeelsnummer]])</f>
        <v>2</v>
      </c>
    </row>
    <row r="484" spans="1:8" x14ac:dyDescent="0.25">
      <c r="A484" s="34" t="s">
        <v>4402</v>
      </c>
      <c r="B484" s="34" t="s">
        <v>2953</v>
      </c>
      <c r="C484" s="34" t="s">
        <v>2952</v>
      </c>
      <c r="D484">
        <v>39858</v>
      </c>
      <c r="E484" s="34" t="s">
        <v>3857</v>
      </c>
      <c r="F484" s="3">
        <v>45264.041666666701</v>
      </c>
      <c r="G484" s="38">
        <f ca="1">TRUNC(YEARFRAC(F484,TODAY(),1))</f>
        <v>2</v>
      </c>
      <c r="H484">
        <f>COUNTIF(BRON!A:A,Tabel6[[#This Row],[Personeelsnummer]])</f>
        <v>2</v>
      </c>
    </row>
    <row r="485" spans="1:8" x14ac:dyDescent="0.25">
      <c r="A485" s="34" t="s">
        <v>4403</v>
      </c>
      <c r="B485" s="34" t="s">
        <v>2483</v>
      </c>
      <c r="C485" s="34" t="s">
        <v>2486</v>
      </c>
      <c r="D485">
        <v>39859</v>
      </c>
      <c r="E485" s="34" t="s">
        <v>3854</v>
      </c>
      <c r="F485" s="3">
        <v>45264.041666666701</v>
      </c>
      <c r="G485" s="38">
        <f ca="1">TRUNC(YEARFRAC(F485,TODAY(),1))</f>
        <v>2</v>
      </c>
      <c r="H485">
        <f>COUNTIF(BRON!A:A,Tabel6[[#This Row],[Personeelsnummer]])</f>
        <v>4</v>
      </c>
    </row>
    <row r="486" spans="1:8" x14ac:dyDescent="0.25">
      <c r="A486" s="34" t="s">
        <v>4166</v>
      </c>
      <c r="B486" s="34" t="s">
        <v>2816</v>
      </c>
      <c r="C486" s="34" t="s">
        <v>2815</v>
      </c>
      <c r="D486">
        <v>29674</v>
      </c>
      <c r="E486" s="34" t="s">
        <v>3859</v>
      </c>
      <c r="F486" s="3">
        <v>45341.041666666701</v>
      </c>
      <c r="G486" s="38">
        <f ca="1">TRUNC(YEARFRAC(F486,TODAY(),1))</f>
        <v>1</v>
      </c>
      <c r="H486">
        <f>COUNTIF(BRON!A:A,Tabel6[[#This Row],[Personeelsnummer]])</f>
        <v>1</v>
      </c>
    </row>
    <row r="487" spans="1:8" x14ac:dyDescent="0.25">
      <c r="A487" s="34" t="s">
        <v>4218</v>
      </c>
      <c r="B487" s="34" t="s">
        <v>2649</v>
      </c>
      <c r="C487" s="34" t="s">
        <v>1406</v>
      </c>
      <c r="D487">
        <v>33085</v>
      </c>
      <c r="E487" s="34" t="s">
        <v>3851</v>
      </c>
      <c r="F487" s="3">
        <v>45460.083333333299</v>
      </c>
      <c r="G487" s="38">
        <f ca="1">TRUNC(YEARFRAC(F487,TODAY(),1))</f>
        <v>1</v>
      </c>
      <c r="H487">
        <f>COUNTIF(BRON!A:A,Tabel6[[#This Row],[Personeelsnummer]])</f>
        <v>2</v>
      </c>
    </row>
    <row r="488" spans="1:8" x14ac:dyDescent="0.25">
      <c r="A488" s="34" t="s">
        <v>4222</v>
      </c>
      <c r="B488" s="34" t="s">
        <v>3347</v>
      </c>
      <c r="C488" s="34" t="s">
        <v>3349</v>
      </c>
      <c r="D488">
        <v>33551</v>
      </c>
      <c r="E488" s="34" t="s">
        <v>3856</v>
      </c>
      <c r="F488" s="3">
        <v>45372.041666666701</v>
      </c>
      <c r="G488" s="38">
        <f ca="1">TRUNC(YEARFRAC(F488,TODAY(),1))</f>
        <v>1</v>
      </c>
      <c r="H488">
        <f>COUNTIF(BRON!A:A,Tabel6[[#This Row],[Personeelsnummer]])</f>
        <v>2</v>
      </c>
    </row>
    <row r="489" spans="1:8" x14ac:dyDescent="0.25">
      <c r="A489" s="34" t="s">
        <v>4372</v>
      </c>
      <c r="B489" s="34" t="s">
        <v>2093</v>
      </c>
      <c r="C489" s="34" t="s">
        <v>2092</v>
      </c>
      <c r="D489">
        <v>39101</v>
      </c>
      <c r="E489" s="34" t="s">
        <v>3853</v>
      </c>
      <c r="F489" s="3">
        <v>45425.083333333299</v>
      </c>
      <c r="G489" s="38">
        <f ca="1">TRUNC(YEARFRAC(F489,TODAY(),1))</f>
        <v>1</v>
      </c>
      <c r="H489">
        <f>COUNTIF(BRON!A:A,Tabel6[[#This Row],[Personeelsnummer]])</f>
        <v>0</v>
      </c>
    </row>
    <row r="490" spans="1:8" x14ac:dyDescent="0.25">
      <c r="A490" s="34" t="s">
        <v>4383</v>
      </c>
      <c r="B490" s="34" t="s">
        <v>1983</v>
      </c>
      <c r="C490" s="34" t="s">
        <v>1982</v>
      </c>
      <c r="D490">
        <v>39529</v>
      </c>
      <c r="E490" s="34" t="s">
        <v>3853</v>
      </c>
      <c r="F490" s="3">
        <v>45286.041666666701</v>
      </c>
      <c r="G490" s="38">
        <f ca="1">TRUNC(YEARFRAC(F490,TODAY(),1))</f>
        <v>1</v>
      </c>
      <c r="H490">
        <f>COUNTIF(BRON!A:A,Tabel6[[#This Row],[Personeelsnummer]])</f>
        <v>4</v>
      </c>
    </row>
    <row r="491" spans="1:8" x14ac:dyDescent="0.25">
      <c r="A491" s="34" t="s">
        <v>4395</v>
      </c>
      <c r="B491" s="34" t="s">
        <v>2642</v>
      </c>
      <c r="C491" s="34" t="s">
        <v>2641</v>
      </c>
      <c r="D491">
        <v>39715</v>
      </c>
      <c r="E491" s="34" t="s">
        <v>3851</v>
      </c>
      <c r="F491" s="3">
        <v>45313.041666666701</v>
      </c>
      <c r="G491" s="38">
        <f ca="1">TRUNC(YEARFRAC(F491,TODAY(),1))</f>
        <v>1</v>
      </c>
      <c r="H491">
        <f>COUNTIF(BRON!A:A,Tabel6[[#This Row],[Personeelsnummer]])</f>
        <v>0</v>
      </c>
    </row>
    <row r="492" spans="1:8" x14ac:dyDescent="0.25">
      <c r="A492" s="34" t="s">
        <v>4404</v>
      </c>
      <c r="B492" s="34" t="s">
        <v>1853</v>
      </c>
      <c r="C492" s="34" t="s">
        <v>1852</v>
      </c>
      <c r="D492">
        <v>39889</v>
      </c>
      <c r="E492" s="34" t="s">
        <v>3858</v>
      </c>
      <c r="F492" s="3">
        <v>45293.041666666701</v>
      </c>
      <c r="G492" s="38">
        <f ca="1">TRUNC(YEARFRAC(F492,TODAY(),1))</f>
        <v>1</v>
      </c>
      <c r="H492">
        <f>COUNTIF(BRON!A:A,Tabel6[[#This Row],[Personeelsnummer]])</f>
        <v>1</v>
      </c>
    </row>
    <row r="493" spans="1:8" x14ac:dyDescent="0.25">
      <c r="A493" s="34" t="s">
        <v>4405</v>
      </c>
      <c r="B493" s="34" t="s">
        <v>3453</v>
      </c>
      <c r="C493" s="34" t="s">
        <v>3264</v>
      </c>
      <c r="D493">
        <v>39899</v>
      </c>
      <c r="E493" s="34" t="s">
        <v>3853</v>
      </c>
      <c r="F493" s="3">
        <v>45315.041666666701</v>
      </c>
      <c r="G493" s="38">
        <f ca="1">TRUNC(YEARFRAC(F493,TODAY(),1))</f>
        <v>1</v>
      </c>
      <c r="H493">
        <f>COUNTIF(BRON!A:A,Tabel6[[#This Row],[Personeelsnummer]])</f>
        <v>1</v>
      </c>
    </row>
    <row r="494" spans="1:8" x14ac:dyDescent="0.25">
      <c r="A494" s="34" t="s">
        <v>4406</v>
      </c>
      <c r="B494" s="34" t="s">
        <v>2646</v>
      </c>
      <c r="C494" s="34" t="s">
        <v>2645</v>
      </c>
      <c r="D494">
        <v>39901</v>
      </c>
      <c r="E494" s="34" t="s">
        <v>3853</v>
      </c>
      <c r="F494" s="3">
        <v>45307.041666666701</v>
      </c>
      <c r="G494" s="38">
        <f ca="1">TRUNC(YEARFRAC(F494,TODAY(),1))</f>
        <v>1</v>
      </c>
      <c r="H494">
        <f>COUNTIF(BRON!A:A,Tabel6[[#This Row],[Personeelsnummer]])</f>
        <v>1</v>
      </c>
    </row>
    <row r="495" spans="1:8" x14ac:dyDescent="0.25">
      <c r="A495" s="34" t="s">
        <v>4407</v>
      </c>
      <c r="B495" s="34" t="s">
        <v>3216</v>
      </c>
      <c r="C495" s="34" t="s">
        <v>3215</v>
      </c>
      <c r="D495">
        <v>39907</v>
      </c>
      <c r="E495" s="34" t="s">
        <v>3851</v>
      </c>
      <c r="F495" s="3">
        <v>45299.041666666701</v>
      </c>
      <c r="G495" s="38">
        <f ca="1">TRUNC(YEARFRAC(F495,TODAY(),1))</f>
        <v>1</v>
      </c>
      <c r="H495">
        <f>COUNTIF(BRON!A:A,Tabel6[[#This Row],[Personeelsnummer]])</f>
        <v>1</v>
      </c>
    </row>
    <row r="496" spans="1:8" x14ac:dyDescent="0.25">
      <c r="A496" s="34" t="s">
        <v>4408</v>
      </c>
      <c r="B496" s="34" t="s">
        <v>2546</v>
      </c>
      <c r="C496" s="34" t="s">
        <v>2545</v>
      </c>
      <c r="D496">
        <v>39927</v>
      </c>
      <c r="E496" s="34" t="s">
        <v>3853</v>
      </c>
      <c r="F496" s="3">
        <v>45307.041666666701</v>
      </c>
      <c r="G496" s="38">
        <f ca="1">TRUNC(YEARFRAC(F496,TODAY(),1))</f>
        <v>1</v>
      </c>
      <c r="H496">
        <f>COUNTIF(BRON!A:A,Tabel6[[#This Row],[Personeelsnummer]])</f>
        <v>2</v>
      </c>
    </row>
    <row r="497" spans="1:8" x14ac:dyDescent="0.25">
      <c r="A497" s="34" t="s">
        <v>4410</v>
      </c>
      <c r="B497" s="34" t="s">
        <v>2269</v>
      </c>
      <c r="C497" s="34" t="s">
        <v>2268</v>
      </c>
      <c r="D497">
        <v>39929</v>
      </c>
      <c r="E497" s="34" t="s">
        <v>3853</v>
      </c>
      <c r="F497" s="3">
        <v>45299.041666666701</v>
      </c>
      <c r="G497" s="38">
        <f ca="1">TRUNC(YEARFRAC(F497,TODAY(),1))</f>
        <v>1</v>
      </c>
      <c r="H497">
        <f>COUNTIF(BRON!A:A,Tabel6[[#This Row],[Personeelsnummer]])</f>
        <v>9</v>
      </c>
    </row>
    <row r="498" spans="1:8" x14ac:dyDescent="0.25">
      <c r="A498" s="34" t="s">
        <v>4411</v>
      </c>
      <c r="B498" s="34" t="s">
        <v>1895</v>
      </c>
      <c r="C498" s="34" t="s">
        <v>1894</v>
      </c>
      <c r="D498">
        <v>39930</v>
      </c>
      <c r="E498" s="34" t="s">
        <v>3853</v>
      </c>
      <c r="F498" s="3">
        <v>45307.041666666701</v>
      </c>
      <c r="G498" s="38">
        <f ca="1">TRUNC(YEARFRAC(F498,TODAY(),1))</f>
        <v>1</v>
      </c>
      <c r="H498">
        <f>COUNTIF(BRON!A:A,Tabel6[[#This Row],[Personeelsnummer]])</f>
        <v>2</v>
      </c>
    </row>
    <row r="499" spans="1:8" x14ac:dyDescent="0.25">
      <c r="A499" s="34" t="s">
        <v>4412</v>
      </c>
      <c r="B499" s="34" t="s">
        <v>2331</v>
      </c>
      <c r="C499" s="34" t="s">
        <v>2330</v>
      </c>
      <c r="D499">
        <v>39985</v>
      </c>
      <c r="E499" s="34" t="s">
        <v>3853</v>
      </c>
      <c r="F499" s="3">
        <v>45321.041666666701</v>
      </c>
      <c r="G499" s="38">
        <f ca="1">TRUNC(YEARFRAC(F499,TODAY(),1))</f>
        <v>1</v>
      </c>
      <c r="H499">
        <f>COUNTIF(BRON!A:A,Tabel6[[#This Row],[Personeelsnummer]])</f>
        <v>0</v>
      </c>
    </row>
    <row r="500" spans="1:8" x14ac:dyDescent="0.25">
      <c r="A500" s="34" t="s">
        <v>4413</v>
      </c>
      <c r="B500" s="34" t="s">
        <v>2311</v>
      </c>
      <c r="C500" s="34" t="s">
        <v>2317</v>
      </c>
      <c r="D500">
        <v>39988</v>
      </c>
      <c r="E500" s="34" t="s">
        <v>3853</v>
      </c>
      <c r="F500" s="3">
        <v>45321.041666666701</v>
      </c>
      <c r="G500" s="38">
        <f ca="1">TRUNC(YEARFRAC(F500,TODAY(),1))</f>
        <v>1</v>
      </c>
      <c r="H500">
        <f>COUNTIF(BRON!A:A,Tabel6[[#This Row],[Personeelsnummer]])</f>
        <v>0</v>
      </c>
    </row>
    <row r="501" spans="1:8" x14ac:dyDescent="0.25">
      <c r="A501" s="34" t="s">
        <v>4414</v>
      </c>
      <c r="B501" s="34" t="s">
        <v>1918</v>
      </c>
      <c r="C501" s="34" t="s">
        <v>1917</v>
      </c>
      <c r="D501">
        <v>40005</v>
      </c>
      <c r="E501" s="34" t="s">
        <v>3853</v>
      </c>
      <c r="F501" s="3">
        <v>45307.041666666701</v>
      </c>
      <c r="G501" s="38">
        <f ca="1">TRUNC(YEARFRAC(F501,TODAY(),1))</f>
        <v>1</v>
      </c>
      <c r="H501">
        <f>COUNTIF(BRON!A:A,Tabel6[[#This Row],[Personeelsnummer]])</f>
        <v>2</v>
      </c>
    </row>
    <row r="502" spans="1:8" x14ac:dyDescent="0.25">
      <c r="A502" s="34" t="s">
        <v>4415</v>
      </c>
      <c r="B502" s="34" t="s">
        <v>3251</v>
      </c>
      <c r="C502" s="34" t="s">
        <v>3101</v>
      </c>
      <c r="D502">
        <v>40006</v>
      </c>
      <c r="E502" s="34" t="s">
        <v>3853</v>
      </c>
      <c r="F502" s="3">
        <v>45307.041666666701</v>
      </c>
      <c r="G502" s="38">
        <f ca="1">TRUNC(YEARFRAC(F502,TODAY(),1))</f>
        <v>1</v>
      </c>
      <c r="H502">
        <f>COUNTIF(BRON!A:A,Tabel6[[#This Row],[Personeelsnummer]])</f>
        <v>1</v>
      </c>
    </row>
    <row r="503" spans="1:8" x14ac:dyDescent="0.25">
      <c r="A503" s="34" t="s">
        <v>4416</v>
      </c>
      <c r="B503" s="34" t="s">
        <v>2049</v>
      </c>
      <c r="C503" s="34" t="s">
        <v>2048</v>
      </c>
      <c r="D503">
        <v>40036</v>
      </c>
      <c r="E503" s="34" t="s">
        <v>3859</v>
      </c>
      <c r="F503" s="3">
        <v>45364.041666666701</v>
      </c>
      <c r="G503" s="38">
        <f ca="1">TRUNC(YEARFRAC(F503,TODAY(),1))</f>
        <v>1</v>
      </c>
      <c r="H503">
        <f>COUNTIF(BRON!A:A,Tabel6[[#This Row],[Personeelsnummer]])</f>
        <v>2</v>
      </c>
    </row>
    <row r="504" spans="1:8" x14ac:dyDescent="0.25">
      <c r="A504" s="34" t="s">
        <v>4417</v>
      </c>
      <c r="B504" s="34" t="s">
        <v>3370</v>
      </c>
      <c r="C504" s="34" t="s">
        <v>3369</v>
      </c>
      <c r="D504">
        <v>40055</v>
      </c>
      <c r="E504" s="34" t="s">
        <v>3856</v>
      </c>
      <c r="F504" s="3">
        <v>45321.041666666701</v>
      </c>
      <c r="G504" s="38">
        <f ca="1">TRUNC(YEARFRAC(F504,TODAY(),1))</f>
        <v>1</v>
      </c>
      <c r="H504">
        <f>COUNTIF(BRON!A:A,Tabel6[[#This Row],[Personeelsnummer]])</f>
        <v>2</v>
      </c>
    </row>
    <row r="505" spans="1:8" x14ac:dyDescent="0.25">
      <c r="A505" s="34" t="s">
        <v>4418</v>
      </c>
      <c r="B505" s="34" t="s">
        <v>3177</v>
      </c>
      <c r="C505" s="34" t="s">
        <v>3176</v>
      </c>
      <c r="D505">
        <v>40058</v>
      </c>
      <c r="E505" s="34" t="s">
        <v>3853</v>
      </c>
      <c r="F505" s="3">
        <v>45321.041666666701</v>
      </c>
      <c r="G505" s="38">
        <f ca="1">TRUNC(YEARFRAC(F505,TODAY(),1))</f>
        <v>1</v>
      </c>
      <c r="H505">
        <f>COUNTIF(BRON!A:A,Tabel6[[#This Row],[Personeelsnummer]])</f>
        <v>3</v>
      </c>
    </row>
    <row r="506" spans="1:8" x14ac:dyDescent="0.25">
      <c r="A506" s="34" t="s">
        <v>4419</v>
      </c>
      <c r="B506" s="34" t="s">
        <v>1733</v>
      </c>
      <c r="C506" s="34" t="s">
        <v>1738</v>
      </c>
      <c r="D506">
        <v>40110</v>
      </c>
      <c r="E506" s="34" t="s">
        <v>3853</v>
      </c>
      <c r="F506" s="3">
        <v>45335.041666666701</v>
      </c>
      <c r="G506" s="38">
        <f ca="1">TRUNC(YEARFRAC(F506,TODAY(),1))</f>
        <v>1</v>
      </c>
      <c r="H506">
        <f>COUNTIF(BRON!A:A,Tabel6[[#This Row],[Personeelsnummer]])</f>
        <v>7</v>
      </c>
    </row>
    <row r="507" spans="1:8" x14ac:dyDescent="0.25">
      <c r="A507" s="34" t="s">
        <v>4420</v>
      </c>
      <c r="B507" s="34" t="s">
        <v>1686</v>
      </c>
      <c r="C507" s="34" t="s">
        <v>1689</v>
      </c>
      <c r="D507">
        <v>40134</v>
      </c>
      <c r="E507" s="34" t="s">
        <v>3859</v>
      </c>
      <c r="F507" s="3">
        <v>45364.041666666701</v>
      </c>
      <c r="G507" s="38">
        <f ca="1">TRUNC(YEARFRAC(F507,TODAY(),1))</f>
        <v>1</v>
      </c>
      <c r="H507">
        <f>COUNTIF(BRON!A:A,Tabel6[[#This Row],[Personeelsnummer]])</f>
        <v>4</v>
      </c>
    </row>
    <row r="508" spans="1:8" x14ac:dyDescent="0.25">
      <c r="A508" s="34" t="s">
        <v>4421</v>
      </c>
      <c r="B508" s="34" t="s">
        <v>1579</v>
      </c>
      <c r="C508" s="34" t="s">
        <v>1578</v>
      </c>
      <c r="D508">
        <v>40138</v>
      </c>
      <c r="E508" s="34" t="s">
        <v>3853</v>
      </c>
      <c r="F508" s="3">
        <v>45335.041666666701</v>
      </c>
      <c r="G508" s="38">
        <f ca="1">TRUNC(YEARFRAC(F508,TODAY(),1))</f>
        <v>1</v>
      </c>
      <c r="H508">
        <f>COUNTIF(BRON!A:A,Tabel6[[#This Row],[Personeelsnummer]])</f>
        <v>10</v>
      </c>
    </row>
    <row r="509" spans="1:8" x14ac:dyDescent="0.25">
      <c r="A509" s="34" t="s">
        <v>4422</v>
      </c>
      <c r="B509" s="34" t="s">
        <v>2203</v>
      </c>
      <c r="C509" s="34" t="s">
        <v>2202</v>
      </c>
      <c r="D509">
        <v>40143</v>
      </c>
      <c r="E509" s="34" t="s">
        <v>3853</v>
      </c>
      <c r="F509" s="3">
        <v>45335.041666666701</v>
      </c>
      <c r="G509" s="38">
        <f ca="1">TRUNC(YEARFRAC(F509,TODAY(),1))</f>
        <v>1</v>
      </c>
      <c r="H509">
        <f>COUNTIF(BRON!A:A,Tabel6[[#This Row],[Personeelsnummer]])</f>
        <v>0</v>
      </c>
    </row>
    <row r="510" spans="1:8" x14ac:dyDescent="0.25">
      <c r="A510" s="34" t="s">
        <v>4423</v>
      </c>
      <c r="B510" s="34" t="s">
        <v>2445</v>
      </c>
      <c r="C510" s="34" t="s">
        <v>2444</v>
      </c>
      <c r="D510">
        <v>40200</v>
      </c>
      <c r="E510" s="34" t="s">
        <v>3859</v>
      </c>
      <c r="F510" s="3">
        <v>45345.041666666701</v>
      </c>
      <c r="G510" s="38">
        <f ca="1">TRUNC(YEARFRAC(F510,TODAY(),1))</f>
        <v>1</v>
      </c>
      <c r="H510">
        <f>COUNTIF(BRON!A:A,Tabel6[[#This Row],[Personeelsnummer]])</f>
        <v>2</v>
      </c>
    </row>
    <row r="511" spans="1:8" x14ac:dyDescent="0.25">
      <c r="A511" s="34" t="s">
        <v>4424</v>
      </c>
      <c r="B511" s="34" t="s">
        <v>3321</v>
      </c>
      <c r="C511" s="34" t="s">
        <v>3087</v>
      </c>
      <c r="D511">
        <v>40201</v>
      </c>
      <c r="E511" s="34" t="s">
        <v>3859</v>
      </c>
      <c r="F511" s="3">
        <v>45378.041666666701</v>
      </c>
      <c r="G511" s="38">
        <f ca="1">TRUNC(YEARFRAC(F511,TODAY(),1))</f>
        <v>1</v>
      </c>
      <c r="H511">
        <f>COUNTIF(BRON!A:A,Tabel6[[#This Row],[Personeelsnummer]])</f>
        <v>0</v>
      </c>
    </row>
    <row r="512" spans="1:8" x14ac:dyDescent="0.25">
      <c r="A512" s="34" t="s">
        <v>4425</v>
      </c>
      <c r="B512" s="34" t="s">
        <v>1686</v>
      </c>
      <c r="C512" s="34" t="s">
        <v>1685</v>
      </c>
      <c r="D512">
        <v>40222</v>
      </c>
      <c r="E512" s="34" t="s">
        <v>3859</v>
      </c>
      <c r="F512" s="3">
        <v>45349.041666666701</v>
      </c>
      <c r="G512" s="38">
        <f ca="1">TRUNC(YEARFRAC(F512,TODAY(),1))</f>
        <v>1</v>
      </c>
      <c r="H512">
        <f>COUNTIF(BRON!A:A,Tabel6[[#This Row],[Personeelsnummer]])</f>
        <v>2</v>
      </c>
    </row>
    <row r="513" spans="1:8" x14ac:dyDescent="0.25">
      <c r="A513" s="34" t="s">
        <v>4426</v>
      </c>
      <c r="B513" s="34" t="s">
        <v>2542</v>
      </c>
      <c r="C513" s="34" t="s">
        <v>2541</v>
      </c>
      <c r="D513">
        <v>40264</v>
      </c>
      <c r="E513" s="34" t="s">
        <v>3853</v>
      </c>
      <c r="F513" s="3">
        <v>45364.041666666701</v>
      </c>
      <c r="G513" s="38">
        <f ca="1">TRUNC(YEARFRAC(F513,TODAY(),1))</f>
        <v>1</v>
      </c>
      <c r="H513">
        <f>COUNTIF(BRON!A:A,Tabel6[[#This Row],[Personeelsnummer]])</f>
        <v>0</v>
      </c>
    </row>
    <row r="514" spans="1:8" x14ac:dyDescent="0.25">
      <c r="A514" s="34" t="s">
        <v>4427</v>
      </c>
      <c r="B514" s="34" t="s">
        <v>1422</v>
      </c>
      <c r="C514" s="34" t="s">
        <v>1421</v>
      </c>
      <c r="D514">
        <v>40266</v>
      </c>
      <c r="E514" s="34" t="s">
        <v>3853</v>
      </c>
      <c r="F514" s="3">
        <v>45394.083333333299</v>
      </c>
      <c r="G514" s="38">
        <f ca="1">TRUNC(YEARFRAC(F514,TODAY(),1))</f>
        <v>1</v>
      </c>
      <c r="H514">
        <f>COUNTIF(BRON!A:A,Tabel6[[#This Row],[Personeelsnummer]])</f>
        <v>3</v>
      </c>
    </row>
    <row r="515" spans="1:8" x14ac:dyDescent="0.25">
      <c r="A515" s="34" t="s">
        <v>4428</v>
      </c>
      <c r="B515" s="34" t="s">
        <v>2876</v>
      </c>
      <c r="C515" s="34" t="s">
        <v>2875</v>
      </c>
      <c r="D515">
        <v>40278</v>
      </c>
      <c r="E515" s="34" t="s">
        <v>3853</v>
      </c>
      <c r="F515" s="3">
        <v>45378.041666666701</v>
      </c>
      <c r="G515" s="38">
        <f ca="1">TRUNC(YEARFRAC(F515,TODAY(),1))</f>
        <v>1</v>
      </c>
      <c r="H515">
        <f>COUNTIF(BRON!A:A,Tabel6[[#This Row],[Personeelsnummer]])</f>
        <v>4</v>
      </c>
    </row>
    <row r="516" spans="1:8" x14ac:dyDescent="0.25">
      <c r="A516" s="34" t="s">
        <v>4429</v>
      </c>
      <c r="B516" s="34" t="s">
        <v>3325</v>
      </c>
      <c r="C516" s="34" t="s">
        <v>3324</v>
      </c>
      <c r="D516">
        <v>40294</v>
      </c>
      <c r="E516" s="34" t="s">
        <v>3853</v>
      </c>
      <c r="F516" s="3">
        <v>45404.083333333299</v>
      </c>
      <c r="G516" s="38">
        <f ca="1">TRUNC(YEARFRAC(F516,TODAY(),1))</f>
        <v>1</v>
      </c>
      <c r="H516">
        <f>COUNTIF(BRON!A:A,Tabel6[[#This Row],[Personeelsnummer]])</f>
        <v>1</v>
      </c>
    </row>
    <row r="517" spans="1:8" x14ac:dyDescent="0.25">
      <c r="A517" s="34" t="s">
        <v>4430</v>
      </c>
      <c r="B517" s="34" t="s">
        <v>1701</v>
      </c>
      <c r="C517" s="34" t="s">
        <v>3163</v>
      </c>
      <c r="D517">
        <v>40362</v>
      </c>
      <c r="E517" s="34" t="s">
        <v>3851</v>
      </c>
      <c r="F517" s="3">
        <v>45394.083333333299</v>
      </c>
      <c r="G517" s="38">
        <f ca="1">TRUNC(YEARFRAC(F517,TODAY(),1))</f>
        <v>1</v>
      </c>
      <c r="H517">
        <f>COUNTIF(BRON!A:A,Tabel6[[#This Row],[Personeelsnummer]])</f>
        <v>3</v>
      </c>
    </row>
    <row r="518" spans="1:8" x14ac:dyDescent="0.25">
      <c r="A518" s="34" t="s">
        <v>4431</v>
      </c>
      <c r="B518" s="34" t="s">
        <v>2913</v>
      </c>
      <c r="C518" s="34" t="s">
        <v>2912</v>
      </c>
      <c r="D518">
        <v>40393</v>
      </c>
      <c r="E518" s="34" t="s">
        <v>3859</v>
      </c>
      <c r="F518" s="3">
        <v>45408.083333333299</v>
      </c>
      <c r="G518" s="38">
        <f ca="1">TRUNC(YEARFRAC(F518,TODAY(),1))</f>
        <v>1</v>
      </c>
      <c r="H518">
        <f>COUNTIF(BRON!A:A,Tabel6[[#This Row],[Personeelsnummer]])</f>
        <v>1</v>
      </c>
    </row>
    <row r="519" spans="1:8" x14ac:dyDescent="0.25">
      <c r="A519" s="34" t="s">
        <v>4432</v>
      </c>
      <c r="B519" s="34" t="s">
        <v>2833</v>
      </c>
      <c r="C519" s="34" t="s">
        <v>2832</v>
      </c>
      <c r="D519">
        <v>40400</v>
      </c>
      <c r="E519" s="34" t="s">
        <v>3859</v>
      </c>
      <c r="F519" s="3">
        <v>45478.083333333299</v>
      </c>
      <c r="G519" s="38">
        <f ca="1">TRUNC(YEARFRAC(F519,TODAY(),1))</f>
        <v>1</v>
      </c>
      <c r="H519">
        <f>COUNTIF(BRON!A:A,Tabel6[[#This Row],[Personeelsnummer]])</f>
        <v>0</v>
      </c>
    </row>
    <row r="520" spans="1:8" x14ac:dyDescent="0.25">
      <c r="A520" s="34" t="s">
        <v>4433</v>
      </c>
      <c r="B520" s="34" t="s">
        <v>2199</v>
      </c>
      <c r="C520" s="34" t="s">
        <v>2198</v>
      </c>
      <c r="D520">
        <v>40403</v>
      </c>
      <c r="E520" s="34" t="s">
        <v>3859</v>
      </c>
      <c r="F520" s="3">
        <v>45481.083333333299</v>
      </c>
      <c r="G520" s="38">
        <f ca="1">TRUNC(YEARFRAC(F520,TODAY(),1))</f>
        <v>1</v>
      </c>
      <c r="H520">
        <f>COUNTIF(BRON!A:A,Tabel6[[#This Row],[Personeelsnummer]])</f>
        <v>3</v>
      </c>
    </row>
    <row r="521" spans="1:8" x14ac:dyDescent="0.25">
      <c r="A521" s="34" t="s">
        <v>4434</v>
      </c>
      <c r="B521" s="34" t="s">
        <v>2441</v>
      </c>
      <c r="C521" s="34" t="s">
        <v>2440</v>
      </c>
      <c r="D521">
        <v>40414</v>
      </c>
      <c r="E521" s="34" t="s">
        <v>3858</v>
      </c>
      <c r="F521" s="3">
        <v>45408.083333333299</v>
      </c>
      <c r="G521" s="38">
        <f ca="1">TRUNC(YEARFRAC(F521,TODAY(),1))</f>
        <v>1</v>
      </c>
      <c r="H521">
        <f>COUNTIF(BRON!A:A,Tabel6[[#This Row],[Personeelsnummer]])</f>
        <v>1</v>
      </c>
    </row>
    <row r="522" spans="1:8" x14ac:dyDescent="0.25">
      <c r="A522" s="34" t="s">
        <v>4435</v>
      </c>
      <c r="B522" s="34" t="s">
        <v>2931</v>
      </c>
      <c r="C522" s="34" t="s">
        <v>2934</v>
      </c>
      <c r="D522">
        <v>40421</v>
      </c>
      <c r="E522" s="34" t="s">
        <v>3855</v>
      </c>
      <c r="F522" s="3">
        <v>45407.083333333299</v>
      </c>
      <c r="G522" s="38">
        <f ca="1">TRUNC(YEARFRAC(F522,TODAY(),1))</f>
        <v>1</v>
      </c>
      <c r="H522">
        <f>COUNTIF(BRON!A:A,Tabel6[[#This Row],[Personeelsnummer]])</f>
        <v>0</v>
      </c>
    </row>
    <row r="523" spans="1:8" x14ac:dyDescent="0.25">
      <c r="A523" s="34" t="s">
        <v>4436</v>
      </c>
      <c r="B523" s="34" t="s">
        <v>1951</v>
      </c>
      <c r="C523" s="34" t="s">
        <v>1950</v>
      </c>
      <c r="D523">
        <v>40422</v>
      </c>
      <c r="E523" s="34" t="s">
        <v>3855</v>
      </c>
      <c r="F523" s="3">
        <v>45407.083333333299</v>
      </c>
      <c r="G523" s="38">
        <f ca="1">TRUNC(YEARFRAC(F523,TODAY(),1))</f>
        <v>1</v>
      </c>
      <c r="H523">
        <f>COUNTIF(BRON!A:A,Tabel6[[#This Row],[Personeelsnummer]])</f>
        <v>0</v>
      </c>
    </row>
    <row r="524" spans="1:8" x14ac:dyDescent="0.25">
      <c r="A524" s="34" t="s">
        <v>4437</v>
      </c>
      <c r="B524" s="34" t="s">
        <v>2311</v>
      </c>
      <c r="C524" s="34" t="s">
        <v>2314</v>
      </c>
      <c r="D524">
        <v>40443</v>
      </c>
      <c r="E524" s="34" t="s">
        <v>3854</v>
      </c>
      <c r="F524" s="3">
        <v>45408.083333333299</v>
      </c>
      <c r="G524" s="38">
        <f ca="1">TRUNC(YEARFRAC(F524,TODAY(),1))</f>
        <v>1</v>
      </c>
      <c r="H524">
        <f>COUNTIF(BRON!A:A,Tabel6[[#This Row],[Personeelsnummer]])</f>
        <v>1</v>
      </c>
    </row>
    <row r="525" spans="1:8" x14ac:dyDescent="0.25">
      <c r="A525" s="34" t="s">
        <v>4438</v>
      </c>
      <c r="B525" s="34" t="s">
        <v>2792</v>
      </c>
      <c r="C525" s="34" t="s">
        <v>1959</v>
      </c>
      <c r="D525">
        <v>40444</v>
      </c>
      <c r="E525" s="34" t="s">
        <v>3857</v>
      </c>
      <c r="F525" s="3">
        <v>45408.083333333299</v>
      </c>
      <c r="G525" s="38">
        <f ca="1">TRUNC(YEARFRAC(F525,TODAY(),1))</f>
        <v>1</v>
      </c>
      <c r="H525">
        <f>COUNTIF(BRON!A:A,Tabel6[[#This Row],[Personeelsnummer]])</f>
        <v>1</v>
      </c>
    </row>
    <row r="526" spans="1:8" x14ac:dyDescent="0.25">
      <c r="A526" s="34" t="s">
        <v>4439</v>
      </c>
      <c r="B526" s="34" t="s">
        <v>2729</v>
      </c>
      <c r="C526" s="34" t="s">
        <v>2728</v>
      </c>
      <c r="D526">
        <v>40469</v>
      </c>
      <c r="E526" s="34" t="s">
        <v>3857</v>
      </c>
      <c r="F526" s="3">
        <v>45408.083333333299</v>
      </c>
      <c r="G526" s="38">
        <f ca="1">TRUNC(YEARFRAC(F526,TODAY(),1))</f>
        <v>1</v>
      </c>
      <c r="H526">
        <f>COUNTIF(BRON!A:A,Tabel6[[#This Row],[Personeelsnummer]])</f>
        <v>0</v>
      </c>
    </row>
    <row r="527" spans="1:8" x14ac:dyDescent="0.25">
      <c r="A527" s="34" t="s">
        <v>4440</v>
      </c>
      <c r="B527" s="34" t="s">
        <v>3374</v>
      </c>
      <c r="C527" s="34" t="s">
        <v>3373</v>
      </c>
      <c r="D527">
        <v>40478</v>
      </c>
      <c r="E527" s="34" t="s">
        <v>3854</v>
      </c>
      <c r="F527" s="3">
        <v>45442.083333333299</v>
      </c>
      <c r="G527" s="38">
        <f ca="1">TRUNC(YEARFRAC(F527,TODAY(),1))</f>
        <v>1</v>
      </c>
      <c r="H527">
        <f>COUNTIF(BRON!A:A,Tabel6[[#This Row],[Personeelsnummer]])</f>
        <v>4</v>
      </c>
    </row>
    <row r="528" spans="1:8" x14ac:dyDescent="0.25">
      <c r="A528" s="34" t="s">
        <v>4441</v>
      </c>
      <c r="B528" s="34" t="s">
        <v>2292</v>
      </c>
      <c r="C528" s="34" t="s">
        <v>2291</v>
      </c>
      <c r="D528">
        <v>40486</v>
      </c>
      <c r="E528" s="34" t="s">
        <v>3853</v>
      </c>
      <c r="F528" s="3">
        <v>45427.083333333299</v>
      </c>
      <c r="G528" s="38">
        <f ca="1">TRUNC(YEARFRAC(F528,TODAY(),1))</f>
        <v>1</v>
      </c>
      <c r="H528">
        <f>COUNTIF(BRON!A:A,Tabel6[[#This Row],[Personeelsnummer]])</f>
        <v>1</v>
      </c>
    </row>
    <row r="529" spans="1:8" x14ac:dyDescent="0.25">
      <c r="A529" s="34" t="s">
        <v>4442</v>
      </c>
      <c r="B529" s="34" t="s">
        <v>3232</v>
      </c>
      <c r="C529" s="34" t="s">
        <v>4443</v>
      </c>
      <c r="D529">
        <v>40489</v>
      </c>
      <c r="E529" s="34" t="s">
        <v>3852</v>
      </c>
      <c r="F529" s="3">
        <v>45427.083333333299</v>
      </c>
      <c r="G529" s="38">
        <f ca="1">TRUNC(YEARFRAC(F529,TODAY(),1))</f>
        <v>1</v>
      </c>
      <c r="H529">
        <f>COUNTIF(BRON!A:A,Tabel6[[#This Row],[Personeelsnummer]])</f>
        <v>0</v>
      </c>
    </row>
    <row r="530" spans="1:8" x14ac:dyDescent="0.25">
      <c r="A530" s="34" t="s">
        <v>4444</v>
      </c>
      <c r="B530" s="34" t="s">
        <v>3378</v>
      </c>
      <c r="C530" s="34" t="s">
        <v>3377</v>
      </c>
      <c r="D530">
        <v>40521</v>
      </c>
      <c r="E530" s="34" t="s">
        <v>3855</v>
      </c>
      <c r="F530" s="3">
        <v>45419.083333333299</v>
      </c>
      <c r="G530" s="38">
        <f ca="1">TRUNC(YEARFRAC(F530,TODAY(),1))</f>
        <v>1</v>
      </c>
      <c r="H530">
        <f>COUNTIF(BRON!A:A,Tabel6[[#This Row],[Personeelsnummer]])</f>
        <v>2</v>
      </c>
    </row>
    <row r="531" spans="1:8" x14ac:dyDescent="0.25">
      <c r="A531" s="34" t="s">
        <v>4445</v>
      </c>
      <c r="B531" s="34" t="s">
        <v>2362</v>
      </c>
      <c r="C531" s="34" t="s">
        <v>2361</v>
      </c>
      <c r="D531">
        <v>40590</v>
      </c>
      <c r="E531" s="34" t="s">
        <v>3854</v>
      </c>
      <c r="F531" s="3">
        <v>45464.083333333299</v>
      </c>
      <c r="G531" s="38">
        <f ca="1">TRUNC(YEARFRAC(F531,TODAY(),1))</f>
        <v>1</v>
      </c>
      <c r="H531">
        <f>COUNTIF(BRON!A:A,Tabel6[[#This Row],[Personeelsnummer]])</f>
        <v>0</v>
      </c>
    </row>
    <row r="532" spans="1:8" x14ac:dyDescent="0.25">
      <c r="A532" s="34" t="s">
        <v>4446</v>
      </c>
      <c r="B532" s="34" t="s">
        <v>2311</v>
      </c>
      <c r="C532" s="34" t="s">
        <v>2310</v>
      </c>
      <c r="D532">
        <v>40591</v>
      </c>
      <c r="E532" s="34" t="s">
        <v>3859</v>
      </c>
      <c r="F532" s="3">
        <v>45450.083333333299</v>
      </c>
      <c r="G532" s="38">
        <f ca="1">TRUNC(YEARFRAC(F532,TODAY(),1))</f>
        <v>1</v>
      </c>
      <c r="H532">
        <f>COUNTIF(BRON!A:A,Tabel6[[#This Row],[Personeelsnummer]])</f>
        <v>2</v>
      </c>
    </row>
    <row r="533" spans="1:8" x14ac:dyDescent="0.25">
      <c r="A533" s="34" t="s">
        <v>4447</v>
      </c>
      <c r="B533" s="34" t="s">
        <v>3006</v>
      </c>
      <c r="C533" s="34" t="s">
        <v>3005</v>
      </c>
      <c r="D533">
        <v>40608</v>
      </c>
      <c r="E533" s="34" t="s">
        <v>3855</v>
      </c>
      <c r="F533" s="3">
        <v>45456.083333333299</v>
      </c>
      <c r="G533" s="38">
        <f ca="1">TRUNC(YEARFRAC(F533,TODAY(),1))</f>
        <v>1</v>
      </c>
      <c r="H533">
        <f>COUNTIF(BRON!A:A,Tabel6[[#This Row],[Personeelsnummer]])</f>
        <v>1</v>
      </c>
    </row>
    <row r="534" spans="1:8" x14ac:dyDescent="0.25">
      <c r="A534" s="34" t="s">
        <v>4448</v>
      </c>
      <c r="B534" s="34" t="s">
        <v>2623</v>
      </c>
      <c r="C534" s="34" t="s">
        <v>2622</v>
      </c>
      <c r="D534">
        <v>40645</v>
      </c>
      <c r="E534" s="34" t="s">
        <v>3857</v>
      </c>
      <c r="F534" s="3">
        <v>45544.083333333299</v>
      </c>
      <c r="G534" s="38">
        <f ca="1">TRUNC(YEARFRAC(F534,TODAY(),1))</f>
        <v>1</v>
      </c>
      <c r="H534">
        <f>COUNTIF(BRON!A:A,Tabel6[[#This Row],[Personeelsnummer]])</f>
        <v>2</v>
      </c>
    </row>
    <row r="535" spans="1:8" x14ac:dyDescent="0.25">
      <c r="A535" s="34" t="s">
        <v>4449</v>
      </c>
      <c r="B535" s="34" t="s">
        <v>2800</v>
      </c>
      <c r="C535" s="34" t="s">
        <v>1959</v>
      </c>
      <c r="D535">
        <v>40652</v>
      </c>
      <c r="E535" s="34" t="s">
        <v>3856</v>
      </c>
      <c r="F535" s="3">
        <v>45470.083333333299</v>
      </c>
      <c r="G535" s="38">
        <f ca="1">TRUNC(YEARFRAC(F535,TODAY(),1))</f>
        <v>1</v>
      </c>
      <c r="H535">
        <f>COUNTIF(BRON!A:A,Tabel6[[#This Row],[Personeelsnummer]])</f>
        <v>7</v>
      </c>
    </row>
    <row r="536" spans="1:8" x14ac:dyDescent="0.25">
      <c r="A536" s="34" t="s">
        <v>4450</v>
      </c>
      <c r="B536" s="34" t="s">
        <v>1532</v>
      </c>
      <c r="C536" s="34" t="s">
        <v>1531</v>
      </c>
      <c r="D536">
        <v>40744</v>
      </c>
      <c r="E536" s="34" t="s">
        <v>3854</v>
      </c>
      <c r="F536" s="3">
        <v>45484.083333333299</v>
      </c>
      <c r="G536" s="38">
        <f ca="1">TRUNC(YEARFRAC(F536,TODAY(),1))</f>
        <v>1</v>
      </c>
      <c r="H536">
        <f>COUNTIF(BRON!A:A,Tabel6[[#This Row],[Personeelsnummer]])</f>
        <v>6</v>
      </c>
    </row>
    <row r="537" spans="1:8" x14ac:dyDescent="0.25">
      <c r="A537" s="34" t="s">
        <v>4451</v>
      </c>
      <c r="B537" s="34" t="s">
        <v>2657</v>
      </c>
      <c r="C537" s="34" t="s">
        <v>2656</v>
      </c>
      <c r="D537">
        <v>40745</v>
      </c>
      <c r="E537" s="34" t="s">
        <v>3854</v>
      </c>
      <c r="F537" s="3">
        <v>45498.083333333299</v>
      </c>
      <c r="G537" s="38">
        <f ca="1">TRUNC(YEARFRAC(F537,TODAY(),1))</f>
        <v>1</v>
      </c>
      <c r="H537">
        <f>COUNTIF(BRON!A:A,Tabel6[[#This Row],[Personeelsnummer]])</f>
        <v>1</v>
      </c>
    </row>
    <row r="538" spans="1:8" x14ac:dyDescent="0.25">
      <c r="A538" s="34" t="s">
        <v>4452</v>
      </c>
      <c r="B538" s="34" t="s">
        <v>1452</v>
      </c>
      <c r="C538" s="34" t="s">
        <v>1467</v>
      </c>
      <c r="D538">
        <v>40761</v>
      </c>
      <c r="E538" s="34" t="s">
        <v>3851</v>
      </c>
      <c r="F538" s="3">
        <v>45498.083333333299</v>
      </c>
      <c r="G538" s="38">
        <f ca="1">TRUNC(YEARFRAC(F538,TODAY(),1))</f>
        <v>1</v>
      </c>
      <c r="H538">
        <f>COUNTIF(BRON!A:A,Tabel6[[#This Row],[Personeelsnummer]])</f>
        <v>1</v>
      </c>
    </row>
    <row r="539" spans="1:8" x14ac:dyDescent="0.25">
      <c r="A539" s="34" t="s">
        <v>4453</v>
      </c>
      <c r="B539" s="34" t="s">
        <v>1778</v>
      </c>
      <c r="C539" s="34" t="s">
        <v>1777</v>
      </c>
      <c r="D539">
        <v>40856</v>
      </c>
      <c r="E539" s="34" t="s">
        <v>3851</v>
      </c>
      <c r="F539" s="3">
        <v>45538.083333333299</v>
      </c>
      <c r="G539" s="38">
        <f ca="1">TRUNC(YEARFRAC(F539,TODAY(),1))</f>
        <v>1</v>
      </c>
      <c r="H539">
        <f>COUNTIF(BRON!A:A,Tabel6[[#This Row],[Personeelsnummer]])</f>
        <v>5</v>
      </c>
    </row>
    <row r="540" spans="1:8" x14ac:dyDescent="0.25">
      <c r="A540" s="34" t="s">
        <v>4454</v>
      </c>
      <c r="B540" s="34" t="s">
        <v>3469</v>
      </c>
      <c r="C540" s="34" t="s">
        <v>3468</v>
      </c>
      <c r="D540">
        <v>40859</v>
      </c>
      <c r="E540" s="34" t="s">
        <v>3856</v>
      </c>
      <c r="F540" s="3">
        <v>45544.083333333299</v>
      </c>
      <c r="G540" s="38">
        <f ca="1">TRUNC(YEARFRAC(F540,TODAY(),1))</f>
        <v>1</v>
      </c>
      <c r="H540">
        <f>COUNTIF(BRON!A:A,Tabel6[[#This Row],[Personeelsnummer]])</f>
        <v>4</v>
      </c>
    </row>
    <row r="541" spans="1:8" x14ac:dyDescent="0.25">
      <c r="A541" s="34" t="s">
        <v>4455</v>
      </c>
      <c r="B541" s="34" t="s">
        <v>3248</v>
      </c>
      <c r="C541" s="34" t="s">
        <v>3247</v>
      </c>
      <c r="D541">
        <v>40890</v>
      </c>
      <c r="E541" s="34" t="s">
        <v>3859</v>
      </c>
      <c r="F541" s="3">
        <v>45530.083333333299</v>
      </c>
      <c r="G541" s="38">
        <f ca="1">TRUNC(YEARFRAC(F541,TODAY(),1))</f>
        <v>1</v>
      </c>
      <c r="H541">
        <f>COUNTIF(BRON!A:A,Tabel6[[#This Row],[Personeelsnummer]])</f>
        <v>0</v>
      </c>
    </row>
    <row r="542" spans="1:8" x14ac:dyDescent="0.25">
      <c r="A542" s="34" t="s">
        <v>4456</v>
      </c>
      <c r="B542" s="34" t="s">
        <v>2081</v>
      </c>
      <c r="C542" s="34" t="s">
        <v>2080</v>
      </c>
      <c r="D542">
        <v>40938</v>
      </c>
      <c r="E542" s="34" t="s">
        <v>3859</v>
      </c>
      <c r="F542" s="3">
        <v>45530.083333333299</v>
      </c>
      <c r="G542" s="38">
        <f ca="1">TRUNC(YEARFRAC(F542,TODAY(),1))</f>
        <v>1</v>
      </c>
      <c r="H542">
        <f>COUNTIF(BRON!A:A,Tabel6[[#This Row],[Personeelsnummer]])</f>
        <v>4</v>
      </c>
    </row>
    <row r="543" spans="1:8" x14ac:dyDescent="0.25">
      <c r="A543" s="34" t="s">
        <v>4457</v>
      </c>
      <c r="B543" s="34" t="s">
        <v>1722</v>
      </c>
      <c r="C543" s="34" t="s">
        <v>1721</v>
      </c>
      <c r="D543">
        <v>40939</v>
      </c>
      <c r="E543" s="34" t="s">
        <v>3851</v>
      </c>
      <c r="F543" s="3">
        <v>45530.083333333299</v>
      </c>
      <c r="G543" s="38">
        <f ca="1">TRUNC(YEARFRAC(F543,TODAY(),1))</f>
        <v>1</v>
      </c>
      <c r="H543">
        <f>COUNTIF(BRON!A:A,Tabel6[[#This Row],[Personeelsnummer]])</f>
        <v>3</v>
      </c>
    </row>
    <row r="544" spans="1:8" x14ac:dyDescent="0.25">
      <c r="A544" s="34" t="s">
        <v>4458</v>
      </c>
      <c r="B544" s="34" t="s">
        <v>1241</v>
      </c>
      <c r="C544" s="34" t="s">
        <v>1240</v>
      </c>
      <c r="D544">
        <v>41007</v>
      </c>
      <c r="E544" s="34" t="s">
        <v>3852</v>
      </c>
      <c r="F544" s="3">
        <v>45559.083333333299</v>
      </c>
      <c r="G544" s="38">
        <f ca="1">TRUNC(YEARFRAC(F544,TODAY(),1))</f>
        <v>1</v>
      </c>
      <c r="H544">
        <f>COUNTIF(BRON!A:A,Tabel6[[#This Row],[Personeelsnummer]])</f>
        <v>1</v>
      </c>
    </row>
    <row r="545" spans="1:8" x14ac:dyDescent="0.25">
      <c r="A545" s="34" t="s">
        <v>4459</v>
      </c>
      <c r="B545" s="34" t="s">
        <v>1413</v>
      </c>
      <c r="C545" s="34" t="s">
        <v>1412</v>
      </c>
      <c r="D545">
        <v>41012</v>
      </c>
      <c r="E545" s="34" t="s">
        <v>3856</v>
      </c>
      <c r="F545" s="3">
        <v>45574.083333333299</v>
      </c>
      <c r="G545" s="38">
        <f ca="1">TRUNC(YEARFRAC(F545,TODAY(),1))</f>
        <v>1</v>
      </c>
      <c r="H545">
        <f>COUNTIF(BRON!A:A,Tabel6[[#This Row],[Personeelsnummer]])</f>
        <v>2</v>
      </c>
    </row>
    <row r="546" spans="1:8" x14ac:dyDescent="0.25">
      <c r="A546" s="34" t="s">
        <v>4460</v>
      </c>
      <c r="B546" s="34" t="s">
        <v>2343</v>
      </c>
      <c r="C546" s="34" t="s">
        <v>2342</v>
      </c>
      <c r="D546">
        <v>41032</v>
      </c>
      <c r="E546" s="34" t="s">
        <v>3856</v>
      </c>
      <c r="F546" s="3">
        <v>45559.083333333299</v>
      </c>
      <c r="G546" s="38">
        <f ca="1">TRUNC(YEARFRAC(F546,TODAY(),1))</f>
        <v>1</v>
      </c>
      <c r="H546">
        <f>COUNTIF(BRON!A:A,Tabel6[[#This Row],[Personeelsnummer]])</f>
        <v>4</v>
      </c>
    </row>
    <row r="547" spans="1:8" x14ac:dyDescent="0.25">
      <c r="A547" s="34" t="s">
        <v>4461</v>
      </c>
      <c r="B547" s="34" t="s">
        <v>3314</v>
      </c>
      <c r="C547" s="34" t="s">
        <v>3313</v>
      </c>
      <c r="D547">
        <v>41064</v>
      </c>
      <c r="E547" s="34" t="s">
        <v>3859</v>
      </c>
      <c r="F547" s="3">
        <v>45588.083333333299</v>
      </c>
      <c r="G547" s="38">
        <f ca="1">TRUNC(YEARFRAC(F547,TODAY(),1))</f>
        <v>1</v>
      </c>
      <c r="H547">
        <f>COUNTIF(BRON!A:A,Tabel6[[#This Row],[Personeelsnummer]])</f>
        <v>2</v>
      </c>
    </row>
    <row r="548" spans="1:8" x14ac:dyDescent="0.25">
      <c r="A548" s="34" t="s">
        <v>4462</v>
      </c>
      <c r="B548" s="34" t="s">
        <v>1612</v>
      </c>
      <c r="C548" s="34" t="s">
        <v>1611</v>
      </c>
      <c r="D548">
        <v>41091</v>
      </c>
      <c r="E548" s="34" t="s">
        <v>3859</v>
      </c>
      <c r="F548" s="3">
        <v>45603.041666666701</v>
      </c>
      <c r="G548" s="38">
        <f ca="1">TRUNC(YEARFRAC(F548,TODAY(),1))</f>
        <v>1</v>
      </c>
      <c r="H548">
        <f>COUNTIF(BRON!A:A,Tabel6[[#This Row],[Personeelsnummer]])</f>
        <v>2</v>
      </c>
    </row>
    <row r="549" spans="1:8" x14ac:dyDescent="0.25">
      <c r="A549" s="34" t="s">
        <v>4463</v>
      </c>
      <c r="B549" s="34" t="s">
        <v>2987</v>
      </c>
      <c r="C549" s="34" t="s">
        <v>2986</v>
      </c>
      <c r="D549">
        <v>41092</v>
      </c>
      <c r="E549" s="34" t="s">
        <v>3859</v>
      </c>
      <c r="F549" s="3">
        <v>45574.083333333299</v>
      </c>
      <c r="G549" s="38">
        <f ca="1">TRUNC(YEARFRAC(F549,TODAY(),1))</f>
        <v>1</v>
      </c>
      <c r="H549">
        <f>COUNTIF(BRON!A:A,Tabel6[[#This Row],[Personeelsnummer]])</f>
        <v>8</v>
      </c>
    </row>
    <row r="550" spans="1:8" x14ac:dyDescent="0.25">
      <c r="A550" s="34" t="s">
        <v>4464</v>
      </c>
      <c r="B550" s="34" t="s">
        <v>1710</v>
      </c>
      <c r="C550" s="34" t="s">
        <v>1709</v>
      </c>
      <c r="D550">
        <v>41101</v>
      </c>
      <c r="E550" s="34" t="s">
        <v>3859</v>
      </c>
      <c r="F550" s="3">
        <v>45618.041666666701</v>
      </c>
      <c r="G550" s="38">
        <f ca="1">TRUNC(YEARFRAC(F550,TODAY(),1))</f>
        <v>1</v>
      </c>
      <c r="H550">
        <f>COUNTIF(BRON!A:A,Tabel6[[#This Row],[Personeelsnummer]])</f>
        <v>1</v>
      </c>
    </row>
    <row r="551" spans="1:8" x14ac:dyDescent="0.25">
      <c r="A551" s="34" t="s">
        <v>4465</v>
      </c>
      <c r="B551" s="34" t="s">
        <v>3015</v>
      </c>
      <c r="C551" s="34" t="s">
        <v>3018</v>
      </c>
      <c r="D551">
        <v>41137</v>
      </c>
      <c r="E551" s="34" t="s">
        <v>3859</v>
      </c>
      <c r="F551" s="3">
        <v>45616.041666666701</v>
      </c>
      <c r="G551" s="38">
        <f ca="1">TRUNC(YEARFRAC(F551,TODAY(),1))</f>
        <v>1</v>
      </c>
      <c r="H551">
        <f>COUNTIF(BRON!A:A,Tabel6[[#This Row],[Personeelsnummer]])</f>
        <v>1</v>
      </c>
    </row>
    <row r="552" spans="1:8" x14ac:dyDescent="0.25">
      <c r="A552" s="34" t="s">
        <v>4466</v>
      </c>
      <c r="B552" s="34" t="s">
        <v>2596</v>
      </c>
      <c r="C552" s="34" t="s">
        <v>2595</v>
      </c>
      <c r="D552">
        <v>41162</v>
      </c>
      <c r="E552" s="34" t="s">
        <v>3859</v>
      </c>
      <c r="F552" s="3">
        <v>45603.041666666701</v>
      </c>
      <c r="G552" s="38">
        <f ca="1">TRUNC(YEARFRAC(F552,TODAY(),1))</f>
        <v>1</v>
      </c>
      <c r="H552">
        <f>COUNTIF(BRON!A:A,Tabel6[[#This Row],[Personeelsnummer]])</f>
        <v>5</v>
      </c>
    </row>
    <row r="553" spans="1:8" x14ac:dyDescent="0.25">
      <c r="A553" s="34" t="s">
        <v>4467</v>
      </c>
      <c r="B553" s="34" t="s">
        <v>1351</v>
      </c>
      <c r="C553" s="34" t="s">
        <v>3279</v>
      </c>
      <c r="D553">
        <v>41230</v>
      </c>
      <c r="E553" s="34" t="s">
        <v>3859</v>
      </c>
      <c r="F553" s="3">
        <v>45603.041666666701</v>
      </c>
      <c r="G553" s="38">
        <f ca="1">TRUNC(YEARFRAC(F553,TODAY(),1))</f>
        <v>1</v>
      </c>
      <c r="H553">
        <f>COUNTIF(BRON!A:A,Tabel6[[#This Row],[Personeelsnummer]])</f>
        <v>2</v>
      </c>
    </row>
    <row r="554" spans="1:8" x14ac:dyDescent="0.25">
      <c r="A554" s="34" t="s">
        <v>4469</v>
      </c>
      <c r="B554" s="34" t="s">
        <v>2053</v>
      </c>
      <c r="C554" s="34" t="s">
        <v>2052</v>
      </c>
      <c r="D554">
        <v>41296</v>
      </c>
      <c r="E554" s="34" t="s">
        <v>3853</v>
      </c>
      <c r="F554" s="3">
        <v>45618.041666666701</v>
      </c>
      <c r="G554" s="38">
        <f ca="1">TRUNC(YEARFRAC(F554,TODAY(),1))</f>
        <v>1</v>
      </c>
      <c r="H554">
        <f>COUNTIF(BRON!A:A,Tabel6[[#This Row],[Personeelsnummer]])</f>
        <v>2</v>
      </c>
    </row>
    <row r="555" spans="1:8" x14ac:dyDescent="0.25">
      <c r="A555" s="34" t="s">
        <v>3897</v>
      </c>
      <c r="B555" s="34" t="s">
        <v>2604</v>
      </c>
      <c r="C555" s="34" t="s">
        <v>1477</v>
      </c>
      <c r="D555">
        <v>42307</v>
      </c>
      <c r="E555" s="34" t="s">
        <v>3853</v>
      </c>
      <c r="F555" s="3">
        <v>45903.083333333299</v>
      </c>
      <c r="G555" s="38">
        <f ca="1">TRUNC(YEARFRAC(F555,TODAY(),1))</f>
        <v>0</v>
      </c>
      <c r="H555">
        <f>COUNTIF(BRON!A:A,Tabel6[[#This Row],[Personeelsnummer]])</f>
        <v>3</v>
      </c>
    </row>
    <row r="556" spans="1:8" x14ac:dyDescent="0.25">
      <c r="A556" s="34" t="s">
        <v>4202</v>
      </c>
      <c r="B556" s="34" t="s">
        <v>3030</v>
      </c>
      <c r="C556" s="34" t="s">
        <v>2545</v>
      </c>
      <c r="D556">
        <v>31891</v>
      </c>
      <c r="E556" s="34" t="s">
        <v>3854</v>
      </c>
      <c r="F556" s="3">
        <v>45873.083333333299</v>
      </c>
      <c r="G556" s="38">
        <f ca="1">TRUNC(YEARFRAC(F556,TODAY(),1))</f>
        <v>0</v>
      </c>
      <c r="H556">
        <f>COUNTIF(BRON!A:A,Tabel6[[#This Row],[Personeelsnummer]])</f>
        <v>0</v>
      </c>
    </row>
    <row r="557" spans="1:8" x14ac:dyDescent="0.25">
      <c r="A557" s="34" t="s">
        <v>4288</v>
      </c>
      <c r="B557" s="34" t="s">
        <v>3596</v>
      </c>
      <c r="C557" s="34" t="s">
        <v>3595</v>
      </c>
      <c r="D557">
        <v>36427</v>
      </c>
      <c r="E557" s="34" t="s">
        <v>3856</v>
      </c>
      <c r="F557" s="3">
        <v>45883.083333333299</v>
      </c>
      <c r="G557" s="38">
        <f ca="1">TRUNC(YEARFRAC(F557,TODAY(),1))</f>
        <v>0</v>
      </c>
      <c r="H557">
        <f>COUNTIF(BRON!A:A,Tabel6[[#This Row],[Personeelsnummer]])</f>
        <v>0</v>
      </c>
    </row>
    <row r="558" spans="1:8" x14ac:dyDescent="0.25">
      <c r="A558" s="34" t="s">
        <v>4308</v>
      </c>
      <c r="B558" s="34" t="s">
        <v>4309</v>
      </c>
      <c r="C558" s="34" t="s">
        <v>4310</v>
      </c>
      <c r="D558">
        <v>36815</v>
      </c>
      <c r="E558" s="34" t="s">
        <v>3852</v>
      </c>
      <c r="F558" s="3">
        <v>45979.041666666701</v>
      </c>
      <c r="G558" s="38">
        <f ca="1">TRUNC(YEARFRAC(F558,TODAY(),1))</f>
        <v>0</v>
      </c>
      <c r="H558">
        <f>COUNTIF(BRON!A:A,Tabel6[[#This Row],[Personeelsnummer]])</f>
        <v>0</v>
      </c>
    </row>
    <row r="559" spans="1:8" x14ac:dyDescent="0.25">
      <c r="A559" s="34" t="s">
        <v>4409</v>
      </c>
      <c r="B559" s="34" t="s">
        <v>3438</v>
      </c>
      <c r="C559" s="34" t="s">
        <v>3591</v>
      </c>
      <c r="D559">
        <v>39928</v>
      </c>
      <c r="E559" s="34" t="s">
        <v>3854</v>
      </c>
      <c r="F559" s="3">
        <v>45896.083333333299</v>
      </c>
      <c r="G559" s="38">
        <f ca="1">TRUNC(YEARFRAC(F559,TODAY(),1))</f>
        <v>0</v>
      </c>
      <c r="H559">
        <f>COUNTIF(BRON!A:A,Tabel6[[#This Row],[Personeelsnummer]])</f>
        <v>1</v>
      </c>
    </row>
    <row r="560" spans="1:8" x14ac:dyDescent="0.25">
      <c r="A560" s="34" t="s">
        <v>4468</v>
      </c>
      <c r="B560" s="34" t="s">
        <v>1444</v>
      </c>
      <c r="C560" s="34" t="s">
        <v>1443</v>
      </c>
      <c r="D560">
        <v>41246</v>
      </c>
      <c r="E560" s="34" t="s">
        <v>3859</v>
      </c>
      <c r="F560" s="3">
        <v>45663.041666666701</v>
      </c>
      <c r="G560" s="38">
        <f ca="1">TRUNC(YEARFRAC(F560,TODAY(),1))</f>
        <v>0</v>
      </c>
      <c r="H560">
        <f>COUNTIF(BRON!A:A,Tabel6[[#This Row],[Personeelsnummer]])</f>
        <v>3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ca="1">TRUNC(YEARFRAC(F561,TODAY(),1))</f>
        <v>0</v>
      </c>
      <c r="H561">
        <f>COUNTIF(BRON!A:A,Tabel6[[#This Row],[Personeelsnummer]])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ca="1">TRUNC(YEARFRAC(F562,TODAY(),1))</f>
        <v>0</v>
      </c>
      <c r="H562">
        <f>COUNTIF(BRON!A:A,Tabel6[[#This Row],[Personeelsnummer]])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ca="1">TRUNC(YEARFRAC(F563,TODAY(),1))</f>
        <v>0</v>
      </c>
      <c r="H563">
        <f>COUNTIF(BRON!A:A,Tabel6[[#This Row],[Personeelsnummer]])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ca="1">TRUNC(YEARFRAC(F564,TODAY(),1))</f>
        <v>0</v>
      </c>
      <c r="H564">
        <f>COUNTIF(BRON!A:A,Tabel6[[#This Row],[Personeelsnummer]])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ca="1">TRUNC(YEARFRAC(F565,TODAY(),1))</f>
        <v>0</v>
      </c>
      <c r="H565">
        <f>COUNTIF(BRON!A:A,Tabel6[[#This Row],[Personeelsnummer]])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ca="1">TRUNC(YEARFRAC(F566,TODAY(),1))</f>
        <v>0</v>
      </c>
      <c r="H566">
        <f>COUNTIF(BRON!A:A,Tabel6[[#This Row],[Personeelsnummer]])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ca="1">TRUNC(YEARFRAC(F567,TODAY(),1))</f>
        <v>0</v>
      </c>
      <c r="H567">
        <f>COUNTIF(BRON!A:A,Tabel6[[#This Row],[Personeelsnummer]])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ca="1">TRUNC(YEARFRAC(F568,TODAY(),1))</f>
        <v>0</v>
      </c>
      <c r="H568">
        <f>COUNTIF(BRON!A:A,Tabel6[[#This Row],[Personeelsnummer]])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ca="1">TRUNC(YEARFRAC(F569,TODAY(),1))</f>
        <v>0</v>
      </c>
      <c r="H569">
        <f>COUNTIF(BRON!A:A,Tabel6[[#This Row],[Personeelsnummer]])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ca="1">TRUNC(YEARFRAC(F570,TODAY(),1))</f>
        <v>0</v>
      </c>
      <c r="H570">
        <f>COUNTIF(BRON!A:A,Tabel6[[#This Row],[Personeelsnummer]])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ca="1">TRUNC(YEARFRAC(F571,TODAY(),1))</f>
        <v>0</v>
      </c>
      <c r="H571">
        <f>COUNTIF(BRON!A:A,Tabel6[[#This Row],[Personeelsnummer]])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ca="1">TRUNC(YEARFRAC(F572,TODAY(),1))</f>
        <v>0</v>
      </c>
      <c r="H572">
        <f>COUNTIF(BRON!A:A,Tabel6[[#This Row],[Personeelsnummer]])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ca="1">TRUNC(YEARFRAC(F573,TODAY(),1))</f>
        <v>0</v>
      </c>
      <c r="H573">
        <f>COUNTIF(BRON!A:A,Tabel6[[#This Row],[Personeelsnummer]])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ca="1">TRUNC(YEARFRAC(F574,TODAY(),1))</f>
        <v>0</v>
      </c>
      <c r="H574">
        <f>COUNTIF(BRON!A:A,Tabel6[[#This Row],[Personeelsnummer]])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ca="1">TRUNC(YEARFRAC(F575,TODAY(),1))</f>
        <v>0</v>
      </c>
      <c r="H575">
        <f>COUNTIF(BRON!A:A,Tabel6[[#This Row],[Personeelsnummer]])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ca="1">TRUNC(YEARFRAC(F576,TODAY(),1))</f>
        <v>0</v>
      </c>
      <c r="H576">
        <f>COUNTIF(BRON!A:A,Tabel6[[#This Row],[Personeelsnummer]])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ca="1">TRUNC(YEARFRAC(F577,TODAY(),1))</f>
        <v>0</v>
      </c>
      <c r="H577">
        <f>COUNTIF(BRON!A:A,Tabel6[[#This Row],[Personeelsnummer]])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ca="1">TRUNC(YEARFRAC(F578,TODAY(),1))</f>
        <v>0</v>
      </c>
      <c r="H578">
        <f>COUNTIF(BRON!A:A,Tabel6[[#This Row],[Personeelsnummer]])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ca="1">TRUNC(YEARFRAC(F579,TODAY(),1))</f>
        <v>0</v>
      </c>
      <c r="H579">
        <f>COUNTIF(BRON!A:A,Tabel6[[#This Row],[Personeelsnummer]])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ca="1">TRUNC(YEARFRAC(F580,TODAY(),1))</f>
        <v>0</v>
      </c>
      <c r="H580">
        <f>COUNTIF(BRON!A:A,Tabel6[[#This Row],[Personeelsnummer]])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ca="1">TRUNC(YEARFRAC(F581,TODAY(),1))</f>
        <v>0</v>
      </c>
      <c r="H581">
        <f>COUNTIF(BRON!A:A,Tabel6[[#This Row],[Personeelsnummer]])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ca="1">TRUNC(YEARFRAC(F582,TODAY(),1))</f>
        <v>0</v>
      </c>
      <c r="H582">
        <f>COUNTIF(BRON!A:A,Tabel6[[#This Row],[Personeelsnummer]])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ca="1">TRUNC(YEARFRAC(F583,TODAY(),1))</f>
        <v>0</v>
      </c>
      <c r="H583">
        <f>COUNTIF(BRON!A:A,Tabel6[[#This Row],[Personeelsnummer]])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ca="1">TRUNC(YEARFRAC(F584,TODAY(),1))</f>
        <v>0</v>
      </c>
      <c r="H584">
        <f>COUNTIF(BRON!A:A,Tabel6[[#This Row],[Personeelsnummer]])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ca="1">TRUNC(YEARFRAC(F585,TODAY(),1))</f>
        <v>0</v>
      </c>
      <c r="H585">
        <f>COUNTIF(BRON!A:A,Tabel6[[#This Row],[Personeelsnummer]])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ca="1">TRUNC(YEARFRAC(F586,TODAY(),1))</f>
        <v>0</v>
      </c>
      <c r="H586">
        <f>COUNTIF(BRON!A:A,Tabel6[[#This Row],[Personeelsnummer]])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ca="1">TRUNC(YEARFRAC(F587,TODAY(),1))</f>
        <v>0</v>
      </c>
      <c r="H587">
        <f>COUNTIF(BRON!A:A,Tabel6[[#This Row],[Personeelsnummer]])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ca="1">TRUNC(YEARFRAC(F588,TODAY(),1))</f>
        <v>0</v>
      </c>
      <c r="H588">
        <f>COUNTIF(BRON!A:A,Tabel6[[#This Row],[Personeelsnummer]])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ca="1">TRUNC(YEARFRAC(F589,TODAY(),1))</f>
        <v>0</v>
      </c>
      <c r="H589">
        <f>COUNTIF(BRON!A:A,Tabel6[[#This Row],[Personeelsnummer]])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ca="1">TRUNC(YEARFRAC(F590,TODAY(),1))</f>
        <v>0</v>
      </c>
      <c r="H590">
        <f>COUNTIF(BRON!A:A,Tabel6[[#This Row],[Personeelsnummer]])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ca="1">TRUNC(YEARFRAC(F591,TODAY(),1))</f>
        <v>0</v>
      </c>
      <c r="H591">
        <f>COUNTIF(BRON!A:A,Tabel6[[#This Row],[Personeelsnummer]])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ca="1">TRUNC(YEARFRAC(F592,TODAY(),1))</f>
        <v>0</v>
      </c>
      <c r="H592">
        <f>COUNTIF(BRON!A:A,Tabel6[[#This Row],[Personeelsnummer]])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ca="1">TRUNC(YEARFRAC(F593,TODAY(),1))</f>
        <v>0</v>
      </c>
      <c r="H593">
        <f>COUNTIF(BRON!A:A,Tabel6[[#This Row],[Personeelsnummer]])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ca="1">TRUNC(YEARFRAC(F594,TODAY(),1))</f>
        <v>0</v>
      </c>
      <c r="H594">
        <f>COUNTIF(BRON!A:A,Tabel6[[#This Row],[Personeelsnummer]])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ca="1">TRUNC(YEARFRAC(F595,TODAY(),1))</f>
        <v>0</v>
      </c>
      <c r="H595">
        <f>COUNTIF(BRON!A:A,Tabel6[[#This Row],[Personeelsnummer]])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ca="1">TRUNC(YEARFRAC(F596,TODAY(),1))</f>
        <v>0</v>
      </c>
      <c r="H596">
        <f>COUNTIF(BRON!A:A,Tabel6[[#This Row],[Personeelsnummer]])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ca="1">TRUNC(YEARFRAC(F597,TODAY(),1))</f>
        <v>0</v>
      </c>
      <c r="H597">
        <f>COUNTIF(BRON!A:A,Tabel6[[#This Row],[Personeelsnummer]])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ca="1">TRUNC(YEARFRAC(F598,TODAY(),1))</f>
        <v>0</v>
      </c>
      <c r="H598">
        <f>COUNTIF(BRON!A:A,Tabel6[[#This Row],[Personeelsnummer]])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ca="1">TRUNC(YEARFRAC(F599,TODAY(),1))</f>
        <v>0</v>
      </c>
      <c r="H599">
        <f>COUNTIF(BRON!A:A,Tabel6[[#This Row],[Personeelsnummer]])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ca="1">TRUNC(YEARFRAC(F600,TODAY(),1))</f>
        <v>0</v>
      </c>
      <c r="H600">
        <f>COUNTIF(BRON!A:A,Tabel6[[#This Row],[Personeelsnummer]])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ca="1">TRUNC(YEARFRAC(F601,TODAY(),1))</f>
        <v>0</v>
      </c>
      <c r="H601">
        <f>COUNTIF(BRON!A:A,Tabel6[[#This Row],[Personeelsnummer]])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ca="1">TRUNC(YEARFRAC(F602,TODAY(),1))</f>
        <v>0</v>
      </c>
      <c r="H602">
        <f>COUNTIF(BRON!A:A,Tabel6[[#This Row],[Personeelsnummer]])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ca="1">TRUNC(YEARFRAC(F603,TODAY(),1))</f>
        <v>0</v>
      </c>
      <c r="H603">
        <f>COUNTIF(BRON!A:A,Tabel6[[#This Row],[Personeelsnummer]])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ca="1">TRUNC(YEARFRAC(F604,TODAY(),1))</f>
        <v>0</v>
      </c>
      <c r="H604">
        <f>COUNTIF(BRON!A:A,Tabel6[[#This Row],[Personeelsnummer]])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ca="1">TRUNC(YEARFRAC(F605,TODAY(),1))</f>
        <v>0</v>
      </c>
      <c r="H605">
        <f>COUNTIF(BRON!A:A,Tabel6[[#This Row],[Personeelsnummer]])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ca="1">TRUNC(YEARFRAC(F606,TODAY(),1))</f>
        <v>0</v>
      </c>
      <c r="H606">
        <f>COUNTIF(BRON!A:A,Tabel6[[#This Row],[Personeelsnummer]])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ca="1">TRUNC(YEARFRAC(F607,TODAY(),1))</f>
        <v>0</v>
      </c>
      <c r="H607">
        <f>COUNTIF(BRON!A:A,Tabel6[[#This Row],[Personeelsnummer]])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ca="1">TRUNC(YEARFRAC(F608,TODAY(),1))</f>
        <v>0</v>
      </c>
      <c r="H608">
        <f>COUNTIF(BRON!A:A,Tabel6[[#This Row],[Personeelsnummer]])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ca="1">TRUNC(YEARFRAC(F609,TODAY(),1))</f>
        <v>0</v>
      </c>
      <c r="H609">
        <f>COUNTIF(BRON!A:A,Tabel6[[#This Row],[Personeelsnummer]])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ca="1">TRUNC(YEARFRAC(F610,TODAY(),1))</f>
        <v>0</v>
      </c>
      <c r="H610">
        <f>COUNTIF(BRON!A:A,Tabel6[[#This Row],[Personeelsnummer]])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ca="1">TRUNC(YEARFRAC(F611,TODAY(),1))</f>
        <v>0</v>
      </c>
      <c r="H611">
        <f>COUNTIF(BRON!A:A,Tabel6[[#This Row],[Personeelsnummer]])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ca="1">TRUNC(YEARFRAC(F612,TODAY(),1))</f>
        <v>0</v>
      </c>
      <c r="H612">
        <f>COUNTIF(BRON!A:A,Tabel6[[#This Row],[Personeelsnummer]])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ca="1">TRUNC(YEARFRAC(F613,TODAY(),1))</f>
        <v>0</v>
      </c>
      <c r="H613">
        <f>COUNTIF(BRON!A:A,Tabel6[[#This Row],[Personeelsnummer]])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ca="1">TRUNC(YEARFRAC(F614,TODAY(),1))</f>
        <v>0</v>
      </c>
      <c r="H614">
        <f>COUNTIF(BRON!A:A,Tabel6[[#This Row],[Personeelsnummer]])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ca="1">TRUNC(YEARFRAC(F615,TODAY(),1))</f>
        <v>0</v>
      </c>
      <c r="H615">
        <f>COUNTIF(BRON!A:A,Tabel6[[#This Row],[Personeelsnummer]])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Dashboard</vt:lpstr>
      <vt:lpstr>BRON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2025-12-04T08:14:36Z</cp:lastPrinted>
  <dcterms:created xsi:type="dcterms:W3CDTF">2025-02-27T18:28:42Z</dcterms:created>
  <dcterms:modified xsi:type="dcterms:W3CDTF">2025-12-04T10:24:56Z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