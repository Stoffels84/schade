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36" documentId="13_ncr:1_{10FCACA5-8197-478D-90D3-5F83063FB753}" xr6:coauthVersionLast="47" xr6:coauthVersionMax="47" xr10:uidLastSave="{0590B2BC-6857-4097-AA00-3EB13FF233EC}"/>
  <bookViews>
    <workbookView minimized="1" xWindow="-10680" yWindow="-13545" windowWidth="21600" windowHeight="11295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86" i="1" l="1"/>
  <c r="B987" i="1"/>
  <c r="B988" i="1"/>
  <c r="B989" i="1"/>
  <c r="B990" i="1"/>
  <c r="B991" i="1"/>
  <c r="B992" i="1"/>
  <c r="C992" i="1"/>
  <c r="D992" i="1"/>
  <c r="E992" i="1"/>
  <c r="S992" i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B985" i="1" s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3" i="1" l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AB201" i="1" s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192" i="1"/>
  <c r="AB770" i="1"/>
  <c r="AB54" i="1"/>
  <c r="B982" i="1"/>
  <c r="AB985" i="1" l="1"/>
  <c r="AB990" i="1"/>
  <c r="AB987" i="1"/>
  <c r="AB992" i="1"/>
  <c r="AB989" i="1"/>
  <c r="AB986" i="1"/>
  <c r="AB991" i="1"/>
  <c r="AB331" i="1"/>
  <c r="AB988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<sst xmlns="http://schemas.openxmlformats.org/spreadsheetml/2006/main" count="10645" uniqueCount="3884">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</sst>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6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7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descending">
      <items count="39">
        <item m="1" x="36"/>
        <item x="13"/>
        <item x="34"/>
        <item m="1" x="37"/>
        <item x="33"/>
        <item x="35"/>
        <item x="32"/>
        <item x="31"/>
        <item x="30"/>
        <item x="29"/>
        <item x="28"/>
        <item x="22"/>
        <item x="21"/>
        <item x="27"/>
        <item x="26"/>
        <item x="20"/>
        <item x="3"/>
        <item x="12"/>
        <item x="2"/>
        <item x="11"/>
        <item x="25"/>
        <item x="19"/>
        <item x="10"/>
        <item x="18"/>
        <item x="17"/>
        <item x="24"/>
        <item x="9"/>
        <item x="8"/>
        <item x="16"/>
        <item x="15"/>
        <item x="14"/>
        <item x="23"/>
        <item x="7"/>
        <item x="6"/>
        <item x="5"/>
        <item x="4"/>
        <item x="0"/>
        <item x="1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32">
      <pivotArea field="6" type="button" dataOnly="0" labelOnly="1" outline="0" axis="axisRow" fieldPosition="0"/>
    </format>
    <format dxfId="31">
      <pivotArea dataOnly="0" labelOnly="1" fieldPosition="0">
        <references count="1">
          <reference field="6" count="0"/>
        </references>
      </pivotArea>
    </format>
    <format dxfId="30">
      <pivotArea dataOnly="0" labelOnly="1" grandRow="1" outline="0" fieldPosition="0"/>
    </format>
    <format dxfId="29">
      <pivotArea outline="0" collapsedLevelsAreSubtotals="1" fieldPosition="0"/>
    </format>
    <format dxfId="2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5"/>
    <tableColumn id="5" xr3:uid="{DF37AD45-FC5C-478A-989D-9143E744CEEA}" name="voornaam" dataDxfId="44">
      <calculatedColumnFormula>VLOOKUP(Tabel2[[#This Row],[nr]],'data hastus'!A:C,3,FALSE)</calculatedColumnFormula>
    </tableColumn>
    <tableColumn id="6" xr3:uid="{4098FAFB-9B09-4A81-8B22-18CC90B5F979}" name="achternaam" dataDxfId="4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2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1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0"/>
    <tableColumn id="11" xr3:uid="{97ECF1D5-48DC-4487-B3C2-17232CC8E19E}" name="Januari" dataDxfId="39"/>
    <tableColumn id="12" xr3:uid="{7B2FF520-A575-45C0-BB5A-19B87DDB4EA0}" name="Februari" dataDxfId="38"/>
    <tableColumn id="13" xr3:uid="{4E6C30D1-FB72-4AB2-900F-14A3D53F34DE}" name="Maart" dataDxfId="3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6">
      <calculatedColumnFormula>SUM(bron[[#This Row],[Januari]:[December]])</calculatedColumnFormula>
    </tableColumn>
    <tableColumn id="10" xr3:uid="{8D9646BD-38B6-4F4D-9859-B3933369346B}" name="Datum" dataDxfId="3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4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6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3">
      <calculatedColumnFormula>YEAR(TODAY()) - YEAR(F2) - (IF(DATE(YEAR(TODAY()), MONTH(F2), DAY(F2)) &gt; TODAY(), 1, 0))</calculatedColumnFormula>
    </tableColumn>
    <tableColumn id="5" xr3:uid="{4C697650-E57C-44EB-9139-9D19E4E44782}" name="aantal schades" dataDxfId="2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U974" sqref="U974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9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9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9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9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9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9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44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 s="36">
        <f>COUNTIF(B:B,bron[[#This Row],[volledige naam]])</f>
        <v>2</v>
      </c>
    </row>
    <row r="986" spans="1:28" x14ac:dyDescent="0.25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44">
        <f>SUM(bron[[#This Row],[Januari]:[December]])</f>
        <v>0</v>
      </c>
      <c r="V986" s="26"/>
      <c r="W986" s="26"/>
      <c r="AB986" s="36">
        <f>COUNTIF(B:B,bron[[#This Row],[volledige naam]])</f>
        <v>25</v>
      </c>
    </row>
    <row r="987" spans="1:28" x14ac:dyDescent="0.25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36">
        <f>COUNTIF(B:B,bron[[#This Row],[volledige naam]])</f>
        <v>25</v>
      </c>
    </row>
    <row r="988" spans="1:28" x14ac:dyDescent="0.25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36">
        <f>COUNTIF(B:B,bron[[#This Row],[volledige naam]])</f>
        <v>25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36">
        <f>COUNTIF(B:B,bron[[#This Row],[volledige naam]])</f>
        <v>25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36">
        <f>COUNTIF(B:B,bron[[#This Row],[volledige naam]])</f>
        <v>25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36">
        <f>COUNTIF(B:B,bron[[#This Row],[volledige naam]])</f>
        <v>25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36">
        <f>COUNTIF(B:B,bron[[#This Row],[volledige naam]])</f>
        <v>25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W18" sqref="W18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4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40" t="s">
        <v>3807</v>
      </c>
      <c r="K2" s="38" t="s">
        <v>3876</v>
      </c>
      <c r="N2" t="s">
        <v>3878</v>
      </c>
    </row>
    <row r="3" spans="1:14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1">
        <v>37</v>
      </c>
      <c r="K3" s="38">
        <v>1</v>
      </c>
    </row>
    <row r="4" spans="1:14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1">
        <v>36</v>
      </c>
      <c r="K4" s="38">
        <v>2</v>
      </c>
    </row>
    <row r="5" spans="1:14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1">
        <v>34</v>
      </c>
      <c r="K5" s="38">
        <v>2</v>
      </c>
    </row>
    <row r="6" spans="1:14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1">
        <v>33</v>
      </c>
      <c r="K6" s="38">
        <v>3</v>
      </c>
    </row>
    <row r="7" spans="1:14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1">
        <v>32</v>
      </c>
      <c r="K7" s="38">
        <v>1</v>
      </c>
    </row>
    <row r="8" spans="1:14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1">
        <v>30</v>
      </c>
      <c r="K8" s="38">
        <v>1</v>
      </c>
    </row>
    <row r="9" spans="1:14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1">
        <v>29</v>
      </c>
      <c r="K9" s="38">
        <v>5</v>
      </c>
    </row>
    <row r="10" spans="1:14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1">
        <v>28</v>
      </c>
      <c r="K10" s="38">
        <v>4</v>
      </c>
    </row>
    <row r="11" spans="1:14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1">
        <v>27</v>
      </c>
      <c r="K11" s="38">
        <v>3</v>
      </c>
    </row>
    <row r="12" spans="1:14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1">
        <v>26</v>
      </c>
      <c r="K12" s="38">
        <v>6</v>
      </c>
    </row>
    <row r="13" spans="1:14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1">
        <v>25</v>
      </c>
      <c r="K13" s="38">
        <v>7</v>
      </c>
    </row>
    <row r="14" spans="1:14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1">
        <v>24</v>
      </c>
      <c r="K14" s="38">
        <v>5</v>
      </c>
    </row>
    <row r="15" spans="1:14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1">
        <v>23</v>
      </c>
      <c r="K15" s="38">
        <v>8</v>
      </c>
    </row>
    <row r="16" spans="1:14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2025-12-01T13:31:53Z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