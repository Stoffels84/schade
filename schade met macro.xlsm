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68" documentId="13_ncr:1_{BC833B0D-2F54-40DF-A6AF-902741D0EBA0}" xr6:coauthVersionLast="47" xr6:coauthVersionMax="47" xr10:uidLastSave="{89199789-26FF-48E3-AD3B-86C465E850E7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62" i="1" l="1"/>
  <c r="B863" i="1"/>
  <c r="B864" i="1"/>
  <c r="B865" i="1"/>
  <c r="C865" i="1"/>
  <c r="D865" i="1"/>
  <c r="E865" i="1"/>
  <c r="S865" i="1"/>
  <c r="C864" i="1"/>
  <c r="D864" i="1"/>
  <c r="E864" i="1"/>
  <c r="S864" i="1"/>
  <c r="C863" i="1"/>
  <c r="D863" i="1"/>
  <c r="E863" i="1"/>
  <c r="S863" i="1"/>
  <c r="C862" i="1"/>
  <c r="D862" i="1"/>
  <c r="E862" i="1"/>
  <c r="S862" i="1"/>
  <c r="C861" i="1"/>
  <c r="B861" i="1" s="1"/>
  <c r="D861" i="1"/>
  <c r="E861" i="1"/>
  <c r="S861" i="1"/>
  <c r="C860" i="1"/>
  <c r="D860" i="1"/>
  <c r="E860" i="1"/>
  <c r="S860" i="1"/>
  <c r="B860" i="1" l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<sst xmlns="http://schemas.openxmlformats.org/spreadsheetml/2006/main" count="7812" uniqueCount="3602">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</sst>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77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76">
      <pivotArea dataOnly="0" labelOnly="1" fieldPosition="0">
        <references count="1">
          <reference field="1" count="1">
            <x v="511"/>
          </reference>
        </references>
      </pivotArea>
    </format>
    <format dxfId="75">
      <pivotArea dataOnly="0" labelOnly="1" fieldPosition="0">
        <references count="1">
          <reference field="1" count="1">
            <x v="473"/>
          </reference>
        </references>
      </pivotArea>
    </format>
    <format dxfId="74">
      <pivotArea dataOnly="0" labelOnly="1" fieldPosition="0">
        <references count="1">
          <reference field="1" count="1">
            <x v="497"/>
          </reference>
        </references>
      </pivotArea>
    </format>
    <format dxfId="73">
      <pivotArea dataOnly="0" labelOnly="1" fieldPosition="0">
        <references count="1">
          <reference field="1" count="1">
            <x v="512"/>
          </reference>
        </references>
      </pivotArea>
    </format>
    <format dxfId="72">
      <pivotArea dataOnly="0" labelOnly="1" fieldPosition="0">
        <references count="1">
          <reference field="1" count="1">
            <x v="504"/>
          </reference>
        </references>
      </pivotArea>
    </format>
    <format dxfId="71">
      <pivotArea dataOnly="0" labelOnly="1" fieldPosition="0">
        <references count="1">
          <reference field="1" count="1">
            <x v="90"/>
          </reference>
        </references>
      </pivotArea>
    </format>
    <format dxfId="70">
      <pivotArea dataOnly="0" labelOnly="1" fieldPosition="0">
        <references count="1">
          <reference field="1" count="1">
            <x v="280"/>
          </reference>
        </references>
      </pivotArea>
    </format>
    <format dxfId="69">
      <pivotArea dataOnly="0" labelOnly="1" fieldPosition="0">
        <references count="1">
          <reference field="1" count="1">
            <x v="514"/>
          </reference>
        </references>
      </pivotArea>
    </format>
    <format dxfId="68">
      <pivotArea dataOnly="0" labelOnly="1" fieldPosition="0">
        <references count="1">
          <reference field="1" count="1">
            <x v="478"/>
          </reference>
        </references>
      </pivotArea>
    </format>
    <format dxfId="67">
      <pivotArea dataOnly="0" labelOnly="1" fieldPosition="0">
        <references count="1">
          <reference field="1" count="1">
            <x v="510"/>
          </reference>
        </references>
      </pivotArea>
    </format>
    <format dxfId="66">
      <pivotArea dataOnly="0" labelOnly="1" fieldPosition="0">
        <references count="1">
          <reference field="1" count="1">
            <x v="481"/>
          </reference>
        </references>
      </pivotArea>
    </format>
    <format dxfId="65">
      <pivotArea dataOnly="0" labelOnly="1" fieldPosition="0">
        <references count="1">
          <reference field="1" count="1">
            <x v="435"/>
          </reference>
        </references>
      </pivotArea>
    </format>
    <format dxfId="64">
      <pivotArea dataOnly="0" labelOnly="1" fieldPosition="0">
        <references count="1">
          <reference field="1" count="1">
            <x v="112"/>
          </reference>
        </references>
      </pivotArea>
    </format>
    <format dxfId="63">
      <pivotArea dataOnly="0" labelOnly="1" fieldPosition="0">
        <references count="1">
          <reference field="1" count="1">
            <x v="157"/>
          </reference>
        </references>
      </pivotArea>
    </format>
    <format dxfId="62">
      <pivotArea dataOnly="0" labelOnly="1" fieldPosition="0">
        <references count="1">
          <reference field="1" count="1">
            <x v="490"/>
          </reference>
        </references>
      </pivotArea>
    </format>
    <format dxfId="61">
      <pivotArea dataOnly="0" labelOnly="1" fieldPosition="0">
        <references count="1">
          <reference field="1" count="1">
            <x v="506"/>
          </reference>
        </references>
      </pivotArea>
    </format>
    <format dxfId="60">
      <pivotArea dataOnly="0" labelOnly="1" fieldPosition="0">
        <references count="1">
          <reference field="1" count="1">
            <x v="520"/>
          </reference>
        </references>
      </pivotArea>
    </format>
    <format dxfId="59">
      <pivotArea dataOnly="0" labelOnly="1" fieldPosition="0">
        <references count="1">
          <reference field="1" count="1">
            <x v="250"/>
          </reference>
        </references>
      </pivotArea>
    </format>
    <format dxfId="58">
      <pivotArea dataOnly="0" labelOnly="1" fieldPosition="0">
        <references count="1">
          <reference field="1" count="1">
            <x v="432"/>
          </reference>
        </references>
      </pivotArea>
    </format>
    <format dxfId="57">
      <pivotArea dataOnly="0" labelOnly="1" fieldPosition="0">
        <references count="1">
          <reference field="1" count="1">
            <x v="440"/>
          </reference>
        </references>
      </pivotArea>
    </format>
    <format dxfId="56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55">
      <pivotArea dataOnly="0" labelOnly="1" fieldPosition="0">
        <references count="1">
          <reference field="1" count="1">
            <x v="348"/>
          </reference>
        </references>
      </pivotArea>
    </format>
    <format dxfId="54">
      <pivotArea dataOnly="0" labelOnly="1" fieldPosition="0">
        <references count="1">
          <reference field="1" count="1">
            <x v="355"/>
          </reference>
        </references>
      </pivotArea>
    </format>
    <format dxfId="53">
      <pivotArea dataOnly="0" labelOnly="1" fieldPosition="0">
        <references count="1">
          <reference field="1" count="1">
            <x v="498"/>
          </reference>
        </references>
      </pivotArea>
    </format>
    <format dxfId="52">
      <pivotArea dataOnly="0" labelOnly="1" fieldPosition="0">
        <references count="1">
          <reference field="1" count="1">
            <x v="508"/>
          </reference>
        </references>
      </pivotArea>
    </format>
    <format dxfId="51">
      <pivotArea dataOnly="0" labelOnly="1" fieldPosition="0">
        <references count="1">
          <reference field="1" count="1">
            <x v="397"/>
          </reference>
        </references>
      </pivotArea>
    </format>
    <format dxfId="50">
      <pivotArea dataOnly="0" labelOnly="1" fieldPosition="0">
        <references count="1">
          <reference field="1" count="1">
            <x v="513"/>
          </reference>
        </references>
      </pivotArea>
    </format>
    <format dxfId="49">
      <pivotArea dataOnly="0" labelOnly="1" fieldPosition="0">
        <references count="1">
          <reference field="1" count="1">
            <x v="412"/>
          </reference>
        </references>
      </pivotArea>
    </format>
    <format dxfId="48">
      <pivotArea dataOnly="0" labelOnly="1" fieldPosition="0">
        <references count="1">
          <reference field="1" count="1">
            <x v="507"/>
          </reference>
        </references>
      </pivotArea>
    </format>
    <format dxfId="47">
      <pivotArea dataOnly="0" labelOnly="1" fieldPosition="0">
        <references count="1">
          <reference field="1" count="1">
            <x v="507"/>
          </reference>
        </references>
      </pivotArea>
    </format>
    <format dxfId="46">
      <pivotArea dataOnly="0" labelOnly="1" fieldPosition="0">
        <references count="1">
          <reference field="1" count="1">
            <x v="342"/>
          </reference>
        </references>
      </pivotArea>
    </format>
    <format dxfId="45">
      <pivotArea dataOnly="0" labelOnly="1" fieldPosition="0">
        <references count="1">
          <reference field="1" count="1">
            <x v="501"/>
          </reference>
        </references>
      </pivotArea>
    </format>
    <format dxfId="44">
      <pivotArea dataOnly="0" labelOnly="1" fieldPosition="0">
        <references count="1">
          <reference field="1" count="1">
            <x v="351"/>
          </reference>
        </references>
      </pivotArea>
    </format>
    <format dxfId="43">
      <pivotArea dataOnly="0" labelOnly="1" fieldPosition="0">
        <references count="1">
          <reference field="1" count="1">
            <x v="156"/>
          </reference>
        </references>
      </pivotArea>
    </format>
    <format dxfId="42">
      <pivotArea dataOnly="0" labelOnly="1" fieldPosition="0">
        <references count="1">
          <reference field="1" count="1">
            <x v="358"/>
          </reference>
        </references>
      </pivotArea>
    </format>
    <format dxfId="41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0">
      <pivotArea dataOnly="0" labelOnly="1" fieldPosition="0">
        <references count="1">
          <reference field="1" count="1">
            <x v="438"/>
          </reference>
        </references>
      </pivotArea>
    </format>
    <format dxfId="39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38">
      <pivotArea dataOnly="0" labelOnly="1" fieldPosition="0">
        <references count="1">
          <reference field="1" count="1">
            <x v="309"/>
          </reference>
        </references>
      </pivotArea>
    </format>
    <format dxfId="37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36">
      <pivotArea dataOnly="0" labelOnly="1" fieldPosition="0">
        <references count="1">
          <reference field="1" count="1">
            <x v="374"/>
          </reference>
        </references>
      </pivotArea>
    </format>
    <format dxfId="35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34">
      <pivotArea dataOnly="0" labelOnly="1" fieldPosition="0">
        <references count="1">
          <reference field="1" count="1">
            <x v="407"/>
          </reference>
        </references>
      </pivotArea>
    </format>
    <format dxfId="33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1"/>
    <tableColumn id="5" xr3:uid="{DF37AD45-FC5C-478A-989D-9143E744CEEA}" name="voornaam" dataDxfId="30">
      <calculatedColumnFormula>VLOOKUP(Tabel2[[#This Row],[nr]],'data hastus'!A:C,3,FALSE)</calculatedColumnFormula>
    </tableColumn>
    <tableColumn id="6" xr3:uid="{4098FAFB-9B09-4A81-8B22-18CC90B5F979}" name="achternaam" dataDxfId="2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25">
  <autoFilter ref="A1:AA865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2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3"/>
    <tableColumn id="11" xr3:uid="{97ECF1D5-48DC-4487-B3C2-17232CC8E19E}" name="Januari" dataDxfId="22"/>
    <tableColumn id="12" xr3:uid="{7B2FF520-A575-45C0-BB5A-19B87DDB4EA0}" name="Februari" dataDxfId="21"/>
    <tableColumn id="13" xr3:uid="{4E6C30D1-FB72-4AB2-900F-14A3D53F34DE}" name="Maart" dataDxfId="2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9">
      <calculatedColumnFormula>SUM(bron[[#This Row],[Januari]:[December]])</calculatedColumnFormula>
    </tableColumn>
    <tableColumn id="10" xr3:uid="{8D9646BD-38B6-4F4D-9859-B3933369346B}" name="Datum" dataDxfId="1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table" Target="../tables/table3.xm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2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481" activePane="bottomLeft" state="frozen"/>
      <selection activeCell="F1" sqref="F1"/>
      <selection pane="bottomLeft" activeCell="A862" sqref="A862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 t="s">
        <v>3592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 t="s">
        <v>3592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 t="s">
        <v>3592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 t="s">
        <v>3592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 t="s">
        <v>3592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 t="s">
        <v>3592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 t="s">
        <v>3592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 t="s">
        <v>3592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 t="s">
        <v>3592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 t="s">
        <v>3592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 t="s">
        <v>3592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 t="s">
        <v>3592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 t="s">
        <v>3592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 t="s">
        <v>3592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 t="s">
        <v>3592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 t="s">
        <v>3592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 t="s">
        <v>3592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 t="s">
        <v>3592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 t="s">
        <v>3592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 t="s">
        <v>3592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 t="s">
        <v>3592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 t="s">
        <v>3592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 t="s">
        <v>3592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  <c r="AA858" s="39" t="s">
        <v>3592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3596</v>
      </c>
      <c r="V859" s="24">
        <v>1</v>
      </c>
      <c r="W859" s="24"/>
      <c r="X859" t="s">
        <v>3546</v>
      </c>
      <c r="Y859" t="s">
        <v>48</v>
      </c>
      <c r="Z859">
        <v>5265</v>
      </c>
      <c r="AA859" s="39" t="s">
        <v>3592</v>
      </c>
    </row>
    <row r="860" spans="1:27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3597</v>
      </c>
      <c r="V860" s="24"/>
      <c r="W860" s="24"/>
      <c r="X860" t="s">
        <v>3545</v>
      </c>
      <c r="Y860" t="s">
        <v>3598</v>
      </c>
      <c r="Z860">
        <v>5913</v>
      </c>
      <c r="AA860" s="39" t="s">
        <v>3592</v>
      </c>
    </row>
    <row r="861" spans="1:27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41">
        <f>SUM(bron[[#This Row],[Januari]:[December]])</f>
        <v>0</v>
      </c>
      <c r="T861" s="9">
        <v>45912</v>
      </c>
      <c r="U861" s="5" t="s">
        <v>3601</v>
      </c>
      <c r="V861" s="24">
        <v>1</v>
      </c>
      <c r="W861" s="24"/>
      <c r="X861" t="s">
        <v>3546</v>
      </c>
      <c r="Y861" t="s">
        <v>100</v>
      </c>
      <c r="Z861">
        <v>2193</v>
      </c>
      <c r="AA861" s="39" t="s">
        <v>3592</v>
      </c>
    </row>
    <row r="862" spans="1:27" x14ac:dyDescent="0.25">
      <c r="B862" t="e">
        <f>_xlfn.CONCAT(bron[[#This Row],[personeelsnr]]," ",bron[[#This Row],[achternaam]]," ",bron[[#This Row],[voornaam]])</f>
        <v>#N/A</v>
      </c>
      <c r="C862" t="e">
        <f>VLOOKUP(bron[[#This Row],[personeelsnr]],'data hastus'!$A:$C,2,0)</f>
        <v>#N/A</v>
      </c>
      <c r="D862" t="e">
        <f>VLOOKUP(bron[[#This Row],[personeelsnr]],'data hastus'!$A:$C,3,0)</f>
        <v>#N/A</v>
      </c>
      <c r="E862" t="e">
        <f>VLOOKUP(bron[[#This Row],[personeelsnr]],'data hastus'!A:K,11,FALSE)</f>
        <v>#N/A</v>
      </c>
      <c r="F862" s="10"/>
      <c r="G862" s="7"/>
      <c r="H862" s="7"/>
      <c r="I862" s="7"/>
      <c r="S862" s="41">
        <f>SUM(bron[[#This Row],[Januari]:[December]])</f>
        <v>0</v>
      </c>
      <c r="V862" s="24"/>
      <c r="W862" s="24"/>
    </row>
    <row r="863" spans="1:27" x14ac:dyDescent="0.25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41">
        <f>SUM(bron[[#This Row],[Januari]:[December]])</f>
        <v>0</v>
      </c>
      <c r="V863" s="24"/>
      <c r="W863" s="24"/>
    </row>
    <row r="864" spans="1:27" x14ac:dyDescent="0.25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41">
        <f>SUM(bron[[#This Row],[Januari]:[December]])</f>
        <v>0</v>
      </c>
      <c r="V864" s="24"/>
      <c r="W864" s="24"/>
    </row>
    <row r="865" spans="2:23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41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28" priority="5" operator="equal">
      <formula>0</formula>
    </cfRule>
    <cfRule type="cellIs" dxfId="27" priority="7" operator="between">
      <formula>1</formula>
      <formula>4</formula>
    </cfRule>
    <cfRule type="cellIs" dxfId="26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9"/>
  <sheetViews>
    <sheetView topLeftCell="A2" workbookViewId="0">
      <selection activeCell="L34" sqref="L34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  <row r="38" spans="1:3" x14ac:dyDescent="0.25">
      <c r="A38">
        <v>90649</v>
      </c>
      <c r="B38" t="s">
        <v>2621</v>
      </c>
      <c r="C38" s="8" t="s">
        <v>3599</v>
      </c>
    </row>
    <row r="39" spans="1:3" x14ac:dyDescent="0.25">
      <c r="A39">
        <v>23079</v>
      </c>
      <c r="B39" t="s">
        <v>3576</v>
      </c>
      <c r="C39" s="8" t="s">
        <v>3600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</hyperlinks>
  <pageMargins left="0.7" right="0.7" top="0.75" bottom="0.75" header="0.3" footer="0.3"/>
  <tableParts count="1">
    <tablePart r:id="rId3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17" priority="1" operator="equal">
      <formula>0</formula>
    </cfRule>
    <cfRule type="cellIs" dxfId="16" priority="2" operator="between">
      <formula>1</formula>
      <formula>4</formula>
    </cfRule>
    <cfRule type="cellIs" dxfId="1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2025-09-18T06:59:53Z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