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52" documentId="13_ncr:1_{BC833B0D-2F54-40DF-A6AF-902741D0EBA0}" xr6:coauthVersionLast="47" xr6:coauthVersionMax="47" xr10:uidLastSave="{B1715FB5-FEF2-4B5E-9D16-12D3AB46792D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65" i="1" l="1"/>
  <c r="B865" i="1" s="1"/>
  <c r="D865" i="1"/>
  <c r="E865" i="1"/>
  <c r="S865" i="1"/>
  <c r="C864" i="1"/>
  <c r="B864" i="1" s="1"/>
  <c r="D864" i="1"/>
  <c r="E864" i="1"/>
  <c r="S864" i="1"/>
  <c r="C863" i="1"/>
  <c r="B863" i="1" s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62" i="1" l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<sst xmlns="http://schemas.openxmlformats.org/spreadsheetml/2006/main" count="7860" uniqueCount="3626">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</sst>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65" totalsRowShown="0" headerRowDxfId="10">
  <autoFilter ref="A1:AA865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65"/>
  <sheetViews>
    <sheetView tabSelected="1" zoomScale="85" zoomScaleNormal="85" workbookViewId="0">
      <pane ySplit="1" topLeftCell="A514" activePane="bottomLeft" state="frozen"/>
      <selection activeCell="F1" sqref="F1"/>
      <selection pane="bottomLeft" activeCell="X866" sqref="X866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3513</v>
      </c>
      <c r="Y514" t="s">
        <v>1334</v>
      </c>
      <c r="Z514">
        <v>2193</v>
      </c>
      <c r="AA514" s="39" t="s">
        <v>3562</v>
      </c>
    </row>
    <row r="515" spans="1:27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3513</v>
      </c>
      <c r="Y541" t="s">
        <v>427</v>
      </c>
      <c r="Z541">
        <v>2209</v>
      </c>
      <c r="AA541" s="39" t="s">
        <v>3562</v>
      </c>
    </row>
    <row r="542" spans="1:27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3513</v>
      </c>
      <c r="Y542" t="s">
        <v>48</v>
      </c>
      <c r="Z542">
        <v>5046</v>
      </c>
      <c r="AA542" s="39" t="s">
        <v>3562</v>
      </c>
    </row>
    <row r="543" spans="1:27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x14ac:dyDescent="0.25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e">
        <f>VLOOKUP(bron[[#This Row],[personeelsnr]],'data hastus'!A:K,11,FALSE)</f>
        <v>#N/A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3513</v>
      </c>
      <c r="Y566" t="s">
        <v>1325</v>
      </c>
      <c r="Z566">
        <v>5040</v>
      </c>
      <c r="AA566" s="39" t="s">
        <v>3562</v>
      </c>
    </row>
    <row r="567" spans="1:27" x14ac:dyDescent="0.25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e">
        <f>VLOOKUP(bron[[#This Row],[personeelsnr]],'data hastus'!A:K,11,FALSE)</f>
        <v>#N/A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3513</v>
      </c>
      <c r="Y568" t="s">
        <v>113</v>
      </c>
      <c r="Z568">
        <v>5263</v>
      </c>
      <c r="AA568" s="39" t="s">
        <v>3562</v>
      </c>
    </row>
    <row r="569" spans="1:27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3513</v>
      </c>
      <c r="Y573" t="s">
        <v>5</v>
      </c>
      <c r="Z573">
        <v>5235</v>
      </c>
      <c r="AA573" s="39" t="s">
        <v>3562</v>
      </c>
    </row>
    <row r="574" spans="1:27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3514</v>
      </c>
      <c r="Y590" t="s">
        <v>131</v>
      </c>
      <c r="Z590">
        <v>5935</v>
      </c>
      <c r="AA590" s="39" t="s">
        <v>3562</v>
      </c>
    </row>
    <row r="591" spans="1:27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3514</v>
      </c>
      <c r="Y597" t="s">
        <v>1307</v>
      </c>
      <c r="Z597">
        <v>5912</v>
      </c>
      <c r="AA597" s="39" t="s">
        <v>3562</v>
      </c>
    </row>
    <row r="598" spans="1:27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3513</v>
      </c>
      <c r="Y612" t="s">
        <v>1314</v>
      </c>
      <c r="Z612">
        <v>2197</v>
      </c>
      <c r="AA612" s="39" t="s">
        <v>3562</v>
      </c>
    </row>
    <row r="613" spans="1:27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3514</v>
      </c>
      <c r="Y644" t="s">
        <v>219</v>
      </c>
      <c r="Z644">
        <v>5912</v>
      </c>
      <c r="AA644" s="39" t="s">
        <v>3562</v>
      </c>
    </row>
    <row r="645" spans="1:27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3513</v>
      </c>
      <c r="Y651" t="s">
        <v>51</v>
      </c>
      <c r="Z651">
        <v>5042</v>
      </c>
      <c r="AA651" s="39" t="s">
        <v>3562</v>
      </c>
    </row>
    <row r="652" spans="1:27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x14ac:dyDescent="0.25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e">
        <f>VLOOKUP(bron[[#This Row],[personeelsnr]],'data hastus'!A:K,11,FALSE)</f>
        <v>#N/A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x14ac:dyDescent="0.25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e">
        <f>VLOOKUP(bron[[#This Row],[personeelsnr]],'data hastus'!A:K,11,FALSE)</f>
        <v>#N/A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x14ac:dyDescent="0.25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e">
        <f>VLOOKUP(bron[[#This Row],[personeelsnr]],'data hastus'!A:K,11,FALSE)</f>
        <v>#N/A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>
        <v>0</v>
      </c>
      <c r="AA675" s="39" t="s">
        <v>3561</v>
      </c>
    </row>
    <row r="676" spans="1:27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3515</v>
      </c>
      <c r="Y687" t="s">
        <v>1293</v>
      </c>
      <c r="Z687">
        <v>2200</v>
      </c>
      <c r="AA687" s="39" t="s">
        <v>3562</v>
      </c>
    </row>
    <row r="688" spans="1:27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3515</v>
      </c>
      <c r="Y689" t="s">
        <v>106</v>
      </c>
      <c r="Z689">
        <v>2208</v>
      </c>
      <c r="AA689" s="39" t="s">
        <v>3562</v>
      </c>
    </row>
    <row r="690" spans="1:27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3513</v>
      </c>
      <c r="Y692" t="s">
        <v>34</v>
      </c>
      <c r="Z692">
        <v>5044</v>
      </c>
      <c r="AA692" s="39" t="s">
        <v>3562</v>
      </c>
    </row>
    <row r="693" spans="1:27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>
        <v>0</v>
      </c>
      <c r="AA701" s="39" t="s">
        <v>3561</v>
      </c>
    </row>
    <row r="702" spans="1:27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3514</v>
      </c>
      <c r="Y724" t="s">
        <v>489</v>
      </c>
      <c r="Z724">
        <v>4667</v>
      </c>
      <c r="AA724" s="39" t="s">
        <v>3562</v>
      </c>
    </row>
    <row r="725" spans="1:27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3515</v>
      </c>
      <c r="Y728" t="s">
        <v>227</v>
      </c>
      <c r="Z728">
        <v>2190</v>
      </c>
      <c r="AA728" s="39" t="s">
        <v>3562</v>
      </c>
    </row>
    <row r="729" spans="1:27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3515</v>
      </c>
      <c r="Y731" t="s">
        <v>1320</v>
      </c>
      <c r="Z731">
        <v>2197</v>
      </c>
      <c r="AA731" s="39" t="s">
        <v>3562</v>
      </c>
    </row>
    <row r="732" spans="1:27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>
        <v>0</v>
      </c>
      <c r="AA732" s="39" t="s">
        <v>3561</v>
      </c>
    </row>
    <row r="733" spans="1:27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3515</v>
      </c>
      <c r="Y734" t="s">
        <v>72</v>
      </c>
      <c r="Z734">
        <v>5054</v>
      </c>
      <c r="AA734" s="39" t="s">
        <v>3562</v>
      </c>
    </row>
    <row r="735" spans="1:27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3515</v>
      </c>
      <c r="Y737" t="s">
        <v>113</v>
      </c>
      <c r="Z737">
        <v>5043</v>
      </c>
      <c r="AA737" s="39" t="s">
        <v>3562</v>
      </c>
    </row>
    <row r="738" spans="1:27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3513</v>
      </c>
      <c r="Y746" t="s">
        <v>119</v>
      </c>
      <c r="Z746">
        <v>5047</v>
      </c>
      <c r="AA746" s="39" t="s">
        <v>3562</v>
      </c>
    </row>
    <row r="747" spans="1:27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>
        <v>0</v>
      </c>
      <c r="AA761" s="39" t="s">
        <v>3561</v>
      </c>
    </row>
    <row r="762" spans="1:27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3515</v>
      </c>
      <c r="Y765" t="s">
        <v>537</v>
      </c>
      <c r="Z765">
        <v>5239</v>
      </c>
      <c r="AA765" s="39" t="s">
        <v>3562</v>
      </c>
    </row>
    <row r="766" spans="1:27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3515</v>
      </c>
      <c r="Y787" t="s">
        <v>100</v>
      </c>
      <c r="Z787">
        <v>5263</v>
      </c>
      <c r="AA787" s="39" t="s">
        <v>3562</v>
      </c>
    </row>
    <row r="788" spans="1:27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3514</v>
      </c>
      <c r="Y827" t="s">
        <v>10</v>
      </c>
      <c r="Z827">
        <v>5927</v>
      </c>
      <c r="AA827" s="39" t="s">
        <v>3562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3514</v>
      </c>
      <c r="Y831" t="s">
        <v>108</v>
      </c>
      <c r="Z831">
        <v>5767</v>
      </c>
      <c r="AA831" s="39" t="s">
        <v>3562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x14ac:dyDescent="0.25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3564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x14ac:dyDescent="0.25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3565</v>
      </c>
      <c r="V860" s="24"/>
      <c r="W860" s="24"/>
      <c r="X860" t="s">
        <v>3514</v>
      </c>
      <c r="Y860" t="s">
        <v>3566</v>
      </c>
      <c r="Z860">
        <v>5913</v>
      </c>
      <c r="AA860" s="39" t="s">
        <v>3561</v>
      </c>
    </row>
    <row r="861" spans="1:27" x14ac:dyDescent="0.25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3569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x14ac:dyDescent="0.25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3623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x14ac:dyDescent="0.25">
      <c r="B863" t="e">
        <f>_xlfn.CONCAT(bron[[#This Row],[personeelsnr]]," ",bron[[#This Row],[achternaam]]," ",bron[[#This Row],[voornaam]])</f>
        <v>#N/A</v>
      </c>
      <c r="C863" t="e">
        <f>VLOOKUP(bron[[#This Row],[personeelsnr]],'data hastus'!$A:$C,2,0)</f>
        <v>#N/A</v>
      </c>
      <c r="D863" t="e">
        <f>VLOOKUP(bron[[#This Row],[personeelsnr]],'data hastus'!$A:$C,3,0)</f>
        <v>#N/A</v>
      </c>
      <c r="E863" t="e">
        <f>VLOOKUP(bron[[#This Row],[personeelsnr]],'data hastus'!A:K,11,FALSE)</f>
        <v>#N/A</v>
      </c>
      <c r="F863" s="10"/>
      <c r="G863" s="7"/>
      <c r="H863" s="7"/>
      <c r="I863" s="7"/>
      <c r="S863" s="5">
        <f>SUM(bron[[#This Row],[Januari]:[December]])</f>
        <v>0</v>
      </c>
      <c r="V863" s="24"/>
      <c r="W863" s="24"/>
    </row>
    <row r="864" spans="1:27" x14ac:dyDescent="0.25">
      <c r="B864" t="e">
        <f>_xlfn.CONCAT(bron[[#This Row],[personeelsnr]]," ",bron[[#This Row],[achternaam]]," ",bron[[#This Row],[voornaam]])</f>
        <v>#N/A</v>
      </c>
      <c r="C864" t="e">
        <f>VLOOKUP(bron[[#This Row],[personeelsnr]],'data hastus'!$A:$C,2,0)</f>
        <v>#N/A</v>
      </c>
      <c r="D864" t="e">
        <f>VLOOKUP(bron[[#This Row],[personeelsnr]],'data hastus'!$A:$C,3,0)</f>
        <v>#N/A</v>
      </c>
      <c r="E864" t="e">
        <f>VLOOKUP(bron[[#This Row],[personeelsnr]],'data hastus'!A:K,11,FALSE)</f>
        <v>#N/A</v>
      </c>
      <c r="F864" s="10"/>
      <c r="G864" s="7"/>
      <c r="H864" s="7"/>
      <c r="I864" s="7"/>
      <c r="S864" s="5">
        <f>SUM(bron[[#This Row],[Januari]:[December]])</f>
        <v>0</v>
      </c>
      <c r="V864" s="24"/>
      <c r="W864" s="24"/>
    </row>
    <row r="865" spans="2:23" x14ac:dyDescent="0.25">
      <c r="B865" t="e">
        <f>_xlfn.CONCAT(bron[[#This Row],[personeelsnr]]," ",bron[[#This Row],[achternaam]]," ",bron[[#This Row],[voornaam]])</f>
        <v>#N/A</v>
      </c>
      <c r="C865" t="e">
        <f>VLOOKUP(bron[[#This Row],[personeelsnr]],'data hastus'!$A:$C,2,0)</f>
        <v>#N/A</v>
      </c>
      <c r="D865" t="e">
        <f>VLOOKUP(bron[[#This Row],[personeelsnr]],'data hastus'!$A:$C,3,0)</f>
        <v>#N/A</v>
      </c>
      <c r="E865" t="e">
        <f>VLOOKUP(bron[[#This Row],[personeelsnr]],'data hastus'!A:K,11,FALSE)</f>
        <v>#N/A</v>
      </c>
      <c r="F865" s="10"/>
      <c r="G865" s="7"/>
      <c r="H865" s="7"/>
      <c r="I865" s="7"/>
      <c r="S865" s="5">
        <f>SUM(bron[[#This Row],[Januari]:[December]])</f>
        <v>0</v>
      </c>
      <c r="V865" s="24"/>
      <c r="W865" s="24"/>
    </row>
  </sheetData>
  <sheetProtection sort="0" autoFilter="0"/>
  <phoneticPr fontId="1" type="noConversion"/>
  <conditionalFormatting sqref="F2:F865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3567</v>
      </c>
    </row>
    <row r="39" spans="1:3" x14ac:dyDescent="0.25">
      <c r="A39">
        <v>23079</v>
      </c>
      <c r="B39" t="s">
        <v>3545</v>
      </c>
      <c r="C39" s="8" t="s">
        <v>3568</v>
      </c>
    </row>
    <row r="40" spans="1:3" x14ac:dyDescent="0.25">
      <c r="A40">
        <v>40152</v>
      </c>
      <c r="B40" t="s">
        <v>3624</v>
      </c>
      <c r="C40" s="8" t="s">
        <v>3625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2025-09-19T10:57:53Z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