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25" documentId="13_ncr:1_{10FCACA5-8197-478D-90D3-5F83063FB753}" xr6:coauthVersionLast="47" xr6:coauthVersionMax="47" xr10:uidLastSave="{ECC1B870-DF36-4993-AB1D-99AAFEB9E819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<sst xmlns="http://schemas.openxmlformats.org/spreadsheetml/2006/main" count="8896" uniqueCount="3809">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</sst>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33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33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10</v>
          </cell>
          <cell r="B9" t="str">
            <v>Kenneth De Rick</v>
          </cell>
          <cell r="D9">
            <v>26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33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33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26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78</v>
      </c>
      <c r="J50" s="14" t="s">
        <v>109</v>
      </c>
      <c r="K50" s="14"/>
      <c r="L50" s="25"/>
      <c r="M50" s="14">
        <f>SUM(M42:M49)</f>
        <v>234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U963" sqref="U963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V963" s="37"/>
      <c r="W963" s="37"/>
    </row>
    <row r="964" spans="1:27" x14ac:dyDescent="0.25">
      <c r="B964" t="e">
        <f>_xlfn.CONCAT(bron[[#This Row],[personeelsnr]]," ",bron[[#This Row],[achternaam]]," ",bron[[#This Row],[voornaam]])</f>
        <v>#N/A</v>
      </c>
      <c r="C964" t="e">
        <f>VLOOKUP(bron[[#This Row],[personeelsnr]],'data hastus'!$A:$C,2,0)</f>
        <v>#N/A</v>
      </c>
      <c r="D964" t="e">
        <f>VLOOKUP(bron[[#This Row],[personeelsnr]],'data hastus'!$A:$C,3,0)</f>
        <v>#N/A</v>
      </c>
      <c r="E964" s="2" t="e">
        <f>VLOOKUP(bron[[#This Row],[personeelsnr]],'data hastus'!A:K,11,FALSE)</f>
        <v>#N/A</v>
      </c>
      <c r="F964" s="10"/>
      <c r="G964" s="39"/>
      <c r="H964" s="39"/>
      <c r="I964" s="39"/>
      <c r="S964" s="44">
        <f>SUM(bron[[#This Row],[Januari]:[December]])</f>
        <v>0</v>
      </c>
      <c r="V964" s="37"/>
      <c r="W964" s="37"/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2025-11-19T11:12:06Z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