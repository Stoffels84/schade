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799" documentId="13_ncr:1_{BC833B0D-2F54-40DF-A6AF-902741D0EBA0}" xr6:coauthVersionLast="47" xr6:coauthVersionMax="47" xr10:uidLastSave="{0994B208-CCD6-446E-9991-623BEAD722B4}"/>
  <bookViews>
    <workbookView xWindow="28680" yWindow="-1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9" i="1" l="1"/>
  <c r="D859" i="1"/>
  <c r="E859" i="1"/>
  <c r="S859" i="1"/>
  <c r="C824" i="1" l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<sst xmlns="http://schemas.openxmlformats.org/spreadsheetml/2006/main" count="7772" uniqueCount="3596">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</sst>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59" totalsRowShown="0" headerRowDxfId="10">
  <autoFilter ref="A1:AA859" xr:uid="{2FDE3AF6-1CE1-4F38-BD72-1F03CD30F4FC}">
    <filterColumn colId="19">
      <filters blank="1">
        <dateGroupItem year="2025" dateTimeGrouping="year"/>
      </filters>
    </filterColumn>
    <filterColumn colId="25">
      <filters blank="1"/>
    </filterColumn>
  </autoFilter>
  <sortState xmlns:xlrd2="http://schemas.microsoft.com/office/spreadsheetml/2017/richdata2" ref="A514:Z858">
    <sortCondition ref="A1:A85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9"/>
  <sheetViews>
    <sheetView tabSelected="1" zoomScale="85" zoomScaleNormal="85" workbookViewId="0">
      <pane ySplit="1" topLeftCell="A789" activePane="bottomLeft" state="frozen"/>
      <selection activeCell="F1" sqref="F1"/>
      <selection pane="bottomLeft" activeCell="U803" sqref="U803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39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3587</v>
      </c>
      <c r="AA1" s="39" t="s">
        <v>3591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5" customFormat="1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customFormat="1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customFormat="1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customFormat="1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customFormat="1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customFormat="1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customFormat="1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customFormat="1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customFormat="1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customFormat="1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customFormat="1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customFormat="1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customFormat="1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customFormat="1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customFormat="1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customFormat="1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customFormat="1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customFormat="1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customFormat="1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customFormat="1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customFormat="1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customFormat="1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customFormat="1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customFormat="1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customFormat="1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customFormat="1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customFormat="1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customFormat="1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customFormat="1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customFormat="1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customFormat="1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customFormat="1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customFormat="1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customFormat="1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customFormat="1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customFormat="1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customFormat="1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customFormat="1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customFormat="1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customFormat="1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customFormat="1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customFormat="1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customFormat="1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customFormat="1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customFormat="1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customFormat="1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customFormat="1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customFormat="1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customFormat="1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customFormat="1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customFormat="1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customFormat="1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customFormat="1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customFormat="1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customFormat="1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customFormat="1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customFormat="1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customFormat="1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customFormat="1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customFormat="1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customFormat="1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customFormat="1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customFormat="1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customFormat="1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customFormat="1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customFormat="1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customFormat="1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customFormat="1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customFormat="1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customFormat="1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customFormat="1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customFormat="1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customFormat="1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customFormat="1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customFormat="1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customFormat="1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customFormat="1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customFormat="1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customFormat="1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customFormat="1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customFormat="1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customFormat="1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customFormat="1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customFormat="1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customFormat="1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customFormat="1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customFormat="1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customFormat="1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customFormat="1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customFormat="1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customFormat="1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customFormat="1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customFormat="1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customFormat="1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customFormat="1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customFormat="1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customFormat="1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customFormat="1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customFormat="1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customFormat="1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customFormat="1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customFormat="1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customFormat="1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customFormat="1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customFormat="1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customFormat="1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customFormat="1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customFormat="1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customFormat="1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customFormat="1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customFormat="1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customFormat="1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customFormat="1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customFormat="1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customFormat="1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customFormat="1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customFormat="1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customFormat="1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customFormat="1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customFormat="1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customFormat="1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customFormat="1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customFormat="1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customFormat="1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customFormat="1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customFormat="1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customFormat="1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customFormat="1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customFormat="1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customFormat="1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customFormat="1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customFormat="1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customFormat="1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customFormat="1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customFormat="1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customFormat="1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customFormat="1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customFormat="1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customFormat="1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customFormat="1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customFormat="1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customFormat="1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customFormat="1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customFormat="1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customFormat="1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customFormat="1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customFormat="1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customFormat="1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customFormat="1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customFormat="1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customFormat="1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customFormat="1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customFormat="1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customFormat="1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customFormat="1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customFormat="1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customFormat="1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customFormat="1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customFormat="1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customFormat="1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customFormat="1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customFormat="1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customFormat="1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customFormat="1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customFormat="1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customFormat="1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customFormat="1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customFormat="1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customFormat="1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customFormat="1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customFormat="1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customFormat="1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customFormat="1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customFormat="1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customFormat="1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customFormat="1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customFormat="1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customFormat="1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customFormat="1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customFormat="1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customFormat="1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customFormat="1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customFormat="1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customFormat="1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customFormat="1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customFormat="1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customFormat="1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customFormat="1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customFormat="1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customFormat="1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customFormat="1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customFormat="1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customFormat="1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customFormat="1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customFormat="1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customFormat="1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customFormat="1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customFormat="1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customFormat="1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customFormat="1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customFormat="1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customFormat="1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customFormat="1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customFormat="1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customFormat="1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customFormat="1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customFormat="1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customFormat="1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customFormat="1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customFormat="1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customFormat="1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customFormat="1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customFormat="1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customFormat="1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customFormat="1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customFormat="1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customFormat="1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customFormat="1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customFormat="1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customFormat="1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customFormat="1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customFormat="1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customFormat="1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customFormat="1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customFormat="1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customFormat="1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customFormat="1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customFormat="1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customFormat="1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customFormat="1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customFormat="1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customFormat="1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customFormat="1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customFormat="1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customFormat="1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customFormat="1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customFormat="1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customFormat="1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customFormat="1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customFormat="1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customFormat="1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customFormat="1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customFormat="1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customFormat="1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customFormat="1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customFormat="1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customFormat="1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customFormat="1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customFormat="1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customFormat="1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customFormat="1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customFormat="1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customFormat="1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customFormat="1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customFormat="1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customFormat="1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customFormat="1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customFormat="1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customFormat="1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customFormat="1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customFormat="1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customFormat="1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customFormat="1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customFormat="1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customFormat="1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customFormat="1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customFormat="1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customFormat="1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customFormat="1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customFormat="1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customFormat="1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customFormat="1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customFormat="1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customFormat="1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customFormat="1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customFormat="1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customFormat="1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customFormat="1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customFormat="1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customFormat="1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customFormat="1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customFormat="1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customFormat="1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customFormat="1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customFormat="1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customFormat="1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customFormat="1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customFormat="1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customFormat="1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customFormat="1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customFormat="1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customFormat="1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customFormat="1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customFormat="1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customFormat="1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customFormat="1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customFormat="1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customFormat="1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customFormat="1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customFormat="1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customFormat="1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customFormat="1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customFormat="1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customFormat="1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customFormat="1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customFormat="1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customFormat="1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customFormat="1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customFormat="1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customFormat="1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customFormat="1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customFormat="1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customFormat="1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customFormat="1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customFormat="1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customFormat="1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customFormat="1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customFormat="1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customFormat="1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customFormat="1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customFormat="1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customFormat="1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customFormat="1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customFormat="1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customFormat="1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customFormat="1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customFormat="1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customFormat="1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customFormat="1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customFormat="1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customFormat="1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customFormat="1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customFormat="1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customFormat="1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customFormat="1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customFormat="1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customFormat="1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customFormat="1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customFormat="1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customFormat="1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customFormat="1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customFormat="1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customFormat="1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customFormat="1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customFormat="1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customFormat="1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customFormat="1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customFormat="1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customFormat="1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customFormat="1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customFormat="1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customFormat="1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customFormat="1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customFormat="1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customFormat="1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customFormat="1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customFormat="1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customFormat="1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customFormat="1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customFormat="1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customFormat="1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customFormat="1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customFormat="1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customFormat="1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customFormat="1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customFormat="1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customFormat="1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customFormat="1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customFormat="1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customFormat="1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customFormat="1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customFormat="1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customFormat="1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customFormat="1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customFormat="1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customFormat="1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customFormat="1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customFormat="1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customFormat="1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customFormat="1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customFormat="1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customFormat="1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customFormat="1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customFormat="1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customFormat="1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customFormat="1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customFormat="1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customFormat="1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customFormat="1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customFormat="1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customFormat="1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customFormat="1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customFormat="1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customFormat="1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customFormat="1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customFormat="1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customFormat="1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customFormat="1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customFormat="1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customFormat="1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customFormat="1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customFormat="1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customFormat="1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customFormat="1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customFormat="1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customFormat="1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customFormat="1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customFormat="1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customFormat="1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customFormat="1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customFormat="1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customFormat="1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customFormat="1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customFormat="1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customFormat="1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customFormat="1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customFormat="1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customFormat="1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customFormat="1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customFormat="1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customFormat="1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customFormat="1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customFormat="1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customFormat="1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customFormat="1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customFormat="1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customFormat="1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customFormat="1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customFormat="1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customFormat="1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customFormat="1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customFormat="1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customFormat="1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customFormat="1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customFormat="1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customFormat="1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customFormat="1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customFormat="1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customFormat="1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customFormat="1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customFormat="1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customFormat="1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customFormat="1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customFormat="1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customFormat="1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customFormat="1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customFormat="1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customFormat="1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customFormat="1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customFormat="1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customFormat="1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customFormat="1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customFormat="1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customFormat="1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customFormat="1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customFormat="1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customFormat="1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customFormat="1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customFormat="1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customFormat="1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customFormat="1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customFormat="1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customFormat="1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customFormat="1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J480" s="5"/>
      <c r="K480" s="5"/>
      <c r="L480" s="5"/>
      <c r="M480" s="5"/>
      <c r="N480" s="5"/>
      <c r="O480" s="5"/>
      <c r="P480" s="5"/>
      <c r="Q480" s="5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customFormat="1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customFormat="1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customFormat="1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customFormat="1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customFormat="1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customFormat="1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customFormat="1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customFormat="1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customFormat="1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customFormat="1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customFormat="1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customFormat="1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customFormat="1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customFormat="1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customFormat="1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customFormat="1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customFormat="1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customFormat="1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customFormat="1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customFormat="1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customFormat="1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customFormat="1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customFormat="1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customFormat="1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customFormat="1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customFormat="1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customFormat="1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customFormat="1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customFormat="1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customFormat="1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customFormat="1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customFormat="1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7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39" t="s">
        <v>3593</v>
      </c>
    </row>
    <row r="515" spans="1:27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39" t="s">
        <v>3592</v>
      </c>
    </row>
    <row r="516" spans="1:27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39" t="s">
        <v>3592</v>
      </c>
    </row>
    <row r="517" spans="1:27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39" t="s">
        <v>3592</v>
      </c>
    </row>
    <row r="518" spans="1:27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/>
    </row>
    <row r="519" spans="1:27" hidden="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39" t="s">
        <v>3592</v>
      </c>
    </row>
    <row r="520" spans="1:27" hidden="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39" t="s">
        <v>3592</v>
      </c>
    </row>
    <row r="521" spans="1:27" hidden="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39" t="s">
        <v>3592</v>
      </c>
    </row>
    <row r="522" spans="1:27" hidden="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39" t="s">
        <v>3592</v>
      </c>
    </row>
    <row r="523" spans="1:27" hidden="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39" t="s">
        <v>3592</v>
      </c>
    </row>
    <row r="524" spans="1:27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/>
    </row>
    <row r="525" spans="1:27" hidden="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39" t="s">
        <v>3592</v>
      </c>
    </row>
    <row r="526" spans="1:27" hidden="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3592</v>
      </c>
    </row>
    <row r="527" spans="1:27" hidden="1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3593</v>
      </c>
    </row>
    <row r="528" spans="1:27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/>
    </row>
    <row r="529" spans="1:27" hidden="1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39" t="s">
        <v>3593</v>
      </c>
    </row>
    <row r="530" spans="1:27" hidden="1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3593</v>
      </c>
    </row>
    <row r="531" spans="1:27" hidden="1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39" t="s">
        <v>3592</v>
      </c>
    </row>
    <row r="532" spans="1:27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/>
    </row>
    <row r="533" spans="1:27" hidden="1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39" t="s">
        <v>3592</v>
      </c>
    </row>
    <row r="534" spans="1:27" hidden="1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39" t="s">
        <v>3592</v>
      </c>
    </row>
    <row r="535" spans="1:27" hidden="1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39" t="s">
        <v>3592</v>
      </c>
    </row>
    <row r="536" spans="1:27" hidden="1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39" t="s">
        <v>3592</v>
      </c>
    </row>
    <row r="537" spans="1:27" hidden="1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39" t="s">
        <v>3592</v>
      </c>
    </row>
    <row r="538" spans="1:27" hidden="1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/>
    </row>
    <row r="539" spans="1:27" hidden="1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39" t="s">
        <v>3592</v>
      </c>
    </row>
    <row r="540" spans="1:27" hidden="1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39" t="s">
        <v>3592</v>
      </c>
    </row>
    <row r="541" spans="1:27" hidden="1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>
        <v>45828</v>
      </c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39" t="s">
        <v>3593</v>
      </c>
    </row>
    <row r="542" spans="1:27" hidden="1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>
        <v>45837</v>
      </c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39" t="s">
        <v>3593</v>
      </c>
    </row>
    <row r="543" spans="1:27" hidden="1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39" t="s">
        <v>3592</v>
      </c>
    </row>
    <row r="544" spans="1:27" hidden="1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39" t="s">
        <v>3592</v>
      </c>
    </row>
    <row r="545" spans="1:27" hidden="1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39" t="s">
        <v>3592</v>
      </c>
    </row>
    <row r="546" spans="1:27" hidden="1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39" t="s">
        <v>3592</v>
      </c>
    </row>
    <row r="547" spans="1:27" hidden="1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39" t="s">
        <v>3592</v>
      </c>
    </row>
    <row r="548" spans="1:27" hidden="1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39" t="s">
        <v>3592</v>
      </c>
    </row>
    <row r="549" spans="1:27" hidden="1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39" t="s">
        <v>3592</v>
      </c>
    </row>
    <row r="550" spans="1:27" hidden="1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39" t="s">
        <v>3592</v>
      </c>
    </row>
    <row r="551" spans="1:27" hidden="1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39" t="s">
        <v>3592</v>
      </c>
    </row>
    <row r="552" spans="1:27" hidden="1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39" t="s">
        <v>3592</v>
      </c>
    </row>
    <row r="553" spans="1:27" hidden="1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3593</v>
      </c>
    </row>
    <row r="554" spans="1:27" hidden="1" x14ac:dyDescent="0.25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39" t="s">
        <v>3592</v>
      </c>
    </row>
    <row r="555" spans="1:27" hidden="1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3593</v>
      </c>
    </row>
    <row r="556" spans="1:27" hidden="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  <c r="Z556">
        <v>6337</v>
      </c>
      <c r="AA556" s="39" t="s">
        <v>3592</v>
      </c>
    </row>
    <row r="557" spans="1:27" hidden="1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  <c r="Z557">
        <v>2196</v>
      </c>
      <c r="AA557" s="39" t="s">
        <v>3592</v>
      </c>
    </row>
    <row r="558" spans="1:27" hidden="1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  <c r="Z558">
        <v>5231</v>
      </c>
      <c r="AA558" s="39" t="s">
        <v>3592</v>
      </c>
    </row>
    <row r="559" spans="1:27" hidden="1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  <c r="Z559">
        <v>5260</v>
      </c>
      <c r="AA559" s="39" t="s">
        <v>3592</v>
      </c>
    </row>
    <row r="560" spans="1:27" hidden="1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  <c r="Z560">
        <v>5767</v>
      </c>
      <c r="AA560" s="39" t="s">
        <v>3592</v>
      </c>
    </row>
    <row r="561" spans="1:27" hidden="1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3593</v>
      </c>
    </row>
    <row r="562" spans="1:27" hidden="1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  <c r="Z562">
        <v>5911</v>
      </c>
      <c r="AA562" s="39" t="s">
        <v>3592</v>
      </c>
    </row>
    <row r="563" spans="1:27" hidden="1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  <c r="Z563">
        <v>6368</v>
      </c>
      <c r="AA563" s="39" t="s">
        <v>3592</v>
      </c>
    </row>
    <row r="564" spans="1:27" hidden="1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3593</v>
      </c>
    </row>
    <row r="565" spans="1:27" hidden="1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  <c r="Z565">
        <v>6319</v>
      </c>
      <c r="AA565" s="39" t="s">
        <v>3592</v>
      </c>
    </row>
    <row r="566" spans="1:27" hidden="1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39" t="s">
        <v>3593</v>
      </c>
    </row>
    <row r="567" spans="1:27" hidden="1" x14ac:dyDescent="0.25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  <c r="Z567">
        <v>6305</v>
      </c>
      <c r="AA567" s="39" t="s">
        <v>3592</v>
      </c>
    </row>
    <row r="568" spans="1:27" hidden="1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39" t="s">
        <v>3593</v>
      </c>
    </row>
    <row r="569" spans="1:27" hidden="1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  <c r="Z569">
        <v>5266</v>
      </c>
      <c r="AA569" s="39" t="s">
        <v>3592</v>
      </c>
    </row>
    <row r="570" spans="1:27" hidden="1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  <c r="Z570">
        <v>6355</v>
      </c>
      <c r="AA570" s="39" t="s">
        <v>3592</v>
      </c>
    </row>
    <row r="571" spans="1:27" hidden="1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  <c r="Z571">
        <v>6355</v>
      </c>
      <c r="AA571" s="39" t="s">
        <v>3592</v>
      </c>
    </row>
    <row r="572" spans="1:27" hidden="1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  <c r="Z572">
        <v>2189</v>
      </c>
      <c r="AA572" s="39" t="s">
        <v>3592</v>
      </c>
    </row>
    <row r="573" spans="1:27" hidden="1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39" t="s">
        <v>3593</v>
      </c>
    </row>
    <row r="574" spans="1:27" hidden="1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  <c r="Z574">
        <v>5933</v>
      </c>
      <c r="AA574" s="39" t="s">
        <v>3592</v>
      </c>
    </row>
    <row r="575" spans="1:27" hidden="1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  <c r="Z575">
        <v>5931</v>
      </c>
      <c r="AA575" s="39" t="s">
        <v>3592</v>
      </c>
    </row>
    <row r="576" spans="1:27" hidden="1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  <c r="Z576">
        <v>6368</v>
      </c>
      <c r="AA576" s="39" t="s">
        <v>3592</v>
      </c>
    </row>
    <row r="577" spans="1:27" hidden="1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  <c r="Z577">
        <v>6319</v>
      </c>
      <c r="AA577" s="39" t="s">
        <v>3592</v>
      </c>
    </row>
    <row r="578" spans="1:27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  <c r="Z578">
        <v>6315</v>
      </c>
      <c r="AA578" s="39" t="s">
        <v>3592</v>
      </c>
    </row>
    <row r="579" spans="1:27" hidden="1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  <c r="Z579">
        <v>6303</v>
      </c>
      <c r="AA579" s="39" t="s">
        <v>3592</v>
      </c>
    </row>
    <row r="580" spans="1:27" hidden="1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  <c r="Z580">
        <v>5912</v>
      </c>
      <c r="AA580" s="39" t="s">
        <v>3592</v>
      </c>
    </row>
    <row r="581" spans="1:27" hidden="1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  <c r="Z581">
        <v>6308</v>
      </c>
      <c r="AA581" s="39" t="s">
        <v>3592</v>
      </c>
    </row>
    <row r="582" spans="1:27" hidden="1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  <c r="Z582">
        <v>4676</v>
      </c>
      <c r="AA582" s="39" t="s">
        <v>3592</v>
      </c>
    </row>
    <row r="583" spans="1:27" hidden="1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  <c r="Z583">
        <v>6329</v>
      </c>
      <c r="AA583" s="39" t="s">
        <v>3592</v>
      </c>
    </row>
    <row r="584" spans="1:27" hidden="1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3593</v>
      </c>
    </row>
    <row r="585" spans="1:27" hidden="1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  <c r="Z585">
        <v>6375</v>
      </c>
      <c r="AA585" s="39" t="s">
        <v>3592</v>
      </c>
    </row>
    <row r="586" spans="1:27" hidden="1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  <c r="Z586">
        <v>6364</v>
      </c>
      <c r="AA586" s="39" t="s">
        <v>3592</v>
      </c>
    </row>
    <row r="587" spans="1:27" hidden="1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  <c r="Z587">
        <v>5266</v>
      </c>
      <c r="AA587" s="39" t="s">
        <v>3592</v>
      </c>
    </row>
    <row r="588" spans="1:27" hidden="1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  <c r="Z588">
        <v>5489</v>
      </c>
      <c r="AA588" s="39" t="s">
        <v>3593</v>
      </c>
    </row>
    <row r="589" spans="1:27" hidden="1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  <c r="Z589">
        <v>6361</v>
      </c>
      <c r="AA589" s="39" t="s">
        <v>3592</v>
      </c>
    </row>
    <row r="590" spans="1:27" hidden="1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7</v>
      </c>
      <c r="Y590" t="s">
        <v>131</v>
      </c>
      <c r="Z590">
        <v>5935</v>
      </c>
      <c r="AA590" s="39" t="s">
        <v>3593</v>
      </c>
    </row>
    <row r="591" spans="1:27" hidden="1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  <c r="Z591">
        <v>5916</v>
      </c>
      <c r="AA591" s="39" t="s">
        <v>3592</v>
      </c>
    </row>
    <row r="592" spans="1:27" hidden="1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  <c r="Z592">
        <v>6311</v>
      </c>
      <c r="AA592" s="39" t="s">
        <v>3592</v>
      </c>
    </row>
    <row r="593" spans="1:27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3593</v>
      </c>
    </row>
    <row r="594" spans="1:27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  <c r="Z594">
        <v>5046</v>
      </c>
      <c r="AA594" s="39" t="s">
        <v>3592</v>
      </c>
    </row>
    <row r="595" spans="1:27" hidden="1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  <c r="Z595">
        <v>6369</v>
      </c>
      <c r="AA595" s="39" t="s">
        <v>3592</v>
      </c>
    </row>
    <row r="596" spans="1:27" hidden="1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  <c r="Z596">
        <v>5040</v>
      </c>
      <c r="AA596" s="39" t="s">
        <v>3592</v>
      </c>
    </row>
    <row r="597" spans="1:27" hidden="1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7</v>
      </c>
      <c r="Y597" t="s">
        <v>1307</v>
      </c>
      <c r="Z597">
        <v>5912</v>
      </c>
      <c r="AA597" s="39" t="s">
        <v>3593</v>
      </c>
    </row>
    <row r="598" spans="1:27" hidden="1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  <c r="Z598">
        <v>6313</v>
      </c>
      <c r="AA598" s="39" t="s">
        <v>3592</v>
      </c>
    </row>
    <row r="599" spans="1:27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3593</v>
      </c>
    </row>
    <row r="600" spans="1:27" hidden="1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  <c r="Z600">
        <v>5231</v>
      </c>
      <c r="AA600" s="39" t="s">
        <v>3592</v>
      </c>
    </row>
    <row r="601" spans="1:27" hidden="1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3593</v>
      </c>
    </row>
    <row r="602" spans="1:27" hidden="1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  <c r="Z602">
        <v>2206</v>
      </c>
      <c r="AA602" s="39" t="s">
        <v>3592</v>
      </c>
    </row>
    <row r="603" spans="1:27" hidden="1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  <c r="Z603">
        <v>2807</v>
      </c>
      <c r="AA603" s="39" t="s">
        <v>3592</v>
      </c>
    </row>
    <row r="604" spans="1:27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  <c r="Z604">
        <v>2205</v>
      </c>
      <c r="AA604" s="39" t="s">
        <v>3592</v>
      </c>
    </row>
    <row r="605" spans="1:27" hidden="1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  <c r="Z605">
        <v>6334</v>
      </c>
      <c r="AA605" s="39" t="s">
        <v>3592</v>
      </c>
    </row>
    <row r="606" spans="1:27" hidden="1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  <c r="Z606">
        <v>5922</v>
      </c>
      <c r="AA606" s="39" t="s">
        <v>3592</v>
      </c>
    </row>
    <row r="607" spans="1:27" hidden="1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  <c r="Z607">
        <v>5039</v>
      </c>
      <c r="AA607" s="39" t="s">
        <v>3592</v>
      </c>
    </row>
    <row r="608" spans="1:27" hidden="1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  <c r="Z608">
        <v>5048</v>
      </c>
      <c r="AA608" s="39" t="s">
        <v>3592</v>
      </c>
    </row>
    <row r="609" spans="1:27" hidden="1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  <c r="Z609">
        <v>6312</v>
      </c>
      <c r="AA609" s="39" t="s">
        <v>3592</v>
      </c>
    </row>
    <row r="610" spans="1:27" hidden="1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  <c r="Z610">
        <v>6325</v>
      </c>
      <c r="AA610" s="39" t="s">
        <v>3592</v>
      </c>
    </row>
    <row r="611" spans="1:27" hidden="1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  <c r="Z611">
        <v>5934</v>
      </c>
      <c r="AA611" s="39" t="s">
        <v>3592</v>
      </c>
    </row>
    <row r="612" spans="1:27" hidden="1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7</v>
      </c>
      <c r="Y612" t="s">
        <v>1314</v>
      </c>
      <c r="Z612">
        <v>2197</v>
      </c>
      <c r="AA612" s="39" t="s">
        <v>3593</v>
      </c>
    </row>
    <row r="613" spans="1:27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  <c r="Z613">
        <v>2196</v>
      </c>
      <c r="AA613" s="39" t="s">
        <v>3592</v>
      </c>
    </row>
    <row r="614" spans="1:27" hidden="1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  <c r="Z614">
        <v>5918</v>
      </c>
      <c r="AA614" s="39" t="s">
        <v>3592</v>
      </c>
    </row>
    <row r="615" spans="1:27" hidden="1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  <c r="Z615">
        <v>2198</v>
      </c>
      <c r="AA615" s="39" t="s">
        <v>3592</v>
      </c>
    </row>
    <row r="616" spans="1:27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  <c r="Z616">
        <v>6355</v>
      </c>
      <c r="AA616" s="39" t="s">
        <v>3592</v>
      </c>
    </row>
    <row r="617" spans="1:27" hidden="1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3593</v>
      </c>
    </row>
    <row r="618" spans="1:27" hidden="1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  <c r="Z618">
        <v>5911</v>
      </c>
      <c r="AA618" s="39" t="s">
        <v>3592</v>
      </c>
    </row>
    <row r="619" spans="1:27" hidden="1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  <c r="Z619">
        <v>5918</v>
      </c>
      <c r="AA619" s="39" t="s">
        <v>3592</v>
      </c>
    </row>
    <row r="620" spans="1:27" hidden="1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  <c r="Z620">
        <v>5771</v>
      </c>
      <c r="AA620" s="39" t="s">
        <v>3592</v>
      </c>
    </row>
    <row r="621" spans="1:27" hidden="1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  <c r="Z621">
        <v>5264</v>
      </c>
      <c r="AA621" s="39" t="s">
        <v>3592</v>
      </c>
    </row>
    <row r="622" spans="1:27" hidden="1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  <c r="Z622">
        <v>5922</v>
      </c>
      <c r="AA622" s="39" t="s">
        <v>3592</v>
      </c>
    </row>
    <row r="623" spans="1:27" hidden="1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  <c r="Z623">
        <v>6929</v>
      </c>
      <c r="AA623" s="39" t="s">
        <v>3592</v>
      </c>
    </row>
    <row r="624" spans="1:27" hidden="1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  <c r="Z624">
        <v>2198</v>
      </c>
      <c r="AA624" s="39" t="s">
        <v>3592</v>
      </c>
    </row>
    <row r="625" spans="1:27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  <c r="Z625">
        <v>2198</v>
      </c>
      <c r="AA625" s="39" t="s">
        <v>3592</v>
      </c>
    </row>
    <row r="626" spans="1:27" hidden="1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  <c r="Z626">
        <v>6316</v>
      </c>
      <c r="AA626" s="39" t="s">
        <v>3592</v>
      </c>
    </row>
    <row r="627" spans="1:27" hidden="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  <c r="Z627">
        <v>5763</v>
      </c>
      <c r="AA627" s="39" t="s">
        <v>3592</v>
      </c>
    </row>
    <row r="628" spans="1:27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  <c r="Z628">
        <v>6325</v>
      </c>
      <c r="AA628" s="39" t="s">
        <v>3592</v>
      </c>
    </row>
    <row r="629" spans="1:27" hidden="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  <c r="Z629">
        <v>5917</v>
      </c>
      <c r="AA629" s="39" t="s">
        <v>3592</v>
      </c>
    </row>
    <row r="630" spans="1:27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  <c r="Z630">
        <v>6327</v>
      </c>
      <c r="AA630" s="39" t="s">
        <v>3592</v>
      </c>
    </row>
    <row r="631" spans="1:27" hidden="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  <c r="Z631">
        <v>5267</v>
      </c>
      <c r="AA631" s="39" t="s">
        <v>3592</v>
      </c>
    </row>
    <row r="632" spans="1:27" hidden="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  <c r="Z632">
        <v>5911</v>
      </c>
      <c r="AA632" s="39" t="s">
        <v>3592</v>
      </c>
    </row>
    <row r="633" spans="1:27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  <c r="Z633">
        <v>6308</v>
      </c>
      <c r="AA633" s="39" t="s">
        <v>3592</v>
      </c>
    </row>
    <row r="634" spans="1:27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  <c r="Z634">
        <v>6364</v>
      </c>
      <c r="AA634" s="39" t="s">
        <v>3592</v>
      </c>
    </row>
    <row r="635" spans="1:27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  <c r="Z635">
        <v>6324</v>
      </c>
      <c r="AA635" s="39" t="s">
        <v>3592</v>
      </c>
    </row>
    <row r="636" spans="1:27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  <c r="Z636">
        <v>6357</v>
      </c>
      <c r="AA636" s="39" t="s">
        <v>3592</v>
      </c>
    </row>
    <row r="637" spans="1:27" hidden="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  <c r="Z637">
        <v>5924</v>
      </c>
      <c r="AA637" s="39" t="s">
        <v>3592</v>
      </c>
    </row>
    <row r="638" spans="1:27" hidden="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  <c r="Z638">
        <v>5922</v>
      </c>
      <c r="AA638" s="39" t="s">
        <v>3592</v>
      </c>
    </row>
    <row r="639" spans="1:27" hidden="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  <c r="Z639">
        <v>5240</v>
      </c>
      <c r="AA639" s="39" t="s">
        <v>3592</v>
      </c>
    </row>
    <row r="640" spans="1:27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  <c r="Z640">
        <v>6320</v>
      </c>
      <c r="AA640" s="39" t="s">
        <v>3592</v>
      </c>
    </row>
    <row r="641" spans="1:27" hidden="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  <c r="Z641">
        <v>6323</v>
      </c>
      <c r="AA641" s="39" t="s">
        <v>3592</v>
      </c>
    </row>
    <row r="642" spans="1:27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  <c r="Z642">
        <v>5914</v>
      </c>
      <c r="AA642" s="39" t="s">
        <v>3592</v>
      </c>
    </row>
    <row r="643" spans="1:27" hidden="1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  <c r="Z643">
        <v>4665</v>
      </c>
      <c r="AA643" s="39" t="s">
        <v>3592</v>
      </c>
    </row>
    <row r="644" spans="1:27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7</v>
      </c>
      <c r="Y644" t="s">
        <v>219</v>
      </c>
      <c r="Z644">
        <v>5912</v>
      </c>
      <c r="AA644" s="39" t="s">
        <v>3593</v>
      </c>
    </row>
    <row r="645" spans="1:27" hidden="1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  <c r="Z645">
        <v>5235</v>
      </c>
      <c r="AA645" s="39" t="s">
        <v>3592</v>
      </c>
    </row>
    <row r="646" spans="1:27" hidden="1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3593</v>
      </c>
    </row>
    <row r="647" spans="1:27" hidden="1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3593</v>
      </c>
    </row>
    <row r="648" spans="1:27" hidden="1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  <c r="Z648">
        <v>6306</v>
      </c>
      <c r="AA648" s="39" t="s">
        <v>3592</v>
      </c>
    </row>
    <row r="649" spans="1:27" hidden="1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  <c r="Z649">
        <v>5238</v>
      </c>
      <c r="AA649" s="39" t="s">
        <v>3592</v>
      </c>
    </row>
    <row r="650" spans="1:27" hidden="1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  <c r="Z650">
        <v>5938</v>
      </c>
      <c r="AA650" s="39" t="s">
        <v>3592</v>
      </c>
    </row>
    <row r="651" spans="1:27" hidden="1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7</v>
      </c>
      <c r="Y651" t="s">
        <v>51</v>
      </c>
      <c r="Z651">
        <v>5042</v>
      </c>
      <c r="AA651" s="39" t="s">
        <v>3593</v>
      </c>
    </row>
    <row r="652" spans="1:27" hidden="1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  <c r="Z652">
        <v>6356</v>
      </c>
      <c r="AA652" s="39" t="s">
        <v>3592</v>
      </c>
    </row>
    <row r="653" spans="1:27" hidden="1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  <c r="Z653">
        <v>5048</v>
      </c>
      <c r="AA653" s="39" t="s">
        <v>3592</v>
      </c>
    </row>
    <row r="654" spans="1:27" hidden="1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  <c r="Z654">
        <v>6370</v>
      </c>
      <c r="AA654" s="39" t="s">
        <v>3592</v>
      </c>
    </row>
    <row r="655" spans="1:27" hidden="1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  <c r="Z655">
        <v>6364</v>
      </c>
      <c r="AA655" s="39" t="s">
        <v>3592</v>
      </c>
    </row>
    <row r="656" spans="1:27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3593</v>
      </c>
    </row>
    <row r="657" spans="1:27" hidden="1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  <c r="Z657">
        <v>5763</v>
      </c>
      <c r="AA657" s="39" t="s">
        <v>3592</v>
      </c>
    </row>
    <row r="658" spans="1:27" hidden="1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  <c r="Z658">
        <v>6367</v>
      </c>
      <c r="AA658" s="39" t="s">
        <v>3592</v>
      </c>
    </row>
    <row r="659" spans="1:27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  <c r="Z659">
        <v>5328</v>
      </c>
      <c r="AA659" s="39" t="s">
        <v>3592</v>
      </c>
    </row>
    <row r="660" spans="1:27" hidden="1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  <c r="Z660">
        <v>6314</v>
      </c>
      <c r="AA660" s="39" t="s">
        <v>3592</v>
      </c>
    </row>
    <row r="661" spans="1:27" hidden="1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  <c r="Z661">
        <v>5934</v>
      </c>
      <c r="AA661" s="39" t="s">
        <v>3592</v>
      </c>
    </row>
    <row r="662" spans="1:27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  <c r="Z662">
        <v>6313</v>
      </c>
      <c r="AA662" s="39" t="s">
        <v>3592</v>
      </c>
    </row>
    <row r="663" spans="1:27" hidden="1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  <c r="Z663">
        <v>6366</v>
      </c>
      <c r="AA663" s="39" t="s">
        <v>3592</v>
      </c>
    </row>
    <row r="664" spans="1:27" hidden="1" x14ac:dyDescent="0.25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  <c r="Z664">
        <v>6321</v>
      </c>
      <c r="AA664" s="39" t="s">
        <v>3592</v>
      </c>
    </row>
    <row r="665" spans="1:27" hidden="1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  <c r="Z665">
        <v>6325</v>
      </c>
      <c r="AA665" s="39" t="s">
        <v>3592</v>
      </c>
    </row>
    <row r="666" spans="1:27" hidden="1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  <c r="Z666">
        <v>6333</v>
      </c>
      <c r="AA666" s="39" t="s">
        <v>3592</v>
      </c>
    </row>
    <row r="667" spans="1:27" hidden="1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  <c r="Z667">
        <v>6353</v>
      </c>
      <c r="AA667" s="39" t="s">
        <v>3592</v>
      </c>
    </row>
    <row r="668" spans="1:27" hidden="1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  <c r="Z668">
        <v>5910</v>
      </c>
      <c r="AA668" s="39" t="s">
        <v>3592</v>
      </c>
    </row>
    <row r="669" spans="1:27" hidden="1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  <c r="Z669">
        <v>6357</v>
      </c>
      <c r="AA669" s="39" t="s">
        <v>3592</v>
      </c>
    </row>
    <row r="670" spans="1:27" hidden="1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  <c r="Z670">
        <v>5927</v>
      </c>
      <c r="AA670" s="39" t="s">
        <v>3592</v>
      </c>
    </row>
    <row r="671" spans="1:27" hidden="1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  <c r="Z671">
        <v>6374</v>
      </c>
      <c r="AA671" s="39" t="s">
        <v>3592</v>
      </c>
    </row>
    <row r="672" spans="1:27" hidden="1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  <c r="Z672">
        <v>6331</v>
      </c>
      <c r="AA672" s="39" t="s">
        <v>3592</v>
      </c>
    </row>
    <row r="673" spans="1:27" hidden="1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  <c r="Z673">
        <v>5053</v>
      </c>
      <c r="AA673" s="39" t="s">
        <v>3592</v>
      </c>
    </row>
    <row r="674" spans="1:27" hidden="1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  <c r="Z674">
        <v>5267</v>
      </c>
      <c r="AA674" s="39" t="s">
        <v>3592</v>
      </c>
    </row>
    <row r="675" spans="1:27" hidden="1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  <c r="Z675" t="s">
        <v>391</v>
      </c>
      <c r="AA675" s="39" t="s">
        <v>3592</v>
      </c>
    </row>
    <row r="676" spans="1:27" hidden="1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  <c r="Z676">
        <v>5229</v>
      </c>
      <c r="AA676" s="39" t="s">
        <v>3592</v>
      </c>
    </row>
    <row r="677" spans="1:27" hidden="1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  <c r="Z677">
        <v>6320</v>
      </c>
      <c r="AA677" s="39" t="s">
        <v>3592</v>
      </c>
    </row>
    <row r="678" spans="1:27" hidden="1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  <c r="Z678">
        <v>5266</v>
      </c>
      <c r="AA678" s="39" t="s">
        <v>3592</v>
      </c>
    </row>
    <row r="679" spans="1:27" hidden="1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  <c r="Z679">
        <v>6329</v>
      </c>
      <c r="AA679" s="39" t="s">
        <v>3592</v>
      </c>
    </row>
    <row r="680" spans="1:27" hidden="1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  <c r="Z680">
        <v>5053</v>
      </c>
      <c r="AA680" s="39" t="s">
        <v>3592</v>
      </c>
    </row>
    <row r="681" spans="1:27" hidden="1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  <c r="Z681">
        <v>2195</v>
      </c>
      <c r="AA681" s="39" t="s">
        <v>3592</v>
      </c>
    </row>
    <row r="682" spans="1:27" hidden="1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  <c r="Z682">
        <v>6372</v>
      </c>
      <c r="AA682" s="39" t="s">
        <v>3592</v>
      </c>
    </row>
    <row r="683" spans="1:27" hidden="1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  <c r="Z683">
        <v>5486</v>
      </c>
      <c r="AA683" s="39" t="s">
        <v>3592</v>
      </c>
    </row>
    <row r="684" spans="1:27" hidden="1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  <c r="Z684">
        <v>6322</v>
      </c>
      <c r="AA684" s="39" t="s">
        <v>3592</v>
      </c>
    </row>
    <row r="685" spans="1:27" hidden="1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  <c r="Z685">
        <v>6327</v>
      </c>
      <c r="AA685" s="39" t="s">
        <v>3592</v>
      </c>
    </row>
    <row r="686" spans="1:27" hidden="1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  <c r="Z686">
        <v>5043</v>
      </c>
      <c r="AA686" s="39" t="s">
        <v>3592</v>
      </c>
    </row>
    <row r="687" spans="1:27" hidden="1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7</v>
      </c>
      <c r="Y687" t="s">
        <v>1293</v>
      </c>
      <c r="Z687">
        <v>2200</v>
      </c>
      <c r="AA687" s="39" t="s">
        <v>3593</v>
      </c>
    </row>
    <row r="688" spans="1:27" hidden="1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  <c r="Z688">
        <v>6362</v>
      </c>
      <c r="AA688" s="39" t="s">
        <v>3592</v>
      </c>
    </row>
    <row r="689" spans="1:27" hidden="1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7</v>
      </c>
      <c r="Y689" t="s">
        <v>106</v>
      </c>
      <c r="Z689">
        <v>2208</v>
      </c>
      <c r="AA689" s="39" t="s">
        <v>3593</v>
      </c>
    </row>
    <row r="690" spans="1:27" hidden="1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  <c r="Z690">
        <v>5915</v>
      </c>
      <c r="AA690" s="39" t="s">
        <v>3592</v>
      </c>
    </row>
    <row r="691" spans="1:27" hidden="1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  <c r="Z691">
        <v>5052</v>
      </c>
      <c r="AA691" s="39" t="s">
        <v>3592</v>
      </c>
    </row>
    <row r="692" spans="1:27" hidden="1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7</v>
      </c>
      <c r="Y692" t="s">
        <v>34</v>
      </c>
      <c r="Z692">
        <v>5044</v>
      </c>
      <c r="AA692" s="39" t="s">
        <v>3593</v>
      </c>
    </row>
    <row r="693" spans="1:27" hidden="1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  <c r="Z693">
        <v>5325</v>
      </c>
      <c r="AA693" s="39" t="s">
        <v>3592</v>
      </c>
    </row>
    <row r="694" spans="1:27" hidden="1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  <c r="Z694">
        <v>5235</v>
      </c>
      <c r="AA694" s="39" t="s">
        <v>3592</v>
      </c>
    </row>
    <row r="695" spans="1:27" hidden="1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  <c r="Z695">
        <v>5054</v>
      </c>
      <c r="AA695" s="39" t="s">
        <v>3592</v>
      </c>
    </row>
    <row r="696" spans="1:27" hidden="1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  <c r="Z696">
        <v>5911</v>
      </c>
      <c r="AA696" s="39" t="s">
        <v>3592</v>
      </c>
    </row>
    <row r="697" spans="1:27" hidden="1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  <c r="Z697">
        <v>5931</v>
      </c>
      <c r="AA697" s="39" t="s">
        <v>3592</v>
      </c>
    </row>
    <row r="698" spans="1:27" hidden="1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  <c r="Z698">
        <v>5765</v>
      </c>
      <c r="AA698" s="39" t="s">
        <v>3592</v>
      </c>
    </row>
    <row r="699" spans="1:27" hidden="1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  <c r="Z699">
        <v>5930</v>
      </c>
      <c r="AA699" s="39" t="s">
        <v>3592</v>
      </c>
    </row>
    <row r="700" spans="1:27" hidden="1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  <c r="Z700">
        <v>5933</v>
      </c>
      <c r="AA700" s="39" t="s">
        <v>3592</v>
      </c>
    </row>
    <row r="701" spans="1:27" hidden="1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  <c r="Z701" t="s">
        <v>3595</v>
      </c>
      <c r="AA701" s="39" t="s">
        <v>3592</v>
      </c>
    </row>
    <row r="702" spans="1:27" hidden="1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  <c r="Z702">
        <v>5043</v>
      </c>
      <c r="AA702" s="39" t="s">
        <v>3592</v>
      </c>
    </row>
    <row r="703" spans="1:27" hidden="1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  <c r="Z703">
        <v>2269</v>
      </c>
      <c r="AA703" s="39" t="s">
        <v>3592</v>
      </c>
    </row>
    <row r="704" spans="1:27" hidden="1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  <c r="Z704">
        <v>6339</v>
      </c>
      <c r="AA704" s="39" t="s">
        <v>3592</v>
      </c>
    </row>
    <row r="705" spans="1:27" hidden="1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  <c r="Z705">
        <v>6368</v>
      </c>
      <c r="AA705" s="39" t="s">
        <v>3592</v>
      </c>
    </row>
    <row r="706" spans="1:27" hidden="1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  <c r="Z706">
        <v>6333</v>
      </c>
      <c r="AA706" s="39" t="s">
        <v>3592</v>
      </c>
    </row>
    <row r="707" spans="1:27" hidden="1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  <c r="Z707">
        <v>5053</v>
      </c>
      <c r="AA707" s="39" t="s">
        <v>3592</v>
      </c>
    </row>
    <row r="708" spans="1:27" hidden="1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  <c r="Z708">
        <v>6321</v>
      </c>
      <c r="AA708" s="39" t="s">
        <v>3592</v>
      </c>
    </row>
    <row r="709" spans="1:27" hidden="1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>
        <v>45777</v>
      </c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/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3592</v>
      </c>
    </row>
    <row r="710" spans="1:27" hidden="1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  <c r="Z710">
        <v>5046</v>
      </c>
      <c r="AA710" s="39" t="s">
        <v>3592</v>
      </c>
    </row>
    <row r="711" spans="1:27" hidden="1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  <c r="Z711">
        <v>5929</v>
      </c>
      <c r="AA711" s="39" t="s">
        <v>3592</v>
      </c>
    </row>
    <row r="712" spans="1:27" hidden="1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  <c r="Z712">
        <v>5926</v>
      </c>
      <c r="AA712" s="39" t="s">
        <v>3592</v>
      </c>
    </row>
    <row r="713" spans="1:27" hidden="1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  <c r="Z713">
        <v>4678</v>
      </c>
      <c r="AA713" s="39" t="s">
        <v>3592</v>
      </c>
    </row>
    <row r="714" spans="1:27" hidden="1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  <c r="Z714">
        <v>6339</v>
      </c>
      <c r="AA714" s="39" t="s">
        <v>3592</v>
      </c>
    </row>
    <row r="715" spans="1:27" hidden="1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  <c r="Z715">
        <v>5048</v>
      </c>
      <c r="AA715" s="39" t="s">
        <v>3592</v>
      </c>
    </row>
    <row r="716" spans="1:27" hidden="1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  <c r="Z716">
        <v>6317</v>
      </c>
      <c r="AA716" s="39" t="s">
        <v>3592</v>
      </c>
    </row>
    <row r="717" spans="1:27" hidden="1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  <c r="Z717">
        <v>5238</v>
      </c>
      <c r="AA717" s="39" t="s">
        <v>3592</v>
      </c>
    </row>
    <row r="718" spans="1:27" hidden="1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  <c r="Z718">
        <v>5229</v>
      </c>
      <c r="AA718" s="39" t="s">
        <v>3592</v>
      </c>
    </row>
    <row r="719" spans="1:27" hidden="1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>
        <v>45853</v>
      </c>
      <c r="G719" s="7"/>
      <c r="H719" s="7"/>
      <c r="I719" s="7"/>
      <c r="M719" s="5">
        <v>1</v>
      </c>
      <c r="S719" s="5">
        <f>SUM(bron[[#This Row],[Januari]:[December]])</f>
        <v>1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3592</v>
      </c>
    </row>
    <row r="720" spans="1:27" hidden="1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  <c r="Z720">
        <v>5237</v>
      </c>
      <c r="AA720" s="39" t="s">
        <v>3592</v>
      </c>
    </row>
    <row r="721" spans="1:27" hidden="1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  <c r="Z721">
        <v>5048</v>
      </c>
      <c r="AA721" s="39" t="s">
        <v>3592</v>
      </c>
    </row>
    <row r="722" spans="1:27" hidden="1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  <c r="Z722">
        <v>5260</v>
      </c>
      <c r="AA722" s="39" t="s">
        <v>3592</v>
      </c>
    </row>
    <row r="723" spans="1:27" hidden="1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  <c r="Z723">
        <v>5261</v>
      </c>
      <c r="AA723" s="39" t="s">
        <v>3592</v>
      </c>
    </row>
    <row r="724" spans="1:27" hidden="1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>
        <v>45782</v>
      </c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/>
      <c r="U724" s="8" t="s">
        <v>1326</v>
      </c>
      <c r="V724" s="8">
        <v>1</v>
      </c>
      <c r="W724" s="8"/>
      <c r="X724" t="s">
        <v>7</v>
      </c>
      <c r="Y724" t="s">
        <v>489</v>
      </c>
      <c r="Z724">
        <v>4667</v>
      </c>
      <c r="AA724" s="39" t="s">
        <v>3592</v>
      </c>
    </row>
    <row r="725" spans="1:27" hidden="1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>
        <v>45800</v>
      </c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  <c r="Z725">
        <v>5238</v>
      </c>
      <c r="AA725" s="39" t="s">
        <v>3592</v>
      </c>
    </row>
    <row r="726" spans="1:27" hidden="1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  <c r="Z726">
        <v>2195</v>
      </c>
      <c r="AA726" s="39" t="s">
        <v>3592</v>
      </c>
    </row>
    <row r="727" spans="1:27" hidden="1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  <c r="Z727">
        <v>5264</v>
      </c>
      <c r="AA727" s="39" t="s">
        <v>3592</v>
      </c>
    </row>
    <row r="728" spans="1:27" hidden="1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>
        <v>45842</v>
      </c>
      <c r="G728" s="7"/>
      <c r="H728" s="7"/>
      <c r="I728" s="7"/>
      <c r="M728" s="5">
        <v>1</v>
      </c>
      <c r="S728" s="5">
        <f>SUM(bron[[#This Row],[Januari]:[December]])</f>
        <v>1</v>
      </c>
      <c r="U728" s="8" t="s">
        <v>1297</v>
      </c>
      <c r="V728" s="24">
        <v>1</v>
      </c>
      <c r="W728" s="24"/>
      <c r="X728" t="s">
        <v>7</v>
      </c>
      <c r="Y728" t="s">
        <v>227</v>
      </c>
      <c r="Z728">
        <v>2190</v>
      </c>
      <c r="AA728" s="39" t="s">
        <v>3592</v>
      </c>
    </row>
    <row r="729" spans="1:27" hidden="1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  <c r="Z729">
        <v>2192</v>
      </c>
      <c r="AA729" s="39" t="s">
        <v>3592</v>
      </c>
    </row>
    <row r="730" spans="1:27" hidden="1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  <c r="Z730">
        <v>5922</v>
      </c>
      <c r="AA730" s="39" t="s">
        <v>3592</v>
      </c>
    </row>
    <row r="731" spans="1:27" hidden="1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>
        <v>45754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/>
      <c r="U731" s="8" t="s">
        <v>1319</v>
      </c>
      <c r="V731" s="8">
        <v>1</v>
      </c>
      <c r="W731" s="8"/>
      <c r="X731" t="s">
        <v>7</v>
      </c>
      <c r="Y731" t="s">
        <v>1320</v>
      </c>
      <c r="Z731">
        <v>2197</v>
      </c>
      <c r="AA731" s="39" t="s">
        <v>3592</v>
      </c>
    </row>
    <row r="732" spans="1:27" hidden="1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  <c r="Z732" t="s">
        <v>391</v>
      </c>
      <c r="AA732" s="39" t="s">
        <v>3592</v>
      </c>
    </row>
    <row r="733" spans="1:27" hidden="1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  <c r="Z733">
        <v>5923</v>
      </c>
      <c r="AA733" s="39" t="s">
        <v>3592</v>
      </c>
    </row>
    <row r="734" spans="1:27" hidden="1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>
        <v>45735</v>
      </c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/>
      <c r="U734" s="8" t="s">
        <v>1296</v>
      </c>
      <c r="V734" s="8">
        <v>1</v>
      </c>
      <c r="W734" s="8"/>
      <c r="X734" t="s">
        <v>7</v>
      </c>
      <c r="Y734" t="s">
        <v>72</v>
      </c>
      <c r="Z734">
        <v>5054</v>
      </c>
      <c r="AA734" s="39" t="s">
        <v>3592</v>
      </c>
    </row>
    <row r="735" spans="1:27" hidden="1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  <c r="Z735">
        <v>5929</v>
      </c>
      <c r="AA735" s="39" t="s">
        <v>3592</v>
      </c>
    </row>
    <row r="736" spans="1:27" hidden="1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  <c r="Z736">
        <v>5046</v>
      </c>
      <c r="AA736" s="39" t="s">
        <v>3592</v>
      </c>
    </row>
    <row r="737" spans="1:27" hidden="1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>
        <v>45710</v>
      </c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1311</v>
      </c>
      <c r="V737" s="8">
        <v>1</v>
      </c>
      <c r="W737" s="8"/>
      <c r="X737" t="s">
        <v>7</v>
      </c>
      <c r="Y737" t="s">
        <v>113</v>
      </c>
      <c r="Z737">
        <v>5043</v>
      </c>
      <c r="AA737" s="39" t="s">
        <v>3592</v>
      </c>
    </row>
    <row r="738" spans="1:27" hidden="1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  <c r="Z738">
        <v>5042</v>
      </c>
      <c r="AA738" s="39" t="s">
        <v>3592</v>
      </c>
    </row>
    <row r="739" spans="1:27" hidden="1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  <c r="Z739">
        <v>5265</v>
      </c>
      <c r="AA739" s="39" t="s">
        <v>3592</v>
      </c>
    </row>
    <row r="740" spans="1:27" hidden="1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  <c r="Z740">
        <v>6355</v>
      </c>
      <c r="AA740" s="39" t="s">
        <v>3592</v>
      </c>
    </row>
    <row r="741" spans="1:27" hidden="1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  <c r="Z741">
        <v>2197</v>
      </c>
      <c r="AA741" s="39" t="s">
        <v>3592</v>
      </c>
    </row>
    <row r="742" spans="1:27" hidden="1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  <c r="Z742">
        <v>5229</v>
      </c>
      <c r="AA742" s="39" t="s">
        <v>3592</v>
      </c>
    </row>
    <row r="743" spans="1:27" hidden="1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  <c r="Z743">
        <v>5920</v>
      </c>
      <c r="AA743" s="39" t="s">
        <v>3592</v>
      </c>
    </row>
    <row r="744" spans="1:27" hidden="1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  <c r="Z744">
        <v>5931</v>
      </c>
      <c r="AA744" s="39" t="s">
        <v>3592</v>
      </c>
    </row>
    <row r="745" spans="1:27" hidden="1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  <c r="Z745">
        <v>5261</v>
      </c>
      <c r="AA745" s="39" t="s">
        <v>3592</v>
      </c>
    </row>
    <row r="746" spans="1:27" hidden="1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>
        <v>45660</v>
      </c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/>
      <c r="U746" s="8" t="s">
        <v>1299</v>
      </c>
      <c r="V746" s="8">
        <v>1</v>
      </c>
      <c r="W746" s="8"/>
      <c r="X746" t="s">
        <v>7</v>
      </c>
      <c r="Y746" t="s">
        <v>119</v>
      </c>
      <c r="Z746">
        <v>5047</v>
      </c>
      <c r="AA746" s="39" t="s">
        <v>3592</v>
      </c>
    </row>
    <row r="747" spans="1:27" hidden="1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  <c r="Z747">
        <v>2197</v>
      </c>
      <c r="AA747" s="39" t="s">
        <v>3592</v>
      </c>
    </row>
    <row r="748" spans="1:27" hidden="1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  <c r="Z748">
        <v>5770</v>
      </c>
      <c r="AA748" s="39" t="s">
        <v>3592</v>
      </c>
    </row>
    <row r="749" spans="1:27" hidden="1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  <c r="Z749">
        <v>5915</v>
      </c>
      <c r="AA749" s="39" t="s">
        <v>3592</v>
      </c>
    </row>
    <row r="750" spans="1:27" hidden="1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  <c r="Z750">
        <v>5047</v>
      </c>
      <c r="AA750" s="39" t="s">
        <v>3592</v>
      </c>
    </row>
    <row r="751" spans="1:27" hidden="1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  <c r="Z751">
        <v>5325</v>
      </c>
      <c r="AA751" s="39" t="s">
        <v>3592</v>
      </c>
    </row>
    <row r="752" spans="1:27" hidden="1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  <c r="Z752">
        <v>5047</v>
      </c>
      <c r="AA752" s="39" t="s">
        <v>3592</v>
      </c>
    </row>
    <row r="753" spans="1:27" hidden="1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  <c r="Z753">
        <v>5923</v>
      </c>
      <c r="AA753" s="39" t="s">
        <v>3592</v>
      </c>
    </row>
    <row r="754" spans="1:27" hidden="1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  <c r="Z754">
        <v>5051</v>
      </c>
      <c r="AA754" s="39" t="s">
        <v>3592</v>
      </c>
    </row>
    <row r="755" spans="1:27" hidden="1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  <c r="Z755">
        <v>5047</v>
      </c>
      <c r="AA755" s="39" t="s">
        <v>3592</v>
      </c>
    </row>
    <row r="756" spans="1:27" hidden="1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  <c r="Z756">
        <v>5049</v>
      </c>
      <c r="AA756" s="39" t="s">
        <v>3592</v>
      </c>
    </row>
    <row r="757" spans="1:27" hidden="1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  <c r="Z757">
        <v>5052</v>
      </c>
      <c r="AA757" s="39" t="s">
        <v>3592</v>
      </c>
    </row>
    <row r="758" spans="1:27" hidden="1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  <c r="Z758">
        <v>2199</v>
      </c>
      <c r="AA758" s="39" t="s">
        <v>3592</v>
      </c>
    </row>
    <row r="759" spans="1:27" hidden="1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  <c r="Z759">
        <v>5912</v>
      </c>
      <c r="AA759" s="39" t="s">
        <v>3592</v>
      </c>
    </row>
    <row r="760" spans="1:27" hidden="1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  <c r="Z760">
        <v>5236</v>
      </c>
      <c r="AA760" s="39" t="s">
        <v>3592</v>
      </c>
    </row>
    <row r="761" spans="1:27" hidden="1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  <c r="Z761" t="s">
        <v>391</v>
      </c>
      <c r="AA761" s="39" t="s">
        <v>3592</v>
      </c>
    </row>
    <row r="762" spans="1:27" hidden="1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  <c r="Z762">
        <v>5915</v>
      </c>
      <c r="AA762" s="39" t="s">
        <v>3592</v>
      </c>
    </row>
    <row r="763" spans="1:27" hidden="1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  <c r="Z763">
        <v>5235</v>
      </c>
      <c r="AA763" s="39" t="s">
        <v>3592</v>
      </c>
    </row>
    <row r="764" spans="1:27" hidden="1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  <c r="Z764">
        <v>7897</v>
      </c>
      <c r="AA764" s="39" t="s">
        <v>3592</v>
      </c>
    </row>
    <row r="765" spans="1:27" hidden="1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>
        <v>45890</v>
      </c>
      <c r="G765" s="7"/>
      <c r="H765" s="7"/>
      <c r="I765" s="7"/>
      <c r="N765" s="5">
        <v>1</v>
      </c>
      <c r="S765" s="5">
        <f>SUM(bron[[#This Row],[Januari]:[December]])</f>
        <v>1</v>
      </c>
      <c r="U765" s="5" t="s">
        <v>1310</v>
      </c>
      <c r="V765" s="24">
        <v>1</v>
      </c>
      <c r="W765" s="24"/>
      <c r="X765" t="s">
        <v>7</v>
      </c>
      <c r="Y765" t="s">
        <v>537</v>
      </c>
      <c r="Z765">
        <v>5239</v>
      </c>
      <c r="AA765" s="39" t="s">
        <v>3592</v>
      </c>
    </row>
    <row r="766" spans="1:27" hidden="1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  <c r="Z766">
        <v>5767</v>
      </c>
      <c r="AA766" s="39" t="s">
        <v>3592</v>
      </c>
    </row>
    <row r="767" spans="1:27" hidden="1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  <c r="Z767">
        <v>5260</v>
      </c>
      <c r="AA767" s="39" t="s">
        <v>3592</v>
      </c>
    </row>
    <row r="768" spans="1:27" hidden="1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  <c r="Z768">
        <v>5911</v>
      </c>
      <c r="AA768" s="39" t="s">
        <v>3592</v>
      </c>
    </row>
    <row r="769" spans="1:27" hidden="1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  <c r="Z769">
        <v>5772</v>
      </c>
      <c r="AA769" s="39" t="s">
        <v>3592</v>
      </c>
    </row>
    <row r="770" spans="1:27" hidden="1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  <c r="Z770">
        <v>2208</v>
      </c>
      <c r="AA770" s="39" t="s">
        <v>3592</v>
      </c>
    </row>
    <row r="771" spans="1:27" hidden="1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  <c r="Z771">
        <v>5042</v>
      </c>
      <c r="AA771" s="39" t="s">
        <v>3592</v>
      </c>
    </row>
    <row r="772" spans="1:27" hidden="1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  <c r="Z772">
        <v>5909</v>
      </c>
      <c r="AA772" s="39" t="s">
        <v>3592</v>
      </c>
    </row>
    <row r="773" spans="1:27" hidden="1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  <c r="Z773">
        <v>2196</v>
      </c>
      <c r="AA773" s="39" t="s">
        <v>3592</v>
      </c>
    </row>
    <row r="774" spans="1:27" hidden="1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  <c r="Z774">
        <v>5039</v>
      </c>
      <c r="AA774" s="39" t="s">
        <v>3592</v>
      </c>
    </row>
    <row r="775" spans="1:27" hidden="1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  <c r="Z775">
        <v>2198</v>
      </c>
      <c r="AA775" s="39" t="s">
        <v>3592</v>
      </c>
    </row>
    <row r="776" spans="1:27" hidden="1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  <c r="Z776">
        <v>2204</v>
      </c>
      <c r="AA776" s="39" t="s">
        <v>3592</v>
      </c>
    </row>
    <row r="777" spans="1:27" hidden="1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  <c r="Z777">
        <v>2546</v>
      </c>
      <c r="AA777" s="39" t="s">
        <v>3592</v>
      </c>
    </row>
    <row r="778" spans="1:27" hidden="1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  <c r="Z778">
        <v>5929</v>
      </c>
      <c r="AA778" s="39" t="s">
        <v>3592</v>
      </c>
    </row>
    <row r="779" spans="1:27" hidden="1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>
        <v>45630</v>
      </c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/>
      <c r="U779" s="8" t="s">
        <v>956</v>
      </c>
      <c r="V779" s="8">
        <v>1</v>
      </c>
      <c r="W779" s="8"/>
      <c r="X779" t="s">
        <v>7</v>
      </c>
      <c r="Y779" t="s">
        <v>1291</v>
      </c>
      <c r="Z779" t="s">
        <v>391</v>
      </c>
      <c r="AA779" s="39" t="s">
        <v>3592</v>
      </c>
    </row>
    <row r="780" spans="1:27" hidden="1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  <c r="Z780">
        <v>5259</v>
      </c>
      <c r="AA780" s="39" t="s">
        <v>3592</v>
      </c>
    </row>
    <row r="781" spans="1:27" hidden="1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  <c r="Z781">
        <v>5043</v>
      </c>
      <c r="AA781" s="39" t="s">
        <v>3592</v>
      </c>
    </row>
    <row r="782" spans="1:27" hidden="1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  <c r="Z782">
        <v>5630</v>
      </c>
      <c r="AA782" s="39" t="s">
        <v>3592</v>
      </c>
    </row>
    <row r="783" spans="1:27" hidden="1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  <c r="Z783">
        <v>2208</v>
      </c>
      <c r="AA783" s="39" t="s">
        <v>3592</v>
      </c>
    </row>
    <row r="784" spans="1:27" hidden="1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  <c r="Z784">
        <v>2190</v>
      </c>
      <c r="AA784" s="39" t="s">
        <v>3592</v>
      </c>
    </row>
    <row r="785" spans="1:27" hidden="1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  <c r="Z785">
        <v>5325</v>
      </c>
      <c r="AA785" s="39" t="s">
        <v>3592</v>
      </c>
    </row>
    <row r="786" spans="1:27" hidden="1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  <c r="Z786">
        <v>2196</v>
      </c>
      <c r="AA786" s="39" t="s">
        <v>3592</v>
      </c>
    </row>
    <row r="787" spans="1:27" hidden="1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>
        <v>45902</v>
      </c>
      <c r="G787" s="7"/>
      <c r="H787" s="7"/>
      <c r="I787" s="7"/>
      <c r="O787" s="5">
        <v>1</v>
      </c>
      <c r="S787" s="5">
        <f>SUM(bron[[#This Row],[Januari]:[December]])</f>
        <v>1</v>
      </c>
      <c r="U787" s="5" t="s">
        <v>3532</v>
      </c>
      <c r="V787" s="24">
        <v>1</v>
      </c>
      <c r="W787" s="24"/>
      <c r="X787" t="s">
        <v>7</v>
      </c>
      <c r="Y787" t="s">
        <v>100</v>
      </c>
      <c r="Z787">
        <v>5263</v>
      </c>
      <c r="AA787" s="39" t="s">
        <v>3592</v>
      </c>
    </row>
    <row r="788" spans="1:27" hidden="1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  <c r="Z788">
        <v>5046</v>
      </c>
      <c r="AA788" s="39" t="s">
        <v>3592</v>
      </c>
    </row>
    <row r="789" spans="1:27" hidden="1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  <c r="Z789">
        <v>2198</v>
      </c>
      <c r="AA789" s="39" t="s">
        <v>3592</v>
      </c>
    </row>
    <row r="790" spans="1:27" hidden="1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  <c r="Z790">
        <v>5932</v>
      </c>
      <c r="AA790" s="39" t="s">
        <v>3592</v>
      </c>
    </row>
    <row r="791" spans="1:27" hidden="1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  <c r="Z791">
        <v>5771</v>
      </c>
      <c r="AA791" s="39" t="s">
        <v>3592</v>
      </c>
    </row>
    <row r="792" spans="1:27" hidden="1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  <c r="Z792">
        <v>5923</v>
      </c>
      <c r="AA792" s="39" t="s">
        <v>3592</v>
      </c>
    </row>
    <row r="793" spans="1:27" hidden="1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  <c r="Z793">
        <v>5045</v>
      </c>
      <c r="AA793" s="39" t="s">
        <v>3592</v>
      </c>
    </row>
    <row r="794" spans="1:27" hidden="1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  <c r="Z794">
        <v>5923</v>
      </c>
      <c r="AA794" s="39" t="s">
        <v>3592</v>
      </c>
    </row>
    <row r="795" spans="1:27" hidden="1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  <c r="Z795">
        <v>5237</v>
      </c>
      <c r="AA795" s="39" t="s">
        <v>3592</v>
      </c>
    </row>
    <row r="796" spans="1:27" hidden="1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  <c r="Z796">
        <v>5237</v>
      </c>
      <c r="AA796" s="39" t="s">
        <v>3592</v>
      </c>
    </row>
    <row r="797" spans="1:27" hidden="1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  <c r="Z797">
        <v>5925</v>
      </c>
      <c r="AA797" s="39" t="s">
        <v>3592</v>
      </c>
    </row>
    <row r="798" spans="1:27" hidden="1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  <c r="Z798">
        <v>5926</v>
      </c>
      <c r="AA798" s="39" t="s">
        <v>3592</v>
      </c>
    </row>
    <row r="799" spans="1:27" hidden="1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  <c r="Z799">
        <v>5048</v>
      </c>
      <c r="AA799" s="39" t="s">
        <v>3592</v>
      </c>
    </row>
    <row r="800" spans="1:27" hidden="1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  <c r="Z800">
        <v>2549</v>
      </c>
      <c r="AA800" s="39" t="s">
        <v>3592</v>
      </c>
    </row>
    <row r="801" spans="1:27" hidden="1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  <c r="Z801">
        <v>5929</v>
      </c>
      <c r="AA801" s="39" t="s">
        <v>3592</v>
      </c>
    </row>
    <row r="802" spans="1:27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  <c r="Z802">
        <v>5324</v>
      </c>
      <c r="AA802" s="39" t="s">
        <v>3592</v>
      </c>
    </row>
    <row r="803" spans="1:27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  <c r="AA803" s="39" t="s">
        <v>3592</v>
      </c>
    </row>
    <row r="804" spans="1:27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  <c r="AA804" s="39" t="s">
        <v>3592</v>
      </c>
    </row>
    <row r="805" spans="1:27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  <c r="AA805" s="39" t="s">
        <v>3592</v>
      </c>
    </row>
    <row r="806" spans="1:27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  <c r="AA806" s="39" t="s">
        <v>3592</v>
      </c>
    </row>
    <row r="807" spans="1:27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  <c r="AA807" s="39" t="s">
        <v>3592</v>
      </c>
    </row>
    <row r="808" spans="1:27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  <c r="AA808" s="39" t="s">
        <v>3592</v>
      </c>
    </row>
    <row r="809" spans="1:27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  <c r="AA809" s="39" t="s">
        <v>3592</v>
      </c>
    </row>
    <row r="810" spans="1:27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  <c r="AA810" s="39" t="s">
        <v>3592</v>
      </c>
    </row>
    <row r="811" spans="1:27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  <c r="AA811" s="39" t="s">
        <v>3592</v>
      </c>
    </row>
    <row r="812" spans="1:27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  <c r="AA812" s="39" t="s">
        <v>3592</v>
      </c>
    </row>
    <row r="813" spans="1:27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  <c r="AA813" s="39" t="s">
        <v>3592</v>
      </c>
    </row>
    <row r="814" spans="1:27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  <c r="AA814" s="39" t="s">
        <v>3592</v>
      </c>
    </row>
    <row r="815" spans="1:27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  <c r="AA815" s="39" t="s">
        <v>3592</v>
      </c>
    </row>
    <row r="816" spans="1:27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/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  <c r="AA817" s="39" t="s">
        <v>3592</v>
      </c>
    </row>
    <row r="818" spans="1:27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  <c r="AA818" s="39" t="s">
        <v>3592</v>
      </c>
    </row>
    <row r="819" spans="1:27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/>
    </row>
    <row r="820" spans="1:27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  <c r="AA820" s="39" t="s">
        <v>3592</v>
      </c>
    </row>
    <row r="821" spans="1:27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  <c r="AA821" s="39" t="s">
        <v>3592</v>
      </c>
    </row>
    <row r="822" spans="1:27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  <c r="AA822" s="39" t="s">
        <v>3592</v>
      </c>
    </row>
    <row r="823" spans="1:27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  <c r="AA823" s="39" t="s">
        <v>3592</v>
      </c>
    </row>
    <row r="824" spans="1:27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/>
    </row>
    <row r="825" spans="1:27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/>
    </row>
    <row r="826" spans="1:27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  <c r="AA826" s="39" t="s">
        <v>3592</v>
      </c>
    </row>
    <row r="827" spans="1:27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>
        <v>45883</v>
      </c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/>
      <c r="U827" s="24" t="s">
        <v>1301</v>
      </c>
      <c r="V827" s="8">
        <v>1</v>
      </c>
      <c r="W827" s="8"/>
      <c r="X827" t="s">
        <v>7</v>
      </c>
      <c r="Y827" t="s">
        <v>10</v>
      </c>
      <c r="AA827" s="39" t="s">
        <v>3592</v>
      </c>
    </row>
    <row r="828" spans="1:27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  <c r="AA828" s="39" t="s">
        <v>3592</v>
      </c>
    </row>
    <row r="829" spans="1:27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  <c r="AA829" s="39" t="s">
        <v>3592</v>
      </c>
    </row>
    <row r="830" spans="1:27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/>
    </row>
    <row r="831" spans="1:27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>
        <v>45864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1302</v>
      </c>
      <c r="V831" s="24">
        <v>1</v>
      </c>
      <c r="W831" s="24"/>
      <c r="X831" t="s">
        <v>7</v>
      </c>
      <c r="Y831" t="s">
        <v>108</v>
      </c>
      <c r="AA831" s="39" t="s">
        <v>3592</v>
      </c>
    </row>
    <row r="832" spans="1:27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  <c r="AA832" s="39" t="s">
        <v>3592</v>
      </c>
    </row>
    <row r="833" spans="1:27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/>
    </row>
    <row r="834" spans="1:27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/>
    </row>
    <row r="835" spans="1:27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  <c r="AA835" s="39" t="s">
        <v>3592</v>
      </c>
    </row>
    <row r="836" spans="1:27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/>
    </row>
    <row r="837" spans="1:27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  <c r="AA837" s="39" t="s">
        <v>3592</v>
      </c>
    </row>
    <row r="838" spans="1:27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  <c r="AA838" s="39" t="s">
        <v>3592</v>
      </c>
    </row>
    <row r="839" spans="1:27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  <c r="AA839" s="39" t="s">
        <v>3592</v>
      </c>
    </row>
    <row r="840" spans="1:27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  <c r="AA840" s="39" t="s">
        <v>3592</v>
      </c>
    </row>
    <row r="841" spans="1:27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/>
    </row>
    <row r="842" spans="1:27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  <c r="AA842" s="39" t="s">
        <v>3592</v>
      </c>
    </row>
    <row r="843" spans="1:27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/>
    </row>
    <row r="844" spans="1:27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  <c r="AA844" s="39" t="s">
        <v>3592</v>
      </c>
    </row>
    <row r="845" spans="1:27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/>
    </row>
    <row r="846" spans="1:27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  <c r="AA846" s="39" t="s">
        <v>3592</v>
      </c>
    </row>
    <row r="847" spans="1:27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/>
    </row>
    <row r="848" spans="1:27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  <c r="AA848" s="39" t="s">
        <v>3592</v>
      </c>
    </row>
    <row r="849" spans="1:27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  <c r="AA849" s="39" t="s">
        <v>3592</v>
      </c>
    </row>
    <row r="850" spans="1:27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/>
    </row>
    <row r="851" spans="1:27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/>
    </row>
    <row r="852" spans="1:27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/>
    </row>
    <row r="853" spans="1:27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1317</v>
      </c>
      <c r="V853" s="24">
        <v>1</v>
      </c>
      <c r="W853" s="24"/>
      <c r="X853" t="s">
        <v>7</v>
      </c>
      <c r="Y853" t="s">
        <v>16</v>
      </c>
      <c r="AA853" s="39" t="s">
        <v>3592</v>
      </c>
    </row>
    <row r="854" spans="1:27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/>
    </row>
    <row r="855" spans="1:27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/>
    </row>
    <row r="856" spans="1:27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/>
    </row>
    <row r="857" spans="1:27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/>
    </row>
    <row r="858" spans="1:27" hidden="1" x14ac:dyDescent="0.25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</row>
    <row r="859" spans="1:27" x14ac:dyDescent="0.25">
      <c r="C859" t="e">
        <f>VLOOKUP(bron[[#This Row],[personeelsnr]],'data hastus'!$A:$C,2,0)</f>
        <v>#N/A</v>
      </c>
      <c r="D859" t="e">
        <f>VLOOKUP(bron[[#This Row],[personeelsnr]],'data hastus'!$A:$C,3,0)</f>
        <v>#N/A</v>
      </c>
      <c r="E859" t="e">
        <f>VLOOKUP(bron[[#This Row],[personeelsnr]],'data hastus'!A:K,11,FALSE)</f>
        <v>#N/A</v>
      </c>
      <c r="F859" s="10"/>
      <c r="G859" s="7"/>
      <c r="H859" s="7"/>
      <c r="I859" s="7"/>
      <c r="S859" s="5">
        <f>SUM(bron[[#This Row],[Januari]:[December]])</f>
        <v>0</v>
      </c>
      <c r="V859" s="24"/>
      <c r="W859" s="24"/>
      <c r="AA859" s="39" t="s">
        <v>3592</v>
      </c>
    </row>
  </sheetData>
  <sheetProtection sort="0" autoFilter="0"/>
  <phoneticPr fontId="1" type="noConversion"/>
  <conditionalFormatting sqref="F2:F859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3547</v>
      </c>
      <c r="C17" s="8" t="s">
        <v>3548</v>
      </c>
    </row>
    <row r="18" spans="1:3" x14ac:dyDescent="0.25">
      <c r="A18">
        <v>4691</v>
      </c>
      <c r="B18" t="s">
        <v>1474</v>
      </c>
      <c r="C18" s="8" t="s">
        <v>3549</v>
      </c>
    </row>
    <row r="19" spans="1:3" x14ac:dyDescent="0.25">
      <c r="A19">
        <v>22812</v>
      </c>
      <c r="B19" t="s">
        <v>1572</v>
      </c>
      <c r="C19" s="8" t="s">
        <v>3550</v>
      </c>
    </row>
    <row r="20" spans="1:3" x14ac:dyDescent="0.25">
      <c r="A20">
        <v>25875</v>
      </c>
      <c r="B20" t="s">
        <v>3551</v>
      </c>
      <c r="C20" s="8" t="s">
        <v>3552</v>
      </c>
    </row>
    <row r="21" spans="1:3" x14ac:dyDescent="0.25">
      <c r="A21">
        <v>10905</v>
      </c>
      <c r="B21" t="s">
        <v>3553</v>
      </c>
      <c r="C21" s="8" t="s">
        <v>3554</v>
      </c>
    </row>
    <row r="22" spans="1:3" x14ac:dyDescent="0.25">
      <c r="A22">
        <v>17552</v>
      </c>
      <c r="B22" t="s">
        <v>3555</v>
      </c>
      <c r="C22" s="8" t="s">
        <v>3556</v>
      </c>
    </row>
    <row r="23" spans="1:3" x14ac:dyDescent="0.25">
      <c r="A23">
        <v>29544</v>
      </c>
      <c r="B23" t="s">
        <v>3557</v>
      </c>
      <c r="C23" s="8" t="s">
        <v>3558</v>
      </c>
    </row>
    <row r="24" spans="1:3" x14ac:dyDescent="0.25">
      <c r="A24">
        <v>14537</v>
      </c>
      <c r="B24" t="s">
        <v>3399</v>
      </c>
      <c r="C24" s="8" t="s">
        <v>3559</v>
      </c>
    </row>
    <row r="25" spans="1:3" x14ac:dyDescent="0.25">
      <c r="A25">
        <v>16707</v>
      </c>
      <c r="B25" t="s">
        <v>1474</v>
      </c>
      <c r="C25" s="8" t="s">
        <v>3560</v>
      </c>
    </row>
    <row r="26" spans="1:3" x14ac:dyDescent="0.25">
      <c r="A26">
        <v>7848</v>
      </c>
      <c r="B26" t="s">
        <v>2538</v>
      </c>
      <c r="C26" s="8" t="s">
        <v>3561</v>
      </c>
    </row>
    <row r="27" spans="1:3" x14ac:dyDescent="0.25">
      <c r="A27">
        <v>32710</v>
      </c>
      <c r="B27" t="s">
        <v>3067</v>
      </c>
      <c r="C27" s="8" t="s">
        <v>3562</v>
      </c>
    </row>
    <row r="28" spans="1:3" x14ac:dyDescent="0.25">
      <c r="A28">
        <v>20541</v>
      </c>
      <c r="B28" t="s">
        <v>1835</v>
      </c>
      <c r="C28" s="8" t="s">
        <v>3563</v>
      </c>
    </row>
    <row r="29" spans="1:3" x14ac:dyDescent="0.25">
      <c r="A29">
        <v>26202</v>
      </c>
      <c r="B29" t="s">
        <v>3564</v>
      </c>
      <c r="C29" s="8" t="s">
        <v>3565</v>
      </c>
    </row>
    <row r="30" spans="1:3" x14ac:dyDescent="0.25">
      <c r="A30">
        <v>27081</v>
      </c>
      <c r="B30" t="s">
        <v>3566</v>
      </c>
      <c r="C30" s="8" t="s">
        <v>3567</v>
      </c>
    </row>
    <row r="31" spans="1:3" x14ac:dyDescent="0.25">
      <c r="A31">
        <v>24577</v>
      </c>
      <c r="B31" t="s">
        <v>3568</v>
      </c>
      <c r="C31" s="8" t="s">
        <v>3569</v>
      </c>
    </row>
    <row r="32" spans="1:3" x14ac:dyDescent="0.25">
      <c r="A32">
        <v>29909</v>
      </c>
      <c r="B32" t="s">
        <v>3570</v>
      </c>
      <c r="C32" s="8" t="s">
        <v>3571</v>
      </c>
    </row>
    <row r="33" spans="1:3" x14ac:dyDescent="0.25">
      <c r="A33">
        <v>31154</v>
      </c>
      <c r="B33" t="s">
        <v>3572</v>
      </c>
      <c r="C33" s="8" t="s">
        <v>3573</v>
      </c>
    </row>
    <row r="34" spans="1:3" x14ac:dyDescent="0.25">
      <c r="A34">
        <v>4707</v>
      </c>
      <c r="B34" t="s">
        <v>1953</v>
      </c>
      <c r="C34" s="8" t="s">
        <v>3574</v>
      </c>
    </row>
    <row r="35" spans="1:3" x14ac:dyDescent="0.25">
      <c r="A35">
        <v>8538</v>
      </c>
      <c r="B35" t="s">
        <v>1935</v>
      </c>
      <c r="C35" s="8" t="s">
        <v>3575</v>
      </c>
    </row>
    <row r="36" spans="1:3" x14ac:dyDescent="0.25">
      <c r="A36">
        <v>27105</v>
      </c>
      <c r="B36" t="s">
        <v>3576</v>
      </c>
      <c r="C36" s="8" t="s">
        <v>3577</v>
      </c>
    </row>
    <row r="37" spans="1:3" x14ac:dyDescent="0.25">
      <c r="A37">
        <v>4692</v>
      </c>
      <c r="B37" t="s">
        <v>3067</v>
      </c>
      <c r="C37" s="8" t="s">
        <v>3578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25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2025-09-17T08:35:16Z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