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22" documentId="13_ncr:1_{10FCACA5-8197-478D-90D3-5F83063FB753}" xr6:coauthVersionLast="47" xr6:coauthVersionMax="47" xr10:uidLastSave="{9BF5C3B8-4AC5-467E-9C9E-69B0661DFA81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3" r:id="rId10"/>
    <pivotCache cacheId="43" r:id="rId11"/>
    <pivotCache cacheId="42" r:id="rId12"/>
    <pivotCache cacheId="5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93" i="1" l="1"/>
  <c r="B994" i="1"/>
  <c r="B995" i="1"/>
  <c r="B996" i="1"/>
  <c r="B997" i="1"/>
  <c r="B998" i="1"/>
  <c r="B999" i="1"/>
  <c r="B1000" i="1"/>
  <c r="B1001" i="1"/>
  <c r="C1001" i="1"/>
  <c r="D1001" i="1"/>
  <c r="E1001" i="1"/>
  <c r="S1001" i="1"/>
  <c r="C1000" i="1"/>
  <c r="D1000" i="1"/>
  <c r="E1000" i="1"/>
  <c r="S1000" i="1"/>
  <c r="C999" i="1"/>
  <c r="D999" i="1"/>
  <c r="E999" i="1"/>
  <c r="S999" i="1"/>
  <c r="C998" i="1"/>
  <c r="D998" i="1"/>
  <c r="E998" i="1"/>
  <c r="S998" i="1"/>
  <c r="C997" i="1"/>
  <c r="D997" i="1"/>
  <c r="E997" i="1"/>
  <c r="S997" i="1"/>
  <c r="C996" i="1"/>
  <c r="D996" i="1"/>
  <c r="E996" i="1"/>
  <c r="S996" i="1"/>
  <c r="C995" i="1"/>
  <c r="D995" i="1"/>
  <c r="E995" i="1"/>
  <c r="S995" i="1"/>
  <c r="C994" i="1"/>
  <c r="D994" i="1"/>
  <c r="E994" i="1"/>
  <c r="S994" i="1"/>
  <c r="C993" i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<sst xmlns="http://schemas.openxmlformats.org/spreadsheetml/2006/main" count="13956" uniqueCount="4544">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</sst>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8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5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34">
      <pivotArea field="5" type="button" dataOnly="0" labelOnly="1" outline="0" axis="axisRow" fieldPosition="0"/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26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7"/>
    <tableColumn id="5" xr3:uid="{DF37AD45-FC5C-478A-989D-9143E744CEEA}" name="voornaam" dataDxfId="46">
      <calculatedColumnFormula>VLOOKUP(Tabel2[[#This Row],[nr]],'data hastus'!A:C,3,FALSE)</calculatedColumnFormula>
    </tableColumn>
    <tableColumn id="6" xr3:uid="{4098FAFB-9B09-4A81-8B22-18CC90B5F979}" name="achternaam" dataDxfId="4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44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4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2"/>
    <tableColumn id="11" xr3:uid="{97ECF1D5-48DC-4487-B3C2-17232CC8E19E}" name="Januari" dataDxfId="41"/>
    <tableColumn id="12" xr3:uid="{7B2FF520-A575-45C0-BB5A-19B87DDB4EA0}" name="Februari" dataDxfId="40"/>
    <tableColumn id="13" xr3:uid="{4E6C30D1-FB72-4AB2-900F-14A3D53F34DE}" name="Maart" dataDxfId="3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8">
      <calculatedColumnFormula>SUM(bron[[#This Row],[Januari]:[December]])</calculatedColumnFormula>
    </tableColumn>
    <tableColumn id="10" xr3:uid="{8D9646BD-38B6-4F4D-9859-B3933369346B}" name="Datum" dataDxfId="3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6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8">
      <calculatedColumnFormula>YEAR(TODAY()) - YEAR(E2) - (IF(DATE(YEAR(TODAY()), MONTH(E2), DAY(E2)) &gt; TODAY(), 1, 0))</calculatedColumnFormula>
    </tableColumn>
    <tableColumn id="5" xr3:uid="{4C697650-E57C-44EB-9139-9D19E4E44782}" name="aantal schades" dataDxfId="27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2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24"/>
    <tableColumn id="2" xr3:uid="{B74D5419-AF77-4013-9D4D-A27CB821A194}" name="Voornaam" dataDxfId="23"/>
    <tableColumn id="3" xr3:uid="{8AFF5D53-02DB-4104-8133-50DD6E1299B8}" name="Achternaam" dataDxfId="22"/>
    <tableColumn id="4" xr3:uid="{B76D7E71-E174-470B-9D6C-5440B7A4886F}" name="Personeelsnummer" dataDxfId="21"/>
    <tableColumn id="6" xr3:uid="{944F1A33-FEB0-4FC2-8D2C-B7C202DA92D5}" name="Team Coach" dataDxfId="20"/>
    <tableColumn id="7" xr3:uid="{5B917C88-1EEB-48B9-9CA7-608DFC8F40C2}" name="Datum in dienst" dataDxfId="19"/>
    <tableColumn id="10" xr3:uid="{3501E25E-962A-4C61-8F65-B8F428AE63EB}" name="Dienstjaren" dataDxfId="18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abSelected="1" topLeftCell="A9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zoomScale="85" zoomScaleNormal="85" workbookViewId="0">
      <pane ySplit="1" topLeftCell="A961" activePane="bottomLeft" state="frozen"/>
      <selection activeCell="F1" sqref="F1"/>
      <selection pane="bottomLeft" activeCell="B992" sqref="B992:B100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27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27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27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27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27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27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27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27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27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27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27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27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27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27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27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27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27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27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2:28" x14ac:dyDescent="0.25">
      <c r="B993" t="e">
        <f>_xlfn.CONCAT(bron[[#This Row],[personeelsnr]]," ",bron[[#This Row],[achternaam]]," ",bron[[#This Row],[voornaam]])</f>
        <v>#N/A</v>
      </c>
      <c r="C993" t="e">
        <f>VLOOKUP(bron[[#This Row],[personeelsnr]],'data hastus'!$A:$C,2,0)</f>
        <v>#N/A</v>
      </c>
      <c r="D993" t="e">
        <f>VLOOKUP(bron[[#This Row],[personeelsnr]],'data hastus'!$A:$C,3,0)</f>
        <v>#N/A</v>
      </c>
      <c r="E993" s="2" t="e">
        <f>VLOOKUP(bron[[#This Row],[personeelsnr]],'data hastus'!A:K,11,FALSE)</f>
        <v>#N/A</v>
      </c>
      <c r="F993" s="10"/>
      <c r="G993" s="28"/>
      <c r="H993" s="28"/>
      <c r="I993" s="28"/>
      <c r="S993" s="44">
        <f>SUM(bron[[#This Row],[Januari]:[December]])</f>
        <v>0</v>
      </c>
      <c r="V993" s="26"/>
      <c r="W993" s="26"/>
      <c r="AB993" s="43">
        <f>COUNTIF(B:B,bron[[#This Row],[volledige naam]])</f>
        <v>27</v>
      </c>
    </row>
    <row r="994" spans="2:28" x14ac:dyDescent="0.25">
      <c r="B994" t="e">
        <f>_xlfn.CONCAT(bron[[#This Row],[personeelsnr]]," ",bron[[#This Row],[achternaam]]," ",bron[[#This Row],[voornaam]])</f>
        <v>#N/A</v>
      </c>
      <c r="C994" t="e">
        <f>VLOOKUP(bron[[#This Row],[personeelsnr]],'data hastus'!$A:$C,2,0)</f>
        <v>#N/A</v>
      </c>
      <c r="D994" t="e">
        <f>VLOOKUP(bron[[#This Row],[personeelsnr]],'data hastus'!$A:$C,3,0)</f>
        <v>#N/A</v>
      </c>
      <c r="E994" s="2" t="e">
        <f>VLOOKUP(bron[[#This Row],[personeelsnr]],'data hastus'!A:K,11,FALSE)</f>
        <v>#N/A</v>
      </c>
      <c r="F994" s="10"/>
      <c r="G994" s="28"/>
      <c r="H994" s="28"/>
      <c r="I994" s="28"/>
      <c r="S994" s="44">
        <f>SUM(bron[[#This Row],[Januari]:[December]])</f>
        <v>0</v>
      </c>
      <c r="V994" s="26"/>
      <c r="W994" s="26"/>
      <c r="AB994" s="43">
        <f>COUNTIF(B:B,bron[[#This Row],[volledige naam]])</f>
        <v>27</v>
      </c>
    </row>
    <row r="995" spans="2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27</v>
      </c>
    </row>
    <row r="996" spans="2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27</v>
      </c>
    </row>
    <row r="997" spans="2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27</v>
      </c>
    </row>
    <row r="998" spans="2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27</v>
      </c>
    </row>
    <row r="999" spans="2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27</v>
      </c>
    </row>
    <row r="1000" spans="2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27</v>
      </c>
    </row>
    <row r="1001" spans="2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27</v>
      </c>
    </row>
  </sheetData>
  <sheetProtection sort="0" autoFilter="0"/>
  <phoneticPr fontId="1" type="noConversion"/>
  <conditionalFormatting sqref="F2:F1001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topLeftCell="D1" workbookViewId="0">
      <selection activeCell="H10" sqref="H1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1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2025-12-04T10:35:56Z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