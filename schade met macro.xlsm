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530" documentId="13_ncr:1_{10FCACA5-8197-478D-90D3-5F83063FB753}" xr6:coauthVersionLast="47" xr6:coauthVersionMax="47" xr10:uidLastSave="{C0FF8BD6-C243-4E37-8A68-2A996F1D0B38}"/>
  <bookViews>
    <workbookView xWindow="-14040" yWindow="-163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71" i="1" l="1"/>
  <c r="B971" i="1" s="1"/>
  <c r="D971" i="1"/>
  <c r="E971" i="1"/>
  <c r="S971" i="1"/>
  <c r="C970" i="1"/>
  <c r="B970" i="1" s="1"/>
  <c r="D970" i="1"/>
  <c r="E970" i="1"/>
  <c r="S970" i="1"/>
  <c r="C954" i="1"/>
  <c r="D954" i="1"/>
  <c r="E954" i="1"/>
  <c r="S954" i="1"/>
  <c r="C950" i="1"/>
  <c r="D950" i="1"/>
  <c r="E950" i="1"/>
  <c r="S950" i="1"/>
  <c r="C951" i="1"/>
  <c r="D951" i="1"/>
  <c r="E951" i="1"/>
  <c r="S951" i="1"/>
  <c r="C947" i="1"/>
  <c r="D947" i="1"/>
  <c r="E947" i="1"/>
  <c r="S947" i="1"/>
  <c r="C909" i="1"/>
  <c r="D909" i="1"/>
  <c r="E909" i="1"/>
  <c r="S909" i="1"/>
  <c r="C969" i="1"/>
  <c r="B969" i="1" s="1"/>
  <c r="D969" i="1"/>
  <c r="E969" i="1"/>
  <c r="S969" i="1"/>
  <c r="C968" i="1"/>
  <c r="B968" i="1" s="1"/>
  <c r="D968" i="1"/>
  <c r="E968" i="1"/>
  <c r="S968" i="1"/>
  <c r="C967" i="1"/>
  <c r="B967" i="1" s="1"/>
  <c r="D967" i="1"/>
  <c r="E967" i="1"/>
  <c r="S967" i="1"/>
  <c r="C966" i="1"/>
  <c r="B966" i="1" s="1"/>
  <c r="D966" i="1"/>
  <c r="E966" i="1"/>
  <c r="S966" i="1"/>
  <c r="C965" i="1"/>
  <c r="B965" i="1" s="1"/>
  <c r="D965" i="1"/>
  <c r="E965" i="1"/>
  <c r="S965" i="1"/>
  <c r="C964" i="1"/>
  <c r="B964" i="1" s="1"/>
  <c r="D964" i="1"/>
  <c r="E964" i="1"/>
  <c r="S964" i="1"/>
  <c r="C963" i="1"/>
  <c r="B963" i="1" s="1"/>
  <c r="D963" i="1"/>
  <c r="E963" i="1"/>
  <c r="S963" i="1"/>
  <c r="C962" i="1"/>
  <c r="D962" i="1"/>
  <c r="E962" i="1"/>
  <c r="S962" i="1"/>
  <c r="C961" i="1"/>
  <c r="B961" i="1" s="1"/>
  <c r="D961" i="1"/>
  <c r="E961" i="1"/>
  <c r="S961" i="1"/>
  <c r="C960" i="1"/>
  <c r="B960" i="1" s="1"/>
  <c r="D960" i="1"/>
  <c r="E960" i="1"/>
  <c r="S960" i="1"/>
  <c r="C958" i="1"/>
  <c r="D958" i="1"/>
  <c r="E958" i="1"/>
  <c r="S958" i="1"/>
  <c r="C959" i="1"/>
  <c r="B959" i="1" s="1"/>
  <c r="D959" i="1"/>
  <c r="E959" i="1"/>
  <c r="S959" i="1"/>
  <c r="C957" i="1"/>
  <c r="D957" i="1"/>
  <c r="E957" i="1"/>
  <c r="S957" i="1"/>
  <c r="C956" i="1"/>
  <c r="B956" i="1" s="1"/>
  <c r="D956" i="1"/>
  <c r="E956" i="1"/>
  <c r="S956" i="1"/>
  <c r="C953" i="1"/>
  <c r="D953" i="1"/>
  <c r="E953" i="1"/>
  <c r="S953" i="1"/>
  <c r="C955" i="1"/>
  <c r="D955" i="1"/>
  <c r="E955" i="1"/>
  <c r="S955" i="1"/>
  <c r="C949" i="1"/>
  <c r="D949" i="1"/>
  <c r="E949" i="1"/>
  <c r="S949" i="1"/>
  <c r="C952" i="1"/>
  <c r="D952" i="1"/>
  <c r="E952" i="1"/>
  <c r="S952" i="1"/>
  <c r="C945" i="1"/>
  <c r="D945" i="1"/>
  <c r="E945" i="1"/>
  <c r="S945" i="1"/>
  <c r="C948" i="1"/>
  <c r="D948" i="1"/>
  <c r="E948" i="1"/>
  <c r="S948" i="1"/>
  <c r="C944" i="1"/>
  <c r="D944" i="1"/>
  <c r="E944" i="1"/>
  <c r="S944" i="1"/>
  <c r="B962" i="1" l="1"/>
  <c r="B953" i="1"/>
  <c r="B949" i="1"/>
  <c r="B958" i="1"/>
  <c r="B957" i="1"/>
  <c r="B955" i="1"/>
  <c r="B947" i="1"/>
  <c r="B954" i="1"/>
  <c r="B950" i="1"/>
  <c r="B909" i="1"/>
  <c r="B951" i="1"/>
  <c r="B944" i="1"/>
  <c r="B948" i="1"/>
  <c r="B945" i="1"/>
  <c r="B952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<sst xmlns="http://schemas.openxmlformats.org/spreadsheetml/2006/main" count="8900" uniqueCount="3810">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</sst>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Steven Storm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74</c:v>
                </c:pt>
                <c:pt idx="1">
                  <c:v>67</c:v>
                </c:pt>
                <c:pt idx="2">
                  <c:v>64</c:v>
                </c:pt>
                <c:pt idx="3">
                  <c:v>54</c:v>
                </c:pt>
                <c:pt idx="4">
                  <c:v>50</c:v>
                </c:pt>
                <c:pt idx="5">
                  <c:v>38</c:v>
                </c:pt>
                <c:pt idx="6">
                  <c:v>37</c:v>
                </c:pt>
                <c:pt idx="7">
                  <c:v>37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843492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416985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9</v>
          </cell>
          <cell r="B2" t="str">
            <v>Christoff Rotty</v>
          </cell>
          <cell r="D2">
            <v>33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12</v>
          </cell>
          <cell r="B4" t="str">
            <v>Els Dewulf</v>
          </cell>
          <cell r="D4">
            <v>26</v>
          </cell>
        </row>
        <row r="5">
          <cell r="A5">
            <v>8</v>
          </cell>
          <cell r="B5" t="str">
            <v>Els Vanhoe</v>
          </cell>
          <cell r="D5">
            <v>33</v>
          </cell>
        </row>
        <row r="6">
          <cell r="A6">
            <v>7</v>
          </cell>
          <cell r="B6" t="str">
            <v>Dominique De Clercq</v>
          </cell>
          <cell r="D6">
            <v>40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29</v>
          </cell>
        </row>
        <row r="9">
          <cell r="A9">
            <v>10</v>
          </cell>
          <cell r="B9" t="str">
            <v>Kenneth De Rick</v>
          </cell>
          <cell r="D9">
            <v>26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74.381263078707" createdVersion="8" refreshedVersion="8" minRefreshableVersion="3" recordCount="965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603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42143 Rahoens Christ"/>
        <s v="26639 Engels Wendy"/>
        <s v="11023 Goethals Jeffrey"/>
        <s v="14072 Vervoort Koen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13T00:00:00" count="48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30T00:00:00"/>
        <d v="2025-10-31T00:00:00"/>
        <d v="2025-11-01T00:00:00"/>
        <d v="2025-11-02T00:00:00"/>
        <d v="2025-11-03T00:00:00"/>
        <d v="2025-10-29T00:00:00"/>
        <d v="2025-11-06T00:00:00"/>
        <d v="2025-11-04T00:00:00"/>
        <d v="2025-11-07T00:00:00"/>
        <d v="2025-11-05T00:00:00"/>
        <d v="2025-11-12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60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Port Arthurlaan"/>
        <s v="Hollenaarstraat"/>
        <s v="Zomerstraat"/>
        <s v="sint-Pietersnieuwstraat"/>
        <s v="Brugse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Gent%2041619%2003102025.pdf?csf=1&amp;web=1&amp;e=bo1zQv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7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37543"/>
    <x v="25"/>
    <s v="Öztürk"/>
    <s v="Bilgehan"/>
    <x v="1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35463"/>
    <x v="36"/>
    <s v="Vandaele"/>
    <s v="Tom"/>
    <x v="7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40362"/>
    <x v="342"/>
    <s v="Kuru"/>
    <s v="Cetin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6_001.pdf?csf=1&amp;web=1&amp;e=h2IJ5h"/>
    <m/>
    <m/>
    <x v="3"/>
    <x v="253"/>
    <n v="5935"/>
    <s v="ja"/>
  </r>
  <r>
    <n v="42143"/>
    <x v="400"/>
    <s v="Rahoens"/>
    <s v="Christ"/>
    <x v="4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7_001.pdf?csf=1&amp;web=1&amp;e=mhozH3"/>
    <m/>
    <m/>
    <x v="3"/>
    <x v="253"/>
    <n v="550821"/>
    <s v="ja"/>
  </r>
  <r>
    <n v="41384"/>
    <x v="332"/>
    <s v="Hillaert"/>
    <s v="Thimo"/>
    <x v="5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26639"/>
    <x v="401"/>
    <s v="Engels"/>
    <s v="Wendy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38%20Gent%2002112025%2026639.pdf?csf=1&amp;web=1&amp;e=mhzexx"/>
    <m/>
    <m/>
    <x v="3"/>
    <x v="254"/>
    <n v="5938"/>
    <s v="ja"/>
  </r>
  <r>
    <n v="39651"/>
    <x v="196"/>
    <s v="Kallenbach"/>
    <s v="Sunn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34328"/>
    <x v="1"/>
    <s v="Kerremans"/>
    <s v="Jürge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11023"/>
    <x v="402"/>
    <s v="Goethals"/>
    <s v="Jeffrey"/>
    <x v="3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38938"/>
    <x v="29"/>
    <s v="Sedighi"/>
    <s v="Hamid"/>
    <x v="6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4072"/>
    <x v="403"/>
    <s v="Vervoort"/>
    <s v="Koen"/>
    <x v="6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27209"/>
    <x v="40"/>
    <s v="Meyvaert"/>
    <s v="Steve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39379"/>
    <x v="167"/>
    <s v="Bensalah"/>
    <s v="Mohammed"/>
    <x v="5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2620"/>
    <x v="105"/>
    <s v="Saey"/>
    <s v="Elias"/>
    <x v="3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6"/>
    </i>
    <i>
      <x v="13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99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axis="axisRow" showAll="0" sortType="descending">
      <items count="261">
        <item m="1" x="259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58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87">
    <i>
      <x v="25"/>
    </i>
    <i>
      <x v="62"/>
    </i>
    <i>
      <x v="189"/>
    </i>
    <i>
      <x v="190"/>
    </i>
    <i>
      <x v="63"/>
    </i>
    <i>
      <x v="168"/>
    </i>
    <i>
      <x v="223"/>
    </i>
    <i>
      <x v="37"/>
    </i>
    <i>
      <x v="147"/>
    </i>
    <i>
      <x v="188"/>
    </i>
    <i>
      <x v="146"/>
    </i>
    <i>
      <x v="134"/>
    </i>
    <i>
      <x v="209"/>
    </i>
    <i>
      <x v="43"/>
    </i>
    <i>
      <x v="91"/>
    </i>
    <i>
      <x v="77"/>
    </i>
    <i>
      <x v="23"/>
    </i>
    <i>
      <x v="35"/>
    </i>
    <i>
      <x v="42"/>
    </i>
    <i>
      <x v="218"/>
    </i>
    <i>
      <x v="90"/>
    </i>
    <i>
      <x v="196"/>
    </i>
    <i>
      <x v="88"/>
    </i>
    <i>
      <x v="119"/>
    </i>
    <i>
      <x v="144"/>
    </i>
    <i>
      <x v="47"/>
    </i>
    <i>
      <x v="186"/>
    </i>
    <i>
      <x v="64"/>
    </i>
    <i>
      <x v="3"/>
    </i>
    <i>
      <x v="66"/>
    </i>
    <i>
      <x v="151"/>
    </i>
    <i>
      <x v="30"/>
    </i>
    <i>
      <x v="187"/>
    </i>
    <i>
      <x v="95"/>
    </i>
    <i>
      <x v="50"/>
    </i>
    <i>
      <x v="103"/>
    </i>
    <i>
      <x v="137"/>
    </i>
    <i>
      <x v="24"/>
    </i>
    <i>
      <x v="242"/>
    </i>
    <i>
      <x v="192"/>
    </i>
    <i>
      <x v="102"/>
    </i>
    <i>
      <x v="255"/>
    </i>
    <i>
      <x v="118"/>
    </i>
    <i>
      <x v="128"/>
    </i>
    <i>
      <x v="239"/>
    </i>
    <i>
      <x v="129"/>
    </i>
    <i>
      <x v="17"/>
    </i>
    <i>
      <x v="132"/>
    </i>
    <i>
      <x v="197"/>
    </i>
    <i>
      <x v="133"/>
    </i>
    <i>
      <x v="220"/>
    </i>
    <i>
      <x v="33"/>
    </i>
    <i>
      <x v="231"/>
    </i>
    <i>
      <x v="136"/>
    </i>
    <i>
      <x v="244"/>
    </i>
    <i>
      <x v="26"/>
    </i>
    <i>
      <x v="16"/>
    </i>
    <i>
      <x v="5"/>
    </i>
    <i>
      <x v="45"/>
    </i>
    <i>
      <x v="6"/>
    </i>
    <i>
      <x v="82"/>
    </i>
    <i>
      <x v="241"/>
    </i>
    <i>
      <x v="201"/>
    </i>
    <i>
      <x v="31"/>
    </i>
    <i>
      <x v="54"/>
    </i>
    <i>
      <x v="155"/>
    </i>
    <i>
      <x v="222"/>
    </i>
    <i>
      <x v="38"/>
    </i>
    <i>
      <x v="224"/>
    </i>
    <i>
      <x v="181"/>
    </i>
    <i>
      <x v="237"/>
    </i>
    <i>
      <x v="183"/>
    </i>
    <i>
      <x v="240"/>
    </i>
    <i>
      <x v="184"/>
    </i>
    <i>
      <x v="81"/>
    </i>
    <i>
      <x v="15"/>
    </i>
    <i>
      <x v="247"/>
    </i>
    <i>
      <x v="123"/>
    </i>
    <i>
      <x v="127"/>
    </i>
    <i>
      <x v="138"/>
    </i>
    <i>
      <x v="213"/>
    </i>
    <i>
      <x v="248"/>
    </i>
    <i>
      <x v="232"/>
    </i>
    <i>
      <x v="61"/>
    </i>
    <i>
      <x v="202"/>
    </i>
    <i>
      <x v="12"/>
    </i>
    <i>
      <x v="109"/>
    </i>
    <i>
      <x v="14"/>
    </i>
    <i>
      <x v="55"/>
    </i>
    <i>
      <x v="131"/>
    </i>
    <i>
      <x v="256"/>
    </i>
    <i>
      <x v="7"/>
    </i>
    <i>
      <x v="207"/>
    </i>
    <i>
      <x v="65"/>
    </i>
    <i>
      <x v="52"/>
    </i>
    <i>
      <x v="41"/>
    </i>
    <i>
      <x v="228"/>
    </i>
    <i>
      <x v="135"/>
    </i>
    <i>
      <x v="236"/>
    </i>
    <i>
      <x v="67"/>
    </i>
    <i>
      <x v="122"/>
    </i>
    <i>
      <x v="68"/>
    </i>
    <i>
      <x v="252"/>
    </i>
    <i>
      <x v="257"/>
    </i>
    <i>
      <x v="200"/>
    </i>
    <i>
      <x v="258"/>
    </i>
    <i>
      <x v="205"/>
    </i>
    <i>
      <x v="2"/>
    </i>
    <i>
      <x v="211"/>
    </i>
    <i>
      <x v="74"/>
    </i>
    <i>
      <x v="216"/>
    </i>
    <i>
      <x v="145"/>
    </i>
    <i>
      <x v="104"/>
    </i>
    <i>
      <x v="9"/>
    </i>
    <i>
      <x v="226"/>
    </i>
    <i>
      <x v="78"/>
    </i>
    <i>
      <x v="230"/>
    </i>
    <i>
      <x v="148"/>
    </i>
    <i>
      <x v="234"/>
    </i>
    <i>
      <x v="149"/>
    </i>
    <i>
      <x v="238"/>
    </i>
    <i>
      <x v="79"/>
    </i>
    <i>
      <x v="121"/>
    </i>
    <i>
      <x v="29"/>
    </i>
    <i>
      <x v="246"/>
    </i>
    <i>
      <x v="157"/>
    </i>
    <i>
      <x v="250"/>
    </i>
    <i>
      <x v="158"/>
    </i>
    <i>
      <x v="254"/>
    </i>
    <i>
      <x v="160"/>
    </i>
    <i>
      <x v="199"/>
    </i>
    <i>
      <x v="162"/>
    </i>
    <i>
      <x v="100"/>
    </i>
    <i>
      <x v="163"/>
    </i>
    <i>
      <x v="203"/>
    </i>
    <i>
      <x v="166"/>
    </i>
    <i>
      <x v="206"/>
    </i>
    <i>
      <x v="11"/>
    </i>
    <i>
      <x v="101"/>
    </i>
    <i>
      <x v="169"/>
    </i>
    <i>
      <x v="212"/>
    </i>
    <i>
      <x v="170"/>
    </i>
    <i>
      <x v="215"/>
    </i>
    <i>
      <x v="173"/>
    </i>
    <i>
      <x v="217"/>
    </i>
    <i>
      <x v="175"/>
    </i>
    <i>
      <x v="34"/>
    </i>
    <i>
      <x v="176"/>
    </i>
    <i>
      <x v="108"/>
    </i>
    <i>
      <x v="177"/>
    </i>
    <i>
      <x v="225"/>
    </i>
    <i>
      <x v="180"/>
    </i>
    <i>
      <x v="227"/>
    </i>
    <i>
      <x v="84"/>
    </i>
    <i>
      <x v="229"/>
    </i>
    <i>
      <x v="86"/>
    </i>
    <i>
      <x v="111"/>
    </i>
    <i>
      <x v="87"/>
    </i>
    <i>
      <x v="233"/>
    </i>
    <i>
      <x v="185"/>
    </i>
    <i>
      <x v="235"/>
    </i>
    <i>
      <x v="46"/>
    </i>
    <i>
      <x v="112"/>
    </i>
    <i>
      <x v="89"/>
    </i>
    <i>
      <x v="113"/>
    </i>
    <i>
      <x v="19"/>
    </i>
    <i>
      <x v="58"/>
    </i>
    <i>
      <x v="49"/>
    </i>
    <i>
      <x v="243"/>
    </i>
    <i>
      <x v="22"/>
    </i>
    <i>
      <x v="245"/>
    </i>
    <i>
      <x v="97"/>
    </i>
    <i>
      <x v="60"/>
    </i>
    <i>
      <x v="193"/>
    </i>
    <i>
      <x v="249"/>
    </i>
    <i>
      <x v="194"/>
    </i>
    <i>
      <x v="251"/>
    </i>
    <i>
      <x v="195"/>
    </i>
    <i>
      <x v="253"/>
    </i>
    <i>
      <x v="98"/>
    </i>
    <i>
      <x v="125"/>
    </i>
    <i>
      <x v="99"/>
    </i>
    <i>
      <x v="126"/>
    </i>
    <i>
      <x v="198"/>
    </i>
    <i>
      <x v="259"/>
    </i>
    <i>
      <x v="141"/>
    </i>
    <i>
      <x v="142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68" firstHeaderRow="1" firstDataRow="1" firstDataCol="1"/>
  <pivotFields count="30">
    <pivotField showAll="0"/>
    <pivotField axis="axisRow" showAll="0" sortType="descending">
      <items count="604">
        <item m="1" x="587"/>
        <item m="1" x="602"/>
        <item m="1" x="450"/>
        <item x="137"/>
        <item x="45"/>
        <item m="1" x="529"/>
        <item x="360"/>
        <item x="376"/>
        <item x="402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57"/>
        <item x="178"/>
        <item x="132"/>
        <item m="1" x="513"/>
        <item m="1" x="475"/>
        <item x="53"/>
        <item x="266"/>
        <item m="1" x="452"/>
        <item m="1" x="458"/>
        <item m="1" x="468"/>
        <item m="1" x="573"/>
        <item x="403"/>
        <item x="158"/>
        <item m="1" x="530"/>
        <item x="339"/>
        <item x="160"/>
        <item m="1" x="574"/>
        <item x="129"/>
        <item m="1" x="489"/>
        <item x="392"/>
        <item x="398"/>
        <item x="11"/>
        <item x="85"/>
        <item x="330"/>
        <item m="1" x="462"/>
        <item x="26"/>
        <item x="229"/>
        <item m="1" x="531"/>
        <item x="128"/>
        <item m="1" x="430"/>
        <item m="1" x="507"/>
        <item x="393"/>
        <item m="1" x="582"/>
        <item m="1" x="546"/>
        <item x="94"/>
        <item x="226"/>
        <item x="257"/>
        <item m="1" x="556"/>
        <item x="230"/>
        <item x="247"/>
        <item m="1" x="493"/>
        <item m="1" x="532"/>
        <item m="1" x="533"/>
        <item m="1" x="534"/>
        <item x="244"/>
        <item x="9"/>
        <item x="145"/>
        <item x="271"/>
        <item m="1" x="486"/>
        <item x="357"/>
        <item m="1" x="535"/>
        <item m="1" x="482"/>
        <item x="248"/>
        <item m="1" x="435"/>
        <item m="1" x="404"/>
        <item m="1" x="557"/>
        <item m="1" x="469"/>
        <item x="144"/>
        <item x="80"/>
        <item m="1" x="514"/>
        <item x="34"/>
        <item x="149"/>
        <item m="1" x="494"/>
        <item x="288"/>
        <item m="1" x="477"/>
        <item m="1" x="495"/>
        <item m="1" x="442"/>
        <item m="1" x="436"/>
        <item m="1" x="445"/>
        <item x="100"/>
        <item x="12"/>
        <item x="177"/>
        <item m="1" x="470"/>
        <item x="225"/>
        <item m="1" x="575"/>
        <item x="23"/>
        <item m="1" x="476"/>
        <item x="391"/>
        <item x="395"/>
        <item m="1" x="427"/>
        <item m="1" x="598"/>
        <item x="65"/>
        <item m="1" x="490"/>
        <item x="370"/>
        <item m="1" x="558"/>
        <item m="1" x="576"/>
        <item x="170"/>
        <item x="117"/>
        <item m="1" x="496"/>
        <item m="1" x="515"/>
        <item x="92"/>
        <item m="1" x="592"/>
        <item x="268"/>
        <item m="1" x="559"/>
        <item m="1" x="497"/>
        <item m="1" x="547"/>
        <item m="1" x="498"/>
        <item m="1" x="478"/>
        <item x="63"/>
        <item x="168"/>
        <item m="1" x="405"/>
        <item m="1" x="577"/>
        <item m="1" x="456"/>
        <item x="83"/>
        <item x="254"/>
        <item m="1" x="499"/>
        <item x="219"/>
        <item m="1" x="500"/>
        <item x="262"/>
        <item m="1" x="596"/>
        <item x="364"/>
        <item x="77"/>
        <item x="162"/>
        <item m="1" x="419"/>
        <item x="346"/>
        <item x="118"/>
        <item x="245"/>
        <item m="1" x="471"/>
        <item x="350"/>
        <item m="1" x="455"/>
        <item m="1" x="536"/>
        <item m="1" x="516"/>
        <item m="1" x="548"/>
        <item x="146"/>
        <item x="191"/>
        <item m="1" x="583"/>
        <item m="1" x="465"/>
        <item m="1" x="407"/>
        <item x="213"/>
        <item m="1" x="517"/>
        <item x="317"/>
        <item m="1" x="460"/>
        <item x="60"/>
        <item x="192"/>
        <item m="1" x="479"/>
        <item m="1" x="518"/>
        <item x="134"/>
        <item x="275"/>
        <item m="1" x="480"/>
        <item x="307"/>
        <item x="367"/>
        <item m="1" x="431"/>
        <item x="399"/>
        <item x="82"/>
        <item x="54"/>
        <item x="224"/>
        <item m="1" x="472"/>
        <item x="180"/>
        <item m="1" x="483"/>
        <item x="79"/>
        <item x="279"/>
        <item m="1" x="461"/>
        <item x="209"/>
        <item x="84"/>
        <item m="1" x="560"/>
        <item x="33"/>
        <item m="1" x="561"/>
        <item m="1" x="464"/>
        <item m="1" x="466"/>
        <item x="401"/>
        <item x="338"/>
        <item m="1" x="549"/>
        <item x="252"/>
        <item m="1" x="584"/>
        <item x="90"/>
        <item x="32"/>
        <item x="68"/>
        <item m="1" x="537"/>
        <item x="40"/>
        <item m="1" x="519"/>
        <item m="1" x="508"/>
        <item x="202"/>
        <item x="323"/>
        <item x="397"/>
        <item m="1" x="520"/>
        <item x="56"/>
        <item m="1" x="593"/>
        <item m="1" x="569"/>
        <item m="1" x="570"/>
        <item m="1" x="446"/>
        <item m="1" x="562"/>
        <item x="108"/>
        <item x="274"/>
        <item x="173"/>
        <item m="1" x="437"/>
        <item x="171"/>
        <item m="1" x="521"/>
        <item x="293"/>
        <item x="103"/>
        <item m="1" x="438"/>
        <item x="386"/>
        <item m="1" x="538"/>
        <item x="246"/>
        <item x="152"/>
        <item m="1" x="600"/>
        <item x="222"/>
        <item m="1" x="484"/>
        <item x="343"/>
        <item x="291"/>
        <item x="325"/>
        <item m="1" x="509"/>
        <item m="1" x="564"/>
        <item x="233"/>
        <item x="227"/>
        <item x="28"/>
        <item x="352"/>
        <item m="1" x="565"/>
        <item x="123"/>
        <item m="1" x="585"/>
        <item m="1" x="408"/>
        <item x="217"/>
        <item x="122"/>
        <item x="234"/>
        <item m="1" x="426"/>
        <item x="30"/>
        <item x="4"/>
        <item x="302"/>
        <item x="337"/>
        <item x="186"/>
        <item x="86"/>
        <item x="189"/>
        <item m="1" x="563"/>
        <item m="1" x="566"/>
        <item x="258"/>
        <item m="1" x="567"/>
        <item x="99"/>
        <item m="1" x="568"/>
        <item x="374"/>
        <item x="200"/>
        <item m="1" x="539"/>
        <item x="20"/>
        <item x="153"/>
        <item x="24"/>
        <item x="27"/>
        <item x="347"/>
        <item x="315"/>
        <item x="292"/>
        <item m="1" x="540"/>
        <item x="195"/>
        <item m="1" x="501"/>
        <item x="312"/>
        <item x="55"/>
        <item x="175"/>
        <item m="1" x="578"/>
        <item x="81"/>
        <item x="163"/>
        <item x="300"/>
        <item x="105"/>
        <item x="73"/>
        <item m="1" x="597"/>
        <item x="316"/>
        <item x="96"/>
        <item x="91"/>
        <item x="223"/>
        <item x="124"/>
        <item m="1" x="510"/>
        <item m="1" x="441"/>
        <item x="269"/>
        <item m="1" x="502"/>
        <item m="1" x="428"/>
        <item x="71"/>
        <item m="1" x="447"/>
        <item x="157"/>
        <item x="289"/>
        <item x="115"/>
        <item x="42"/>
        <item x="93"/>
        <item m="1" x="601"/>
        <item x="52"/>
        <item x="1"/>
        <item x="114"/>
        <item x="104"/>
        <item x="22"/>
        <item m="1" x="473"/>
        <item x="361"/>
        <item m="1" x="439"/>
        <item x="164"/>
        <item m="1" x="429"/>
        <item m="1" x="550"/>
        <item x="49"/>
        <item x="88"/>
        <item x="58"/>
        <item x="142"/>
        <item x="298"/>
        <item m="1" x="551"/>
        <item x="136"/>
        <item m="1" x="594"/>
        <item x="241"/>
        <item x="161"/>
        <item x="287"/>
        <item m="1" x="503"/>
        <item m="1" x="552"/>
        <item x="231"/>
        <item x="198"/>
        <item x="113"/>
        <item x="36"/>
        <item x="281"/>
        <item x="267"/>
        <item x="159"/>
        <item m="1" x="443"/>
        <item x="295"/>
        <item x="197"/>
        <item x="214"/>
        <item x="304"/>
        <item m="1" x="541"/>
        <item x="228"/>
        <item x="62"/>
        <item m="1" x="579"/>
        <item m="1" x="491"/>
        <item x="362"/>
        <item x="333"/>
        <item x="232"/>
        <item x="50"/>
        <item x="46"/>
        <item m="1" x="553"/>
        <item x="176"/>
        <item m="1" x="444"/>
        <item m="1" x="412"/>
        <item x="255"/>
        <item m="1" x="487"/>
        <item m="1" x="422"/>
        <item x="259"/>
        <item x="181"/>
        <item x="110"/>
        <item x="239"/>
        <item x="141"/>
        <item m="1" x="459"/>
        <item m="1" x="474"/>
        <item x="182"/>
        <item x="250"/>
        <item x="203"/>
        <item m="1" x="406"/>
        <item x="351"/>
        <item x="148"/>
        <item m="1" x="432"/>
        <item x="13"/>
        <item x="19"/>
        <item x="48"/>
        <item x="260"/>
        <item x="308"/>
        <item m="1" x="454"/>
        <item x="151"/>
        <item x="314"/>
        <item x="169"/>
        <item x="334"/>
        <item x="102"/>
        <item x="377"/>
        <item m="1" x="448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1"/>
        <item x="318"/>
        <item x="150"/>
        <item x="130"/>
        <item x="121"/>
        <item x="31"/>
        <item x="305"/>
        <item m="1" x="522"/>
        <item m="1" x="420"/>
        <item m="1" x="504"/>
        <item x="3"/>
        <item x="57"/>
        <item x="101"/>
        <item x="38"/>
        <item m="1" x="523"/>
        <item x="210"/>
        <item x="388"/>
        <item x="16"/>
        <item x="301"/>
        <item x="190"/>
        <item x="10"/>
        <item x="70"/>
        <item x="135"/>
        <item m="1" x="580"/>
        <item x="321"/>
        <item x="319"/>
        <item x="107"/>
        <item x="37"/>
        <item x="15"/>
        <item x="29"/>
        <item x="64"/>
        <item x="66"/>
        <item x="17"/>
        <item m="1" x="524"/>
        <item m="1" x="421"/>
        <item x="8"/>
        <item x="35"/>
        <item x="7"/>
        <item x="59"/>
        <item m="1" x="449"/>
        <item m="1" x="463"/>
        <item x="276"/>
        <item x="41"/>
        <item x="167"/>
        <item x="143"/>
        <item x="166"/>
        <item x="165"/>
        <item x="75"/>
        <item m="1" x="423"/>
        <item x="2"/>
        <item x="172"/>
        <item x="69"/>
        <item x="196"/>
        <item x="95"/>
        <item x="76"/>
        <item m="1" x="451"/>
        <item x="18"/>
        <item x="303"/>
        <item x="72"/>
        <item m="1" x="586"/>
        <item x="201"/>
        <item x="47"/>
        <item m="1" x="590"/>
        <item x="111"/>
        <item x="285"/>
        <item x="344"/>
        <item x="324"/>
        <item x="188"/>
        <item x="14"/>
        <item x="184"/>
        <item x="120"/>
        <item m="1" x="433"/>
        <item x="147"/>
        <item x="119"/>
        <item x="67"/>
        <item x="109"/>
        <item x="284"/>
        <item m="1" x="434"/>
        <item m="1" x="595"/>
        <item x="251"/>
        <item x="205"/>
        <item x="156"/>
        <item m="1" x="589"/>
        <item x="273"/>
        <item x="131"/>
        <item x="127"/>
        <item x="236"/>
        <item x="235"/>
        <item m="1" x="525"/>
        <item x="78"/>
        <item m="1" x="572"/>
        <item x="133"/>
        <item x="87"/>
        <item m="1" x="526"/>
        <item x="193"/>
        <item x="221"/>
        <item x="243"/>
        <item x="342"/>
        <item x="326"/>
        <item m="1" x="467"/>
        <item x="179"/>
        <item x="253"/>
        <item x="309"/>
        <item x="263"/>
        <item x="174"/>
        <item x="204"/>
        <item x="154"/>
        <item m="1" x="542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8"/>
        <item x="280"/>
        <item x="237"/>
        <item x="265"/>
        <item x="311"/>
        <item x="283"/>
        <item x="249"/>
        <item x="278"/>
        <item x="332"/>
        <item x="329"/>
        <item m="1" x="591"/>
        <item x="299"/>
        <item x="313"/>
        <item m="1" x="453"/>
        <item x="331"/>
        <item x="328"/>
        <item x="341"/>
        <item x="327"/>
        <item x="340"/>
        <item x="348"/>
        <item x="355"/>
        <item m="1" x="527"/>
        <item x="256"/>
        <item m="1" x="481"/>
        <item x="320"/>
        <item x="349"/>
        <item m="1" x="440"/>
        <item m="1" x="599"/>
        <item m="1" x="492"/>
        <item m="1" x="511"/>
        <item x="21"/>
        <item m="1" x="543"/>
        <item m="1" x="581"/>
        <item x="89"/>
        <item x="112"/>
        <item x="211"/>
        <item x="44"/>
        <item m="1" x="488"/>
        <item m="1" x="554"/>
        <item m="1" x="505"/>
        <item x="277"/>
        <item m="1" x="424"/>
        <item x="138"/>
        <item m="1" x="544"/>
        <item x="336"/>
        <item m="1" x="555"/>
        <item x="185"/>
        <item m="1" x="528"/>
        <item x="206"/>
        <item m="1" x="506"/>
        <item x="74"/>
        <item x="106"/>
        <item m="1" x="545"/>
        <item m="1" x="425"/>
        <item x="373"/>
        <item x="125"/>
        <item x="306"/>
        <item m="1" x="512"/>
        <item x="286"/>
        <item m="1" x="485"/>
        <item h="1" m="1" x="411"/>
        <item h="1" m="1" x="414"/>
        <item h="1" m="1" x="413"/>
        <item h="1" m="1" x="417"/>
        <item h="1" m="1" x="416"/>
        <item h="1" m="1" x="415"/>
        <item h="1" m="1" x="418"/>
        <item h="1" x="43"/>
        <item h="1" x="0"/>
        <item x="359"/>
        <item x="363"/>
        <item x="353"/>
        <item x="366"/>
        <item h="1" m="1" x="409"/>
        <item h="1" m="1" x="410"/>
        <item x="365"/>
        <item x="368"/>
        <item x="369"/>
        <item h="1" x="371"/>
        <item h="1" x="372"/>
        <item h="1" x="375"/>
        <item h="1" x="378"/>
        <item h="1" x="379"/>
        <item h="1" x="380"/>
        <item h="1" x="381"/>
        <item h="1" x="382"/>
        <item h="1" x="383"/>
        <item h="1" x="384"/>
        <item h="1" x="385"/>
        <item h="1" x="387"/>
        <item h="1" x="389"/>
        <item h="1" x="394"/>
        <item h="1" x="396"/>
        <item h="1" x="40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56">
    <i>
      <x v="473"/>
    </i>
    <i>
      <x v="511"/>
    </i>
    <i>
      <x v="58"/>
    </i>
    <i>
      <x v="501"/>
    </i>
    <i>
      <x v="90"/>
    </i>
    <i>
      <x v="512"/>
    </i>
    <i>
      <x v="507"/>
    </i>
    <i>
      <x v="503"/>
    </i>
    <i>
      <x v="497"/>
    </i>
    <i>
      <x v="523"/>
    </i>
    <i>
      <x v="342"/>
    </i>
    <i>
      <x v="202"/>
    </i>
    <i>
      <x v="380"/>
    </i>
    <i>
      <x v="531"/>
    </i>
    <i>
      <x v="504"/>
    </i>
    <i>
      <x v="438"/>
    </i>
    <i>
      <x v="514"/>
    </i>
    <i>
      <x v="440"/>
    </i>
    <i>
      <x v="156"/>
    </i>
    <i>
      <x v="520"/>
    </i>
    <i>
      <x v="280"/>
    </i>
    <i>
      <x v="471"/>
    </i>
    <i>
      <x v="325"/>
    </i>
    <i>
      <x v="118"/>
    </i>
    <i>
      <x v="358"/>
    </i>
    <i>
      <x v="478"/>
    </i>
    <i>
      <x v="517"/>
    </i>
    <i>
      <x v="481"/>
    </i>
    <i>
      <x v="483"/>
    </i>
    <i>
      <x v="442"/>
    </i>
    <i>
      <x v="579"/>
    </i>
    <i>
      <x v="472"/>
    </i>
    <i>
      <x v="267"/>
    </i>
    <i>
      <x v="496"/>
    </i>
    <i>
      <x v="101"/>
    </i>
    <i>
      <x v="518"/>
    </i>
    <i>
      <x v="355"/>
    </i>
    <i>
      <x v="219"/>
    </i>
    <i>
      <x v="112"/>
    </i>
    <i>
      <x v="502"/>
    </i>
    <i>
      <x v="362"/>
    </i>
    <i>
      <x v="81"/>
    </i>
    <i>
      <x v="372"/>
    </i>
    <i>
      <x v="529"/>
    </i>
    <i>
      <x v="374"/>
    </i>
    <i>
      <x v="207"/>
    </i>
    <i>
      <x v="375"/>
    </i>
    <i>
      <x v="490"/>
    </i>
    <i>
      <x v="377"/>
    </i>
    <i>
      <x v="498"/>
    </i>
    <i>
      <x v="43"/>
    </i>
    <i>
      <x v="266"/>
    </i>
    <i>
      <x v="397"/>
    </i>
    <i>
      <x v="510"/>
    </i>
    <i>
      <x v="405"/>
    </i>
    <i>
      <x v="309"/>
    </i>
    <i>
      <x v="407"/>
    </i>
    <i>
      <x v="521"/>
    </i>
    <i>
      <x v="411"/>
    </i>
    <i>
      <x v="188"/>
    </i>
    <i>
      <x v="148"/>
    </i>
    <i>
      <x v="69"/>
    </i>
    <i>
      <x v="581"/>
    </i>
    <i>
      <x v="480"/>
    </i>
    <i>
      <x v="417"/>
    </i>
    <i>
      <x v="232"/>
    </i>
    <i>
      <x v="428"/>
    </i>
    <i>
      <x v="494"/>
    </i>
    <i>
      <x v="431"/>
    </i>
    <i>
      <x v="240"/>
    </i>
    <i>
      <x v="432"/>
    </i>
    <i>
      <x v="250"/>
    </i>
    <i>
      <x v="435"/>
    </i>
    <i>
      <x v="255"/>
    </i>
    <i>
      <x v="11"/>
    </i>
    <i>
      <x v="506"/>
    </i>
    <i>
      <x v="157"/>
    </i>
    <i>
      <x v="508"/>
    </i>
    <i>
      <x v="184"/>
    </i>
    <i>
      <x v="270"/>
    </i>
    <i>
      <x v="447"/>
    </i>
    <i>
      <x v="513"/>
    </i>
    <i>
      <x v="451"/>
    </i>
    <i>
      <x v="317"/>
    </i>
    <i>
      <x v="452"/>
    </i>
    <i>
      <x v="18"/>
    </i>
    <i>
      <x v="460"/>
    </i>
    <i>
      <x v="333"/>
    </i>
    <i>
      <x v="469"/>
    </i>
    <i>
      <x v="341"/>
    </i>
    <i>
      <x v="470"/>
    </i>
    <i>
      <x v="412"/>
    </i>
    <i>
      <x v="415"/>
    </i>
    <i>
      <x v="348"/>
    </i>
    <i>
      <x v="247"/>
    </i>
    <i>
      <x v="185"/>
    </i>
    <i>
      <x v="167"/>
    </i>
    <i>
      <x v="83"/>
    </i>
    <i>
      <x v="489"/>
    </i>
    <i>
      <x v="282"/>
    </i>
    <i>
      <x v="7"/>
    </i>
    <i>
      <x v="283"/>
    </i>
    <i>
      <x v="446"/>
    </i>
    <i>
      <x v="285"/>
    </i>
    <i>
      <x v="9"/>
    </i>
    <i>
      <x v="288"/>
    </i>
    <i>
      <x v="236"/>
    </i>
    <i>
      <x v="289"/>
    </i>
    <i>
      <x v="262"/>
    </i>
    <i>
      <x v="290"/>
    </i>
    <i>
      <x v="563"/>
    </i>
    <i>
      <x v="292"/>
    </i>
    <i>
      <x v="173"/>
    </i>
    <i>
      <x v="294"/>
    </i>
    <i>
      <x v="182"/>
    </i>
    <i>
      <x v="303"/>
    </i>
    <i>
      <x v="40"/>
    </i>
    <i>
      <x v="305"/>
    </i>
    <i>
      <x v="51"/>
    </i>
    <i>
      <x v="307"/>
    </i>
    <i>
      <x v="227"/>
    </i>
    <i>
      <x v="308"/>
    </i>
    <i>
      <x v="239"/>
    </i>
    <i>
      <x v="17"/>
    </i>
    <i>
      <x v="515"/>
    </i>
    <i>
      <x v="312"/>
    </i>
    <i>
      <x v="525"/>
    </i>
    <i>
      <x v="314"/>
    </i>
    <i>
      <x v="542"/>
    </i>
    <i>
      <x v="315"/>
    </i>
    <i>
      <x v="14"/>
    </i>
    <i>
      <x v="316"/>
    </i>
    <i>
      <x v="170"/>
    </i>
    <i>
      <x v="97"/>
    </i>
    <i>
      <x v="443"/>
    </i>
    <i>
      <x v="320"/>
    </i>
    <i>
      <x v="449"/>
    </i>
    <i>
      <x v="321"/>
    </i>
    <i>
      <x v="453"/>
    </i>
    <i>
      <x v="323"/>
    </i>
    <i>
      <x v="465"/>
    </i>
    <i>
      <x v="98"/>
    </i>
    <i>
      <x v="193"/>
    </i>
    <i>
      <x v="329"/>
    </i>
    <i>
      <x v="217"/>
    </i>
    <i>
      <x v="330"/>
    </i>
    <i>
      <x v="486"/>
    </i>
    <i>
      <x v="8"/>
    </i>
    <i>
      <x v="224"/>
    </i>
    <i>
      <x v="338"/>
    </i>
    <i>
      <x v="499"/>
    </i>
    <i>
      <x v="103"/>
    </i>
    <i>
      <x v="238"/>
    </i>
    <i>
      <x v="19"/>
    </i>
    <i>
      <x v="243"/>
    </i>
    <i>
      <x v="344"/>
    </i>
    <i>
      <x v="254"/>
    </i>
    <i>
      <x v="584"/>
    </i>
    <i>
      <x v="256"/>
    </i>
    <i>
      <x v="585"/>
    </i>
    <i>
      <x v="67"/>
    </i>
    <i>
      <x v="6"/>
    </i>
    <i>
      <x v="527"/>
    </i>
    <i>
      <x v="353"/>
    </i>
    <i>
      <x v="533"/>
    </i>
    <i>
      <x v="26"/>
    </i>
    <i>
      <x v="553"/>
    </i>
    <i>
      <x v="356"/>
    </i>
    <i>
      <x v="567"/>
    </i>
    <i>
      <x v="357"/>
    </i>
    <i>
      <x v="273"/>
    </i>
    <i>
      <x v="119"/>
    </i>
    <i>
      <x v="437"/>
    </i>
    <i>
      <x v="359"/>
    </i>
    <i>
      <x v="439"/>
    </i>
    <i>
      <x v="126"/>
    </i>
    <i>
      <x v="179"/>
    </i>
    <i>
      <x v="363"/>
    </i>
    <i>
      <x v="444"/>
    </i>
    <i>
      <x v="364"/>
    </i>
    <i>
      <x v="180"/>
    </i>
    <i>
      <x v="366"/>
    </i>
    <i>
      <x v="450"/>
    </i>
    <i>
      <x v="368"/>
    </i>
    <i>
      <x v="39"/>
    </i>
    <i>
      <x v="369"/>
    </i>
    <i>
      <x v="459"/>
    </i>
    <i>
      <x v="128"/>
    </i>
    <i>
      <x v="462"/>
    </i>
    <i>
      <x v="373"/>
    </i>
    <i>
      <x v="467"/>
    </i>
    <i>
      <x v="130"/>
    </i>
    <i>
      <x v="192"/>
    </i>
    <i>
      <x v="131"/>
    </i>
    <i>
      <x v="41"/>
    </i>
    <i>
      <x v="376"/>
    </i>
    <i>
      <x v="210"/>
    </i>
    <i>
      <x v="132"/>
    </i>
    <i>
      <x v="218"/>
    </i>
    <i>
      <x v="134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0"/>
    </i>
    <i>
      <x v="389"/>
    </i>
    <i>
      <x v="55"/>
    </i>
    <i>
      <x v="392"/>
    </i>
    <i>
      <x v="237"/>
    </i>
    <i>
      <x v="138"/>
    </i>
    <i>
      <x v="505"/>
    </i>
    <i>
      <x v="398"/>
    </i>
    <i>
      <x v="10"/>
    </i>
    <i>
      <x v="402"/>
    </i>
    <i>
      <x v="245"/>
    </i>
    <i>
      <x v="404"/>
    </i>
    <i>
      <x v="59"/>
    </i>
    <i>
      <x v="143"/>
    </i>
    <i>
      <x v="65"/>
    </i>
    <i>
      <x v="406"/>
    </i>
    <i>
      <x v="516"/>
    </i>
    <i>
      <x v="31"/>
    </i>
    <i>
      <x v="260"/>
    </i>
    <i>
      <x v="410"/>
    </i>
    <i>
      <x v="264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34"/>
    </i>
    <i>
      <x v="534"/>
    </i>
    <i>
      <x v="37"/>
    </i>
    <i>
      <x v="549"/>
    </i>
    <i>
      <x v="427"/>
    </i>
    <i>
      <x v="559"/>
    </i>
    <i>
      <x v="159"/>
    </i>
    <i>
      <x v="565"/>
    </i>
    <i>
      <x v="429"/>
    </i>
    <i>
      <x v="578"/>
    </i>
    <i>
      <x v="430"/>
    </i>
    <i>
      <x v="580"/>
    </i>
    <i>
      <x v="160"/>
    </i>
    <i>
      <x v="277"/>
    </i>
    <i>
      <x v="162"/>
    </i>
    <i>
      <x v="586"/>
    </i>
    <i>
      <x v="350"/>
    </i>
    <i>
      <x v="35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71" totalsRowShown="0" headerRowDxfId="10">
  <autoFilter ref="A1:AA971" xr:uid="{2FDE3AF6-1CE1-4F38-BD72-1F03CD30F4FC}">
    <filterColumn colId="19">
      <filters blank="1">
        <dateGroupItem year="2025" dateTimeGrouping="year"/>
      </filters>
    </filterColumn>
  </autoFilter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C30" sqref="C30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41" style="27" bestFit="1" customWidth="1"/>
    <col min="4" max="4" width="16.7109375" style="27" bestFit="1" customWidth="1"/>
    <col min="5" max="5" width="8.85546875" style="27"/>
    <col min="6" max="6" width="31.5703125" style="27" bestFit="1" customWidth="1"/>
    <col min="7" max="7" width="16.7109375" style="27" bestFit="1" customWidth="1"/>
    <col min="8" max="8" width="5.42578125" style="27" bestFit="1" customWidth="1"/>
    <col min="9" max="9" width="19.7109375" style="27" bestFit="1" customWidth="1"/>
    <col min="10" max="10" width="16.7109375" style="27" bestFit="1" customWidth="1"/>
    <col min="11" max="12" width="10" style="27" bestFit="1" customWidth="1"/>
    <col min="13" max="13" width="7.5703125" style="27" bestFit="1" customWidth="1"/>
    <col min="14" max="14" width="7" style="27" bestFit="1" customWidth="1"/>
    <col min="15" max="15" width="2.140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9</v>
      </c>
      <c r="D13" s="45">
        <v>8</v>
      </c>
      <c r="F13" s="2" t="s">
        <v>5</v>
      </c>
      <c r="G13" s="45">
        <v>25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4</v>
      </c>
      <c r="D14" s="45">
        <v>7</v>
      </c>
      <c r="F14" s="2" t="s">
        <v>10</v>
      </c>
      <c r="G14" s="45">
        <v>19</v>
      </c>
      <c r="I14" s="2" t="s">
        <v>11</v>
      </c>
      <c r="J14" s="45">
        <v>3</v>
      </c>
      <c r="K14" s="45">
        <v>8</v>
      </c>
      <c r="L14" s="45">
        <v>16</v>
      </c>
      <c r="M14" s="45">
        <v>13</v>
      </c>
      <c r="N14" s="45">
        <v>4</v>
      </c>
      <c r="O14" s="45"/>
    </row>
    <row r="15" spans="3:19" x14ac:dyDescent="0.25">
      <c r="C15" s="2" t="s">
        <v>239</v>
      </c>
      <c r="D15" s="45">
        <v>5</v>
      </c>
      <c r="F15" s="2" t="s">
        <v>13</v>
      </c>
      <c r="G15" s="45">
        <v>12</v>
      </c>
      <c r="I15" s="2" t="s">
        <v>14</v>
      </c>
      <c r="J15" s="45">
        <v>1</v>
      </c>
      <c r="K15" s="45">
        <v>7</v>
      </c>
      <c r="L15" s="45">
        <v>18</v>
      </c>
      <c r="M15" s="45">
        <v>22</v>
      </c>
      <c r="N15" s="45">
        <v>2</v>
      </c>
      <c r="O15" s="45"/>
    </row>
    <row r="16" spans="3:19" x14ac:dyDescent="0.25">
      <c r="C16" s="34" t="s">
        <v>15</v>
      </c>
      <c r="D16" s="45">
        <v>5</v>
      </c>
      <c r="F16" s="2" t="s">
        <v>16</v>
      </c>
      <c r="G16" s="45">
        <v>12</v>
      </c>
      <c r="I16" s="2" t="s">
        <v>17</v>
      </c>
      <c r="J16" s="45">
        <v>1</v>
      </c>
      <c r="K16" s="45">
        <v>5</v>
      </c>
      <c r="L16" s="45">
        <v>19</v>
      </c>
      <c r="M16" s="45">
        <v>13</v>
      </c>
      <c r="N16" s="45">
        <v>2</v>
      </c>
      <c r="O16" s="45"/>
    </row>
    <row r="17" spans="2:15" x14ac:dyDescent="0.25">
      <c r="C17" s="32" t="s">
        <v>36</v>
      </c>
      <c r="D17" s="45">
        <v>5</v>
      </c>
      <c r="F17" s="2" t="s">
        <v>19</v>
      </c>
      <c r="G17" s="45">
        <v>12</v>
      </c>
      <c r="I17" s="2" t="s">
        <v>20</v>
      </c>
      <c r="J17" s="45">
        <v>2</v>
      </c>
      <c r="K17" s="45">
        <v>9</v>
      </c>
      <c r="L17" s="45">
        <v>13</v>
      </c>
      <c r="M17" s="45">
        <v>14</v>
      </c>
      <c r="N17" s="45">
        <v>4</v>
      </c>
      <c r="O17" s="45">
        <v>1</v>
      </c>
    </row>
    <row r="18" spans="2:15" x14ac:dyDescent="0.25">
      <c r="C18" s="31" t="s">
        <v>12</v>
      </c>
      <c r="D18" s="45">
        <v>5</v>
      </c>
      <c r="F18" s="2" t="s">
        <v>25</v>
      </c>
      <c r="G18" s="45">
        <v>10</v>
      </c>
      <c r="I18" s="2" t="s">
        <v>23</v>
      </c>
      <c r="J18" s="45"/>
      <c r="K18" s="45">
        <v>5</v>
      </c>
      <c r="L18" s="45">
        <v>9</v>
      </c>
      <c r="M18" s="45">
        <v>14</v>
      </c>
      <c r="N18" s="45">
        <v>2</v>
      </c>
      <c r="O18" s="45"/>
    </row>
    <row r="19" spans="2:15" x14ac:dyDescent="0.25">
      <c r="C19" s="34" t="s">
        <v>18</v>
      </c>
      <c r="D19" s="45">
        <v>4</v>
      </c>
      <c r="F19" s="2" t="s">
        <v>31</v>
      </c>
      <c r="G19" s="45">
        <v>10</v>
      </c>
      <c r="I19" s="2" t="s">
        <v>26</v>
      </c>
      <c r="J19" s="45">
        <v>2</v>
      </c>
      <c r="K19" s="45">
        <v>4</v>
      </c>
      <c r="L19" s="45">
        <v>16</v>
      </c>
      <c r="M19" s="45">
        <v>12</v>
      </c>
      <c r="N19" s="45">
        <v>3</v>
      </c>
      <c r="O19" s="45"/>
    </row>
    <row r="20" spans="2:15" x14ac:dyDescent="0.25">
      <c r="C20" s="2" t="s">
        <v>188</v>
      </c>
      <c r="D20" s="45">
        <v>4</v>
      </c>
      <c r="F20" s="2" t="s">
        <v>34</v>
      </c>
      <c r="G20" s="45">
        <v>8</v>
      </c>
      <c r="I20" s="2" t="s">
        <v>29</v>
      </c>
      <c r="J20" s="45">
        <v>3</v>
      </c>
      <c r="K20" s="45">
        <v>4</v>
      </c>
      <c r="L20" s="45">
        <v>11</v>
      </c>
      <c r="M20" s="45">
        <v>24</v>
      </c>
      <c r="N20" s="45">
        <v>5</v>
      </c>
      <c r="O20" s="45"/>
    </row>
    <row r="21" spans="2:15" x14ac:dyDescent="0.25">
      <c r="C21" s="31" t="s">
        <v>21</v>
      </c>
      <c r="D21" s="45">
        <v>4</v>
      </c>
      <c r="F21" s="2" t="s">
        <v>51</v>
      </c>
      <c r="G21" s="45">
        <v>8</v>
      </c>
      <c r="I21" s="2" t="s">
        <v>32</v>
      </c>
      <c r="J21" s="45">
        <v>1</v>
      </c>
      <c r="K21" s="45">
        <v>4</v>
      </c>
      <c r="L21" s="45">
        <v>5</v>
      </c>
      <c r="M21" s="45">
        <v>14</v>
      </c>
      <c r="N21" s="45">
        <v>1</v>
      </c>
      <c r="O21" s="45"/>
    </row>
    <row r="22" spans="2:15" x14ac:dyDescent="0.25">
      <c r="C22" s="34" t="s">
        <v>132</v>
      </c>
      <c r="D22" s="45">
        <v>4</v>
      </c>
      <c r="F22" s="2" t="s">
        <v>37</v>
      </c>
      <c r="G22" s="45">
        <v>7</v>
      </c>
      <c r="I22" s="2" t="s">
        <v>35</v>
      </c>
      <c r="J22" s="45"/>
      <c r="K22" s="45">
        <v>4</v>
      </c>
      <c r="L22" s="45">
        <v>8</v>
      </c>
      <c r="M22" s="45">
        <v>7</v>
      </c>
      <c r="N22" s="45">
        <v>1</v>
      </c>
      <c r="O22" s="45"/>
    </row>
    <row r="23" spans="2:15" x14ac:dyDescent="0.25">
      <c r="C23" s="34" t="s">
        <v>27</v>
      </c>
      <c r="D23" s="45">
        <v>3</v>
      </c>
      <c r="F23" s="2" t="s">
        <v>22</v>
      </c>
      <c r="G23" s="45">
        <v>7</v>
      </c>
      <c r="I23" s="2" t="s">
        <v>38</v>
      </c>
      <c r="J23" s="45"/>
      <c r="K23" s="45"/>
      <c r="L23" s="45"/>
      <c r="M23" s="45"/>
      <c r="N23" s="45"/>
      <c r="O23" s="45"/>
    </row>
    <row r="24" spans="2:15" x14ac:dyDescent="0.25">
      <c r="C24" s="34" t="s">
        <v>83</v>
      </c>
      <c r="D24" s="45">
        <v>3</v>
      </c>
      <c r="F24" s="2" t="s">
        <v>48</v>
      </c>
      <c r="G24" s="45">
        <v>7</v>
      </c>
      <c r="I24" s="2" t="s">
        <v>41</v>
      </c>
      <c r="J24" s="45"/>
      <c r="K24" s="45"/>
      <c r="L24" s="45"/>
      <c r="M24" s="45"/>
      <c r="N24" s="45"/>
      <c r="O24" s="45"/>
    </row>
    <row r="25" spans="2:15" x14ac:dyDescent="0.25">
      <c r="C25" s="34" t="s">
        <v>118</v>
      </c>
      <c r="D25" s="45">
        <v>3</v>
      </c>
      <c r="F25" s="2" t="s">
        <v>40</v>
      </c>
      <c r="G25" s="45">
        <v>7</v>
      </c>
      <c r="I25" s="2" t="s">
        <v>44</v>
      </c>
      <c r="J25" s="45"/>
      <c r="K25" s="45"/>
      <c r="L25" s="45"/>
      <c r="M25" s="45"/>
      <c r="N25" s="45"/>
      <c r="O25" s="45"/>
    </row>
    <row r="26" spans="2:15" x14ac:dyDescent="0.25">
      <c r="C26" s="34" t="s">
        <v>95</v>
      </c>
      <c r="D26" s="45">
        <v>3</v>
      </c>
      <c r="F26" s="2" t="s">
        <v>28</v>
      </c>
      <c r="G26" s="45">
        <v>7</v>
      </c>
    </row>
    <row r="27" spans="2:15" x14ac:dyDescent="0.25">
      <c r="C27" s="31" t="s">
        <v>30</v>
      </c>
      <c r="D27" s="45">
        <v>3</v>
      </c>
      <c r="F27" s="2" t="s">
        <v>46</v>
      </c>
      <c r="G27" s="45">
        <v>7</v>
      </c>
      <c r="I27" s="1" t="s">
        <v>49</v>
      </c>
      <c r="J27" t="s">
        <v>1</v>
      </c>
    </row>
    <row r="28" spans="2:15" x14ac:dyDescent="0.25">
      <c r="C28" s="34" t="s">
        <v>99</v>
      </c>
      <c r="D28" s="45">
        <v>3</v>
      </c>
      <c r="F28" s="2" t="s">
        <v>100</v>
      </c>
      <c r="G28" s="45">
        <v>6</v>
      </c>
      <c r="I28" s="2" t="s">
        <v>52</v>
      </c>
      <c r="J28" s="45">
        <v>74</v>
      </c>
    </row>
    <row r="29" spans="2:15" x14ac:dyDescent="0.25">
      <c r="C29" s="31" t="s">
        <v>39</v>
      </c>
      <c r="D29" s="45">
        <v>3</v>
      </c>
      <c r="F29" s="2" t="s">
        <v>113</v>
      </c>
      <c r="G29" s="45">
        <v>5</v>
      </c>
      <c r="I29" s="2" t="s">
        <v>55</v>
      </c>
      <c r="J29" s="45">
        <v>67</v>
      </c>
    </row>
    <row r="30" spans="2:15" x14ac:dyDescent="0.25">
      <c r="C30" s="31" t="s">
        <v>74</v>
      </c>
      <c r="D30" s="45">
        <v>3</v>
      </c>
      <c r="F30" s="2" t="s">
        <v>75</v>
      </c>
      <c r="G30" s="45">
        <v>5</v>
      </c>
      <c r="I30" s="2" t="s">
        <v>61</v>
      </c>
      <c r="J30" s="45">
        <v>64</v>
      </c>
    </row>
    <row r="31" spans="2:15" x14ac:dyDescent="0.25">
      <c r="B31" s="30">
        <f>AVERAGE(D13:D196)</f>
        <v>1.7934782608695652</v>
      </c>
      <c r="C31" s="34" t="s">
        <v>42</v>
      </c>
      <c r="D31" s="45">
        <v>3</v>
      </c>
      <c r="F31" s="2" t="s">
        <v>43</v>
      </c>
      <c r="G31" s="45">
        <v>5</v>
      </c>
      <c r="I31" s="2" t="s">
        <v>58</v>
      </c>
      <c r="J31" s="45">
        <v>54</v>
      </c>
    </row>
    <row r="32" spans="2:15" x14ac:dyDescent="0.25">
      <c r="C32" s="31" t="s">
        <v>68</v>
      </c>
      <c r="D32" s="45">
        <v>3</v>
      </c>
      <c r="F32" s="2" t="s">
        <v>84</v>
      </c>
      <c r="G32" s="45">
        <v>5</v>
      </c>
      <c r="I32" s="2" t="s">
        <v>64</v>
      </c>
      <c r="J32" s="45">
        <v>50</v>
      </c>
    </row>
    <row r="33" spans="3:15" x14ac:dyDescent="0.25">
      <c r="C33" s="33" t="s">
        <v>24</v>
      </c>
      <c r="D33" s="45">
        <v>3</v>
      </c>
      <c r="F33" s="2" t="s">
        <v>72</v>
      </c>
      <c r="G33" s="45">
        <v>5</v>
      </c>
      <c r="I33" s="2" t="s">
        <v>70</v>
      </c>
      <c r="J33" s="45">
        <v>38</v>
      </c>
    </row>
    <row r="34" spans="3:15" x14ac:dyDescent="0.25">
      <c r="C34" s="2" t="s">
        <v>223</v>
      </c>
      <c r="D34" s="45">
        <v>3</v>
      </c>
      <c r="F34" s="2" t="s">
        <v>54</v>
      </c>
      <c r="G34" s="45">
        <v>4</v>
      </c>
      <c r="I34" s="2" t="s">
        <v>67</v>
      </c>
      <c r="J34" s="45">
        <v>37</v>
      </c>
    </row>
    <row r="35" spans="3:15" x14ac:dyDescent="0.25">
      <c r="C35" s="34" t="s">
        <v>105</v>
      </c>
      <c r="D35" s="45">
        <v>3</v>
      </c>
      <c r="F35" s="2" t="s">
        <v>119</v>
      </c>
      <c r="G35" s="45">
        <v>4</v>
      </c>
      <c r="I35" s="2" t="s">
        <v>73</v>
      </c>
      <c r="J35" s="45">
        <v>37</v>
      </c>
    </row>
    <row r="36" spans="3:15" x14ac:dyDescent="0.25">
      <c r="C36" s="2" t="s">
        <v>320</v>
      </c>
      <c r="D36" s="45">
        <v>3</v>
      </c>
      <c r="F36" s="2" t="s">
        <v>81</v>
      </c>
      <c r="G36" s="45">
        <v>4</v>
      </c>
      <c r="I36" s="2" t="s">
        <v>79</v>
      </c>
      <c r="J36" s="45">
        <v>9</v>
      </c>
    </row>
    <row r="37" spans="3:15" x14ac:dyDescent="0.25">
      <c r="C37" s="34" t="s">
        <v>47</v>
      </c>
      <c r="D37" s="45">
        <v>3</v>
      </c>
      <c r="F37" s="2" t="s">
        <v>63</v>
      </c>
      <c r="G37" s="45">
        <v>3</v>
      </c>
      <c r="I37" s="2" t="s">
        <v>76</v>
      </c>
      <c r="J37" s="45">
        <v>4</v>
      </c>
    </row>
    <row r="38" spans="3:15" x14ac:dyDescent="0.25">
      <c r="C38" s="31" t="s">
        <v>45</v>
      </c>
      <c r="D38" s="45">
        <v>3</v>
      </c>
      <c r="F38" s="2" t="s">
        <v>131</v>
      </c>
      <c r="G38" s="45">
        <v>3</v>
      </c>
      <c r="I38" s="2" t="s">
        <v>82</v>
      </c>
      <c r="J38" s="45">
        <v>434</v>
      </c>
    </row>
    <row r="39" spans="3:15" x14ac:dyDescent="0.25">
      <c r="C39" s="2" t="s">
        <v>337</v>
      </c>
      <c r="D39" s="45">
        <v>3</v>
      </c>
      <c r="F39" s="2" t="s">
        <v>108</v>
      </c>
      <c r="G39" s="45">
        <v>3</v>
      </c>
      <c r="I39"/>
      <c r="J39"/>
    </row>
    <row r="40" spans="3:15" x14ac:dyDescent="0.25">
      <c r="C40" s="31" t="s">
        <v>80</v>
      </c>
      <c r="D40" s="45">
        <v>3</v>
      </c>
      <c r="F40" s="2" t="s">
        <v>748</v>
      </c>
      <c r="G40" s="45">
        <v>3</v>
      </c>
    </row>
    <row r="41" spans="3:15" x14ac:dyDescent="0.25">
      <c r="C41" s="34" t="s">
        <v>112</v>
      </c>
      <c r="D41" s="45">
        <v>3</v>
      </c>
      <c r="F41" s="2" t="s">
        <v>60</v>
      </c>
      <c r="G41" s="45">
        <v>3</v>
      </c>
      <c r="I41" s="46" t="s">
        <v>89</v>
      </c>
      <c r="J41" s="46"/>
      <c r="K41" s="46"/>
      <c r="L41" s="25"/>
      <c r="M41" s="46" t="s">
        <v>90</v>
      </c>
      <c r="N41" s="46"/>
      <c r="O41" s="46"/>
    </row>
    <row r="42" spans="3:15" x14ac:dyDescent="0.25">
      <c r="C42" s="34" t="s">
        <v>103</v>
      </c>
      <c r="D42" s="45">
        <v>3</v>
      </c>
      <c r="F42" s="2" t="s">
        <v>66</v>
      </c>
      <c r="G42" s="45">
        <v>3</v>
      </c>
      <c r="I42" s="13">
        <f>'[1]Ingeplande per TC'!$A$2</f>
        <v>9</v>
      </c>
      <c r="J42" s="13" t="str">
        <f>'[1]Ingeplande per TC'!$B$2</f>
        <v>Christoff Rotty</v>
      </c>
      <c r="K42" s="13"/>
      <c r="L42" s="25"/>
      <c r="M42" s="13">
        <f>'[1]Ingeplande per TC'!$D$2</f>
        <v>33</v>
      </c>
      <c r="N42" s="13" t="str">
        <f>'[1]Ingeplande per TC'!$B$2</f>
        <v>Christoff Rotty</v>
      </c>
      <c r="O42" s="13"/>
    </row>
    <row r="43" spans="3:15" x14ac:dyDescent="0.25">
      <c r="C43" s="2" t="s">
        <v>356</v>
      </c>
      <c r="D43" s="45">
        <v>3</v>
      </c>
      <c r="F43" s="2" t="s">
        <v>265</v>
      </c>
      <c r="G43" s="45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307</v>
      </c>
      <c r="D44" s="45">
        <v>2</v>
      </c>
      <c r="F44" s="2" t="s">
        <v>69</v>
      </c>
      <c r="G44" s="45">
        <v>3</v>
      </c>
      <c r="I44" s="13">
        <f>'[1]Ingeplande per TC'!$A$4</f>
        <v>12</v>
      </c>
      <c r="J44" s="13" t="str">
        <f>'[1]Ingeplande per TC'!$B$4</f>
        <v>Els Dewulf</v>
      </c>
      <c r="K44" s="13"/>
      <c r="L44" s="25"/>
      <c r="M44" s="13">
        <f>'[1]Ingeplande per TC'!$D$4</f>
        <v>26</v>
      </c>
      <c r="N44" s="13" t="str">
        <f>'[1]Ingeplande per TC'!$B$4</f>
        <v>Els Dewulf</v>
      </c>
      <c r="O44" s="13"/>
    </row>
    <row r="45" spans="3:15" x14ac:dyDescent="0.25">
      <c r="C45" s="2" t="s">
        <v>162</v>
      </c>
      <c r="D45" s="45">
        <v>2</v>
      </c>
      <c r="F45" s="2" t="s">
        <v>57</v>
      </c>
      <c r="G45" s="45">
        <v>3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33</v>
      </c>
      <c r="N45" s="13" t="str">
        <f>'[1]Ingeplande per TC'!$B$5</f>
        <v>Els Vanhoe</v>
      </c>
      <c r="O45" s="13"/>
    </row>
    <row r="46" spans="3:15" x14ac:dyDescent="0.25">
      <c r="C46" s="2" t="s">
        <v>235</v>
      </c>
      <c r="D46" s="45">
        <v>2</v>
      </c>
      <c r="F46" s="2" t="s">
        <v>78</v>
      </c>
      <c r="G46" s="45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40</v>
      </c>
      <c r="N46" s="13" t="str">
        <f>'[1]Ingeplande per TC'!$B$6</f>
        <v>Dominique De Clercq</v>
      </c>
      <c r="O46" s="13"/>
    </row>
    <row r="47" spans="3:15" x14ac:dyDescent="0.25">
      <c r="C47" s="2" t="s">
        <v>3664</v>
      </c>
      <c r="D47" s="45">
        <v>2</v>
      </c>
      <c r="F47" s="2" t="s">
        <v>106</v>
      </c>
      <c r="G47" s="45">
        <v>3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2" t="s">
        <v>254</v>
      </c>
      <c r="D48" s="45">
        <v>2</v>
      </c>
      <c r="F48" s="2" t="s">
        <v>163</v>
      </c>
      <c r="G48" s="45">
        <v>3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29</v>
      </c>
      <c r="N48" s="13" t="str">
        <f>'[1]Ingeplande per TC'!$B$8</f>
        <v>Lucie Vande Velde</v>
      </c>
      <c r="O48" s="13"/>
    </row>
    <row r="49" spans="3:15" x14ac:dyDescent="0.25">
      <c r="C49" s="31" t="s">
        <v>114</v>
      </c>
      <c r="D49" s="45">
        <v>2</v>
      </c>
      <c r="F49" s="2" t="s">
        <v>133</v>
      </c>
      <c r="G49" s="45">
        <v>3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26</v>
      </c>
      <c r="N49" s="13" t="str">
        <f>'[1]Ingeplande per TC'!$B$9</f>
        <v>Kenneth De Rick</v>
      </c>
      <c r="O49" s="13"/>
    </row>
    <row r="50" spans="3:15" x14ac:dyDescent="0.25">
      <c r="C50" s="2" t="s">
        <v>311</v>
      </c>
      <c r="D50" s="45">
        <v>2</v>
      </c>
      <c r="F50" s="2" t="s">
        <v>169</v>
      </c>
      <c r="G50" s="45">
        <v>3</v>
      </c>
      <c r="I50" s="14">
        <f>SUM(I42:I49)</f>
        <v>78</v>
      </c>
      <c r="J50" s="14" t="s">
        <v>109</v>
      </c>
      <c r="K50" s="14"/>
      <c r="L50" s="25"/>
      <c r="M50" s="14">
        <f>SUM(M42:M49)</f>
        <v>234</v>
      </c>
      <c r="N50" s="14" t="s">
        <v>109</v>
      </c>
      <c r="O50" s="14"/>
    </row>
    <row r="51" spans="3:15" x14ac:dyDescent="0.25">
      <c r="C51" s="31" t="s">
        <v>65</v>
      </c>
      <c r="D51" s="45">
        <v>2</v>
      </c>
      <c r="F51" s="2" t="s">
        <v>3626</v>
      </c>
      <c r="G51" s="45">
        <v>2</v>
      </c>
    </row>
    <row r="52" spans="3:15" x14ac:dyDescent="0.25">
      <c r="C52" s="34" t="s">
        <v>120</v>
      </c>
      <c r="D52" s="45">
        <v>2</v>
      </c>
      <c r="F52" s="2" t="s">
        <v>240</v>
      </c>
      <c r="G52" s="45">
        <v>2</v>
      </c>
    </row>
    <row r="53" spans="3:15" x14ac:dyDescent="0.25">
      <c r="C53" s="2" t="s">
        <v>355</v>
      </c>
      <c r="D53" s="45">
        <v>2</v>
      </c>
      <c r="F53" s="2" t="s">
        <v>487</v>
      </c>
      <c r="G53" s="45">
        <v>2</v>
      </c>
    </row>
    <row r="54" spans="3:15" x14ac:dyDescent="0.25">
      <c r="C54" s="2" t="s">
        <v>314</v>
      </c>
      <c r="D54" s="45">
        <v>2</v>
      </c>
      <c r="F54" s="2" t="s">
        <v>3754</v>
      </c>
      <c r="G54" s="45">
        <v>2</v>
      </c>
    </row>
    <row r="55" spans="3:15" x14ac:dyDescent="0.25">
      <c r="C55" s="2" t="s">
        <v>362</v>
      </c>
      <c r="D55" s="45">
        <v>2</v>
      </c>
      <c r="F55" s="2" t="s">
        <v>737</v>
      </c>
      <c r="G55" s="45">
        <v>2</v>
      </c>
    </row>
    <row r="56" spans="3:15" x14ac:dyDescent="0.25">
      <c r="C56" s="2" t="s">
        <v>3660</v>
      </c>
      <c r="D56" s="45">
        <v>2</v>
      </c>
      <c r="F56" s="2" t="s">
        <v>207</v>
      </c>
      <c r="G56" s="45">
        <v>2</v>
      </c>
    </row>
    <row r="57" spans="3:15" x14ac:dyDescent="0.25">
      <c r="C57" s="34" t="s">
        <v>138</v>
      </c>
      <c r="D57" s="45">
        <v>2</v>
      </c>
      <c r="F57" s="2" t="s">
        <v>3508</v>
      </c>
      <c r="G57" s="45">
        <v>2</v>
      </c>
    </row>
    <row r="58" spans="3:15" x14ac:dyDescent="0.25">
      <c r="C58" s="2" t="s">
        <v>309</v>
      </c>
      <c r="D58" s="45">
        <v>2</v>
      </c>
      <c r="F58" s="2" t="s">
        <v>94</v>
      </c>
      <c r="G58" s="45">
        <v>2</v>
      </c>
    </row>
    <row r="59" spans="3:15" x14ac:dyDescent="0.25">
      <c r="C59" s="2" t="s">
        <v>316</v>
      </c>
      <c r="D59" s="45">
        <v>2</v>
      </c>
      <c r="F59" s="2" t="s">
        <v>102</v>
      </c>
      <c r="G59" s="45">
        <v>2</v>
      </c>
    </row>
    <row r="60" spans="3:15" x14ac:dyDescent="0.25">
      <c r="C60" s="33" t="s">
        <v>62</v>
      </c>
      <c r="D60" s="45">
        <v>2</v>
      </c>
      <c r="F60" s="2" t="s">
        <v>218</v>
      </c>
      <c r="G60" s="45">
        <v>2</v>
      </c>
    </row>
    <row r="61" spans="3:15" x14ac:dyDescent="0.25">
      <c r="C61" s="2" t="s">
        <v>3687</v>
      </c>
      <c r="D61" s="45">
        <v>2</v>
      </c>
      <c r="F61" s="2" t="s">
        <v>578</v>
      </c>
      <c r="G61" s="45">
        <v>2</v>
      </c>
    </row>
    <row r="62" spans="3:15" x14ac:dyDescent="0.25">
      <c r="C62" s="31" t="s">
        <v>85</v>
      </c>
      <c r="D62" s="45">
        <v>2</v>
      </c>
      <c r="F62" s="2" t="s">
        <v>98</v>
      </c>
      <c r="G62" s="45">
        <v>2</v>
      </c>
    </row>
    <row r="63" spans="3:15" x14ac:dyDescent="0.25">
      <c r="C63" s="34" t="s">
        <v>53</v>
      </c>
      <c r="D63" s="45">
        <v>2</v>
      </c>
      <c r="F63" s="2" t="s">
        <v>666</v>
      </c>
      <c r="G63" s="45">
        <v>2</v>
      </c>
    </row>
    <row r="64" spans="3:15" x14ac:dyDescent="0.25">
      <c r="C64" s="2" t="s">
        <v>158</v>
      </c>
      <c r="D64" s="45">
        <v>2</v>
      </c>
      <c r="F64" s="2" t="s">
        <v>250</v>
      </c>
      <c r="G64" s="45">
        <v>2</v>
      </c>
    </row>
    <row r="65" spans="3:7" x14ac:dyDescent="0.25">
      <c r="C65" s="31" t="s">
        <v>122</v>
      </c>
      <c r="D65" s="45">
        <v>2</v>
      </c>
      <c r="F65" s="2" t="s">
        <v>199</v>
      </c>
      <c r="G65" s="45">
        <v>2</v>
      </c>
    </row>
    <row r="66" spans="3:7" x14ac:dyDescent="0.25">
      <c r="C66" s="31" t="s">
        <v>91</v>
      </c>
      <c r="D66" s="45">
        <v>2</v>
      </c>
      <c r="F66" s="2" t="s">
        <v>234</v>
      </c>
      <c r="G66" s="45">
        <v>2</v>
      </c>
    </row>
    <row r="67" spans="3:7" x14ac:dyDescent="0.25">
      <c r="C67" s="2" t="s">
        <v>340</v>
      </c>
      <c r="D67" s="45">
        <v>2</v>
      </c>
      <c r="F67" s="2" t="s">
        <v>3636</v>
      </c>
      <c r="G67" s="45">
        <v>2</v>
      </c>
    </row>
    <row r="68" spans="3:7" x14ac:dyDescent="0.25">
      <c r="C68" s="34" t="s">
        <v>101</v>
      </c>
      <c r="D68" s="45">
        <v>2</v>
      </c>
      <c r="F68" s="2" t="s">
        <v>115</v>
      </c>
      <c r="G68" s="45">
        <v>2</v>
      </c>
    </row>
    <row r="69" spans="3:7" x14ac:dyDescent="0.25">
      <c r="C69" s="34" t="s">
        <v>126</v>
      </c>
      <c r="D69" s="45">
        <v>2</v>
      </c>
      <c r="F69" s="2" t="s">
        <v>608</v>
      </c>
      <c r="G69" s="45">
        <v>2</v>
      </c>
    </row>
    <row r="70" spans="3:7" x14ac:dyDescent="0.25">
      <c r="C70" s="2" t="s">
        <v>196</v>
      </c>
      <c r="D70" s="45">
        <v>2</v>
      </c>
      <c r="F70" s="2" t="s">
        <v>226</v>
      </c>
      <c r="G70" s="45">
        <v>2</v>
      </c>
    </row>
    <row r="71" spans="3:7" x14ac:dyDescent="0.25">
      <c r="C71" s="2" t="s">
        <v>348</v>
      </c>
      <c r="D71" s="45">
        <v>2</v>
      </c>
      <c r="F71" s="2" t="s">
        <v>129</v>
      </c>
      <c r="G71" s="45">
        <v>2</v>
      </c>
    </row>
    <row r="72" spans="3:7" x14ac:dyDescent="0.25">
      <c r="C72" s="2" t="s">
        <v>3771</v>
      </c>
      <c r="D72" s="45">
        <v>2</v>
      </c>
      <c r="F72" s="2" t="s">
        <v>86</v>
      </c>
      <c r="G72" s="45">
        <v>2</v>
      </c>
    </row>
    <row r="73" spans="3:7" x14ac:dyDescent="0.25">
      <c r="C73" s="34" t="s">
        <v>71</v>
      </c>
      <c r="D73" s="45">
        <v>2</v>
      </c>
      <c r="F73" s="2" t="s">
        <v>111</v>
      </c>
      <c r="G73" s="45">
        <v>2</v>
      </c>
    </row>
    <row r="74" spans="3:7" x14ac:dyDescent="0.25">
      <c r="C74" s="2" t="s">
        <v>192</v>
      </c>
      <c r="D74" s="45">
        <v>2</v>
      </c>
      <c r="F74" s="2" t="s">
        <v>3563</v>
      </c>
      <c r="G74" s="45">
        <v>2</v>
      </c>
    </row>
    <row r="75" spans="3:7" x14ac:dyDescent="0.25">
      <c r="C75" s="2" t="s">
        <v>358</v>
      </c>
      <c r="D75" s="45">
        <v>2</v>
      </c>
      <c r="F75" s="2" t="s">
        <v>121</v>
      </c>
      <c r="G75" s="45">
        <v>2</v>
      </c>
    </row>
    <row r="76" spans="3:7" x14ac:dyDescent="0.25">
      <c r="C76" s="31" t="s">
        <v>107</v>
      </c>
      <c r="D76" s="45">
        <v>2</v>
      </c>
      <c r="F76" s="2" t="s">
        <v>1323</v>
      </c>
      <c r="G76" s="45">
        <v>2</v>
      </c>
    </row>
    <row r="77" spans="3:7" x14ac:dyDescent="0.25">
      <c r="C77" s="2" t="s">
        <v>204</v>
      </c>
      <c r="D77" s="45">
        <v>2</v>
      </c>
      <c r="F77" s="2" t="s">
        <v>125</v>
      </c>
      <c r="G77" s="45">
        <v>2</v>
      </c>
    </row>
    <row r="78" spans="3:7" x14ac:dyDescent="0.25">
      <c r="C78" s="34" t="s">
        <v>87</v>
      </c>
      <c r="D78" s="45">
        <v>2</v>
      </c>
      <c r="F78" s="2" t="s">
        <v>123</v>
      </c>
      <c r="G78" s="45">
        <v>2</v>
      </c>
    </row>
    <row r="79" spans="3:7" x14ac:dyDescent="0.25">
      <c r="C79" s="34" t="s">
        <v>134</v>
      </c>
      <c r="D79" s="45">
        <v>2</v>
      </c>
      <c r="F79" s="2" t="s">
        <v>127</v>
      </c>
      <c r="G79" s="45">
        <v>2</v>
      </c>
    </row>
    <row r="80" spans="3:7" x14ac:dyDescent="0.25">
      <c r="C80" s="34" t="s">
        <v>116</v>
      </c>
      <c r="D80" s="45">
        <v>2</v>
      </c>
      <c r="F80" s="2" t="s">
        <v>663</v>
      </c>
      <c r="G80" s="45">
        <v>2</v>
      </c>
    </row>
    <row r="81" spans="3:7" x14ac:dyDescent="0.25">
      <c r="C81" s="2" t="s">
        <v>3659</v>
      </c>
      <c r="D81" s="45">
        <v>2</v>
      </c>
      <c r="F81" s="2" t="s">
        <v>96</v>
      </c>
      <c r="G81" s="45">
        <v>2</v>
      </c>
    </row>
    <row r="82" spans="3:7" x14ac:dyDescent="0.25">
      <c r="C82" s="2" t="s">
        <v>247</v>
      </c>
      <c r="D82" s="45">
        <v>2</v>
      </c>
      <c r="F82" s="2" t="s">
        <v>104</v>
      </c>
      <c r="G82" s="45">
        <v>2</v>
      </c>
    </row>
    <row r="83" spans="3:7" x14ac:dyDescent="0.25">
      <c r="C83" s="31" t="s">
        <v>136</v>
      </c>
      <c r="D83" s="45">
        <v>2</v>
      </c>
      <c r="F83" s="2" t="s">
        <v>3502</v>
      </c>
      <c r="G83" s="45">
        <v>2</v>
      </c>
    </row>
    <row r="84" spans="3:7" x14ac:dyDescent="0.25">
      <c r="C84" s="31" t="s">
        <v>93</v>
      </c>
      <c r="D84" s="45">
        <v>2</v>
      </c>
      <c r="F84" s="2" t="s">
        <v>88</v>
      </c>
      <c r="G84" s="45">
        <v>2</v>
      </c>
    </row>
    <row r="85" spans="3:7" x14ac:dyDescent="0.25">
      <c r="C85" s="31" t="s">
        <v>56</v>
      </c>
      <c r="D85" s="45">
        <v>2</v>
      </c>
      <c r="F85" s="2" t="s">
        <v>3550</v>
      </c>
      <c r="G85" s="45">
        <v>2</v>
      </c>
    </row>
    <row r="86" spans="3:7" x14ac:dyDescent="0.25">
      <c r="C86" s="2" t="s">
        <v>347</v>
      </c>
      <c r="D86" s="45">
        <v>2</v>
      </c>
      <c r="F86" s="2" t="s">
        <v>965</v>
      </c>
      <c r="G86" s="45">
        <v>2</v>
      </c>
    </row>
    <row r="87" spans="3:7" x14ac:dyDescent="0.25">
      <c r="C87" s="2" t="s">
        <v>59</v>
      </c>
      <c r="D87" s="45">
        <v>2</v>
      </c>
      <c r="F87" s="2" t="s">
        <v>236</v>
      </c>
      <c r="G87" s="45">
        <v>2</v>
      </c>
    </row>
    <row r="88" spans="3:7" x14ac:dyDescent="0.25">
      <c r="C88" s="31" t="s">
        <v>50</v>
      </c>
      <c r="D88" s="45">
        <v>2</v>
      </c>
      <c r="F88" s="2" t="s">
        <v>117</v>
      </c>
      <c r="G88" s="45">
        <v>2</v>
      </c>
    </row>
    <row r="89" spans="3:7" x14ac:dyDescent="0.25">
      <c r="C89" s="31" t="s">
        <v>77</v>
      </c>
      <c r="D89" s="45">
        <v>2</v>
      </c>
      <c r="F89" s="2" t="s">
        <v>3658</v>
      </c>
      <c r="G89" s="45">
        <v>2</v>
      </c>
    </row>
    <row r="90" spans="3:7" x14ac:dyDescent="0.25">
      <c r="C90" s="31" t="s">
        <v>124</v>
      </c>
      <c r="D90" s="45">
        <v>2</v>
      </c>
      <c r="F90" s="2" t="s">
        <v>135</v>
      </c>
      <c r="G90" s="45">
        <v>2</v>
      </c>
    </row>
    <row r="91" spans="3:7" x14ac:dyDescent="0.25">
      <c r="C91" s="2" t="s">
        <v>282</v>
      </c>
      <c r="D91" s="45">
        <v>2</v>
      </c>
      <c r="F91" s="2" t="s">
        <v>92</v>
      </c>
      <c r="G91" s="45">
        <v>2</v>
      </c>
    </row>
    <row r="92" spans="3:7" x14ac:dyDescent="0.25">
      <c r="C92" s="2" t="s">
        <v>170</v>
      </c>
      <c r="D92" s="45">
        <v>2</v>
      </c>
      <c r="F92" s="2" t="s">
        <v>242</v>
      </c>
      <c r="G92" s="45">
        <v>2</v>
      </c>
    </row>
    <row r="93" spans="3:7" x14ac:dyDescent="0.25">
      <c r="C93" s="2" t="s">
        <v>144</v>
      </c>
      <c r="D93" s="45">
        <v>2</v>
      </c>
      <c r="F93" s="2" t="s">
        <v>271</v>
      </c>
      <c r="G93" s="45">
        <v>1</v>
      </c>
    </row>
    <row r="94" spans="3:7" x14ac:dyDescent="0.25">
      <c r="C94" s="31" t="s">
        <v>128</v>
      </c>
      <c r="D94" s="45">
        <v>2</v>
      </c>
      <c r="F94" s="2" t="s">
        <v>3707</v>
      </c>
      <c r="G94" s="45">
        <v>1</v>
      </c>
    </row>
    <row r="95" spans="3:7" x14ac:dyDescent="0.25">
      <c r="C95" s="2" t="s">
        <v>215</v>
      </c>
      <c r="D95" s="45">
        <v>2</v>
      </c>
      <c r="F95" s="2" t="s">
        <v>1286</v>
      </c>
      <c r="G95" s="45">
        <v>1</v>
      </c>
    </row>
    <row r="96" spans="3:7" x14ac:dyDescent="0.25">
      <c r="C96" s="2" t="s">
        <v>229</v>
      </c>
      <c r="D96" s="45">
        <v>2</v>
      </c>
      <c r="F96" s="2" t="s">
        <v>857</v>
      </c>
      <c r="G96" s="45">
        <v>1</v>
      </c>
    </row>
    <row r="97" spans="3:7" x14ac:dyDescent="0.25">
      <c r="C97" s="2" t="s">
        <v>298</v>
      </c>
      <c r="D97" s="45">
        <v>2</v>
      </c>
      <c r="F97" s="2" t="s">
        <v>137</v>
      </c>
      <c r="G97" s="45">
        <v>1</v>
      </c>
    </row>
    <row r="98" spans="3:7" x14ac:dyDescent="0.25">
      <c r="C98" s="31" t="s">
        <v>97</v>
      </c>
      <c r="D98" s="45">
        <v>2</v>
      </c>
      <c r="F98" s="2" t="s">
        <v>283</v>
      </c>
      <c r="G98" s="45">
        <v>1</v>
      </c>
    </row>
    <row r="99" spans="3:7" x14ac:dyDescent="0.25">
      <c r="C99" s="2" t="s">
        <v>301</v>
      </c>
      <c r="D99" s="45">
        <v>2</v>
      </c>
      <c r="F99" s="2" t="s">
        <v>171</v>
      </c>
      <c r="G99" s="45">
        <v>1</v>
      </c>
    </row>
    <row r="100" spans="3:7" x14ac:dyDescent="0.25">
      <c r="C100" s="2" t="s">
        <v>245</v>
      </c>
      <c r="D100" s="45">
        <v>2</v>
      </c>
      <c r="F100" s="2" t="s">
        <v>187</v>
      </c>
      <c r="G100" s="45">
        <v>1</v>
      </c>
    </row>
    <row r="101" spans="3:7" x14ac:dyDescent="0.25">
      <c r="C101" s="2" t="s">
        <v>305</v>
      </c>
      <c r="D101" s="45">
        <v>2</v>
      </c>
      <c r="F101" s="2" t="s">
        <v>1332</v>
      </c>
      <c r="G101" s="45">
        <v>1</v>
      </c>
    </row>
    <row r="102" spans="3:7" x14ac:dyDescent="0.25">
      <c r="C102" s="2" t="s">
        <v>252</v>
      </c>
      <c r="D102" s="45">
        <v>2</v>
      </c>
      <c r="F102" s="2" t="s">
        <v>214</v>
      </c>
      <c r="G102" s="45">
        <v>1</v>
      </c>
    </row>
    <row r="103" spans="3:7" x14ac:dyDescent="0.25">
      <c r="C103" s="2" t="s">
        <v>3684</v>
      </c>
      <c r="D103" s="45">
        <v>2</v>
      </c>
      <c r="F103" s="2" t="s">
        <v>3758</v>
      </c>
      <c r="G103" s="45">
        <v>1</v>
      </c>
    </row>
    <row r="104" spans="3:7" x14ac:dyDescent="0.25">
      <c r="C104" s="31" t="s">
        <v>130</v>
      </c>
      <c r="D104" s="45">
        <v>2</v>
      </c>
      <c r="F104" s="2" t="s">
        <v>269</v>
      </c>
      <c r="G104" s="45">
        <v>1</v>
      </c>
    </row>
    <row r="105" spans="3:7" x14ac:dyDescent="0.25">
      <c r="C105" s="2" t="s">
        <v>270</v>
      </c>
      <c r="D105" s="45">
        <v>2</v>
      </c>
      <c r="F105" s="2" t="s">
        <v>263</v>
      </c>
      <c r="G105" s="45">
        <v>1</v>
      </c>
    </row>
    <row r="106" spans="3:7" x14ac:dyDescent="0.25">
      <c r="C106" s="31" t="s">
        <v>110</v>
      </c>
      <c r="D106" s="45">
        <v>2</v>
      </c>
      <c r="F106" s="2" t="s">
        <v>257</v>
      </c>
      <c r="G106" s="45">
        <v>1</v>
      </c>
    </row>
    <row r="107" spans="3:7" x14ac:dyDescent="0.25">
      <c r="C107" s="2" t="s">
        <v>3675</v>
      </c>
      <c r="D107" s="45">
        <v>1</v>
      </c>
      <c r="F107" s="2" t="s">
        <v>222</v>
      </c>
      <c r="G107" s="45">
        <v>1</v>
      </c>
    </row>
    <row r="108" spans="3:7" x14ac:dyDescent="0.25">
      <c r="C108" s="2" t="s">
        <v>3661</v>
      </c>
      <c r="D108" s="45">
        <v>1</v>
      </c>
      <c r="F108" s="2" t="s">
        <v>185</v>
      </c>
      <c r="G108" s="45">
        <v>1</v>
      </c>
    </row>
    <row r="109" spans="3:7" x14ac:dyDescent="0.25">
      <c r="C109" s="2" t="s">
        <v>344</v>
      </c>
      <c r="D109" s="45">
        <v>1</v>
      </c>
      <c r="F109" s="2" t="s">
        <v>141</v>
      </c>
      <c r="G109" s="45">
        <v>1</v>
      </c>
    </row>
    <row r="110" spans="3:7" x14ac:dyDescent="0.25">
      <c r="C110" s="2" t="s">
        <v>237</v>
      </c>
      <c r="D110" s="45">
        <v>1</v>
      </c>
      <c r="F110" s="2" t="s">
        <v>230</v>
      </c>
      <c r="G110" s="45">
        <v>1</v>
      </c>
    </row>
    <row r="111" spans="3:7" x14ac:dyDescent="0.25">
      <c r="C111" s="2" t="s">
        <v>315</v>
      </c>
      <c r="D111" s="45">
        <v>1</v>
      </c>
      <c r="F111" s="2" t="s">
        <v>3510</v>
      </c>
      <c r="G111" s="45">
        <v>1</v>
      </c>
    </row>
    <row r="112" spans="3:7" x14ac:dyDescent="0.25">
      <c r="C112" s="2" t="s">
        <v>182</v>
      </c>
      <c r="D112" s="45">
        <v>1</v>
      </c>
      <c r="F112" s="2" t="s">
        <v>293</v>
      </c>
      <c r="G112" s="45">
        <v>1</v>
      </c>
    </row>
    <row r="113" spans="3:7" x14ac:dyDescent="0.25">
      <c r="C113" s="2" t="s">
        <v>3685</v>
      </c>
      <c r="D113" s="45">
        <v>1</v>
      </c>
      <c r="F113" s="2" t="s">
        <v>1330</v>
      </c>
      <c r="G113" s="45">
        <v>1</v>
      </c>
    </row>
    <row r="114" spans="3:7" x14ac:dyDescent="0.25">
      <c r="C114" s="2" t="s">
        <v>186</v>
      </c>
      <c r="D114" s="45">
        <v>1</v>
      </c>
      <c r="F114" s="2" t="s">
        <v>139</v>
      </c>
      <c r="G114" s="45">
        <v>1</v>
      </c>
    </row>
    <row r="115" spans="3:7" x14ac:dyDescent="0.25">
      <c r="C115" s="2" t="s">
        <v>3680</v>
      </c>
      <c r="D115" s="45">
        <v>1</v>
      </c>
      <c r="F115" s="2" t="s">
        <v>3741</v>
      </c>
      <c r="G115" s="45">
        <v>1</v>
      </c>
    </row>
    <row r="116" spans="3:7" x14ac:dyDescent="0.25">
      <c r="C116" s="2" t="s">
        <v>190</v>
      </c>
      <c r="D116" s="45">
        <v>1</v>
      </c>
      <c r="F116" s="2" t="s">
        <v>3764</v>
      </c>
      <c r="G116" s="45">
        <v>1</v>
      </c>
    </row>
    <row r="117" spans="3:7" x14ac:dyDescent="0.25">
      <c r="C117" s="2" t="s">
        <v>3692</v>
      </c>
      <c r="D117" s="45">
        <v>1</v>
      </c>
      <c r="F117" s="2" t="s">
        <v>193</v>
      </c>
      <c r="G117" s="45">
        <v>1</v>
      </c>
    </row>
    <row r="118" spans="3:7" x14ac:dyDescent="0.25">
      <c r="C118" s="2" t="s">
        <v>194</v>
      </c>
      <c r="D118" s="45">
        <v>1</v>
      </c>
      <c r="F118" s="2" t="s">
        <v>3768</v>
      </c>
      <c r="G118" s="45">
        <v>1</v>
      </c>
    </row>
    <row r="119" spans="3:7" x14ac:dyDescent="0.25">
      <c r="C119" s="2" t="s">
        <v>160</v>
      </c>
      <c r="D119" s="45">
        <v>1</v>
      </c>
      <c r="F119" s="2" t="s">
        <v>197</v>
      </c>
      <c r="G119" s="45">
        <v>1</v>
      </c>
    </row>
    <row r="120" spans="3:7" x14ac:dyDescent="0.25">
      <c r="C120" s="2" t="s">
        <v>3772</v>
      </c>
      <c r="D120" s="45">
        <v>1</v>
      </c>
      <c r="F120" s="2" t="s">
        <v>297</v>
      </c>
      <c r="G120" s="45">
        <v>1</v>
      </c>
    </row>
    <row r="121" spans="3:7" x14ac:dyDescent="0.25">
      <c r="C121" s="2" t="s">
        <v>150</v>
      </c>
      <c r="D121" s="45">
        <v>1</v>
      </c>
      <c r="F121" s="2" t="s">
        <v>267</v>
      </c>
      <c r="G121" s="45">
        <v>1</v>
      </c>
    </row>
    <row r="122" spans="3:7" x14ac:dyDescent="0.25">
      <c r="C122" s="2" t="s">
        <v>198</v>
      </c>
      <c r="D122" s="45">
        <v>1</v>
      </c>
      <c r="F122" s="2" t="s">
        <v>228</v>
      </c>
      <c r="G122" s="45">
        <v>1</v>
      </c>
    </row>
    <row r="123" spans="3:7" x14ac:dyDescent="0.25">
      <c r="C123" s="2" t="s">
        <v>3695</v>
      </c>
      <c r="D123" s="45">
        <v>1</v>
      </c>
      <c r="F123" s="2" t="s">
        <v>275</v>
      </c>
      <c r="G123" s="45">
        <v>1</v>
      </c>
    </row>
    <row r="124" spans="3:7" x14ac:dyDescent="0.25">
      <c r="C124" s="2" t="s">
        <v>202</v>
      </c>
      <c r="D124" s="45">
        <v>1</v>
      </c>
      <c r="F124" s="2" t="s">
        <v>1305</v>
      </c>
      <c r="G124" s="45">
        <v>1</v>
      </c>
    </row>
    <row r="125" spans="3:7" x14ac:dyDescent="0.25">
      <c r="C125" s="2" t="s">
        <v>152</v>
      </c>
      <c r="D125" s="45">
        <v>1</v>
      </c>
      <c r="F125" s="2" t="s">
        <v>1318</v>
      </c>
      <c r="G125" s="45">
        <v>1</v>
      </c>
    </row>
    <row r="126" spans="3:7" x14ac:dyDescent="0.25">
      <c r="C126" s="2" t="s">
        <v>3663</v>
      </c>
      <c r="D126" s="45">
        <v>1</v>
      </c>
      <c r="F126" s="2" t="s">
        <v>205</v>
      </c>
      <c r="G126" s="45">
        <v>1</v>
      </c>
    </row>
    <row r="127" spans="3:7" x14ac:dyDescent="0.25">
      <c r="C127" s="2" t="s">
        <v>208</v>
      </c>
      <c r="D127" s="45">
        <v>1</v>
      </c>
      <c r="F127" s="2" t="s">
        <v>209</v>
      </c>
      <c r="G127" s="45">
        <v>1</v>
      </c>
    </row>
    <row r="128" spans="3:7" x14ac:dyDescent="0.25">
      <c r="C128" s="2" t="s">
        <v>206</v>
      </c>
      <c r="D128" s="45">
        <v>1</v>
      </c>
      <c r="F128" s="2" t="s">
        <v>232</v>
      </c>
      <c r="G128" s="45">
        <v>1</v>
      </c>
    </row>
    <row r="129" spans="3:7" x14ac:dyDescent="0.25">
      <c r="C129" s="2" t="s">
        <v>3773</v>
      </c>
      <c r="D129" s="45">
        <v>1</v>
      </c>
      <c r="F129" s="2" t="s">
        <v>195</v>
      </c>
      <c r="G129" s="45">
        <v>1</v>
      </c>
    </row>
    <row r="130" spans="3:7" x14ac:dyDescent="0.25">
      <c r="C130" s="2" t="s">
        <v>210</v>
      </c>
      <c r="D130" s="45">
        <v>1</v>
      </c>
      <c r="F130" s="2" t="s">
        <v>261</v>
      </c>
      <c r="G130" s="45">
        <v>1</v>
      </c>
    </row>
    <row r="131" spans="3:7" x14ac:dyDescent="0.25">
      <c r="C131" s="2" t="s">
        <v>3774</v>
      </c>
      <c r="D131" s="45">
        <v>1</v>
      </c>
      <c r="F131" s="2" t="s">
        <v>3504</v>
      </c>
      <c r="G131" s="45">
        <v>1</v>
      </c>
    </row>
    <row r="132" spans="3:7" x14ac:dyDescent="0.25">
      <c r="C132" s="2" t="s">
        <v>213</v>
      </c>
      <c r="D132" s="45">
        <v>1</v>
      </c>
      <c r="F132" s="2" t="s">
        <v>425</v>
      </c>
      <c r="G132" s="45">
        <v>1</v>
      </c>
    </row>
    <row r="133" spans="3:7" x14ac:dyDescent="0.25">
      <c r="C133" s="2" t="s">
        <v>3775</v>
      </c>
      <c r="D133" s="45">
        <v>1</v>
      </c>
      <c r="F133" s="2" t="s">
        <v>3557</v>
      </c>
      <c r="G133" s="45">
        <v>1</v>
      </c>
    </row>
    <row r="134" spans="3:7" x14ac:dyDescent="0.25">
      <c r="C134" s="2" t="s">
        <v>217</v>
      </c>
      <c r="D134" s="45">
        <v>1</v>
      </c>
      <c r="F134" s="2" t="s">
        <v>157</v>
      </c>
      <c r="G134" s="45">
        <v>1</v>
      </c>
    </row>
    <row r="135" spans="3:7" x14ac:dyDescent="0.25">
      <c r="C135" s="2" t="s">
        <v>329</v>
      </c>
      <c r="D135" s="45">
        <v>1</v>
      </c>
      <c r="F135" s="2" t="s">
        <v>191</v>
      </c>
      <c r="G135" s="45">
        <v>1</v>
      </c>
    </row>
    <row r="136" spans="3:7" x14ac:dyDescent="0.25">
      <c r="C136" s="2" t="s">
        <v>284</v>
      </c>
      <c r="D136" s="45">
        <v>1</v>
      </c>
      <c r="F136" s="2" t="s">
        <v>211</v>
      </c>
      <c r="G136" s="45">
        <v>1</v>
      </c>
    </row>
    <row r="137" spans="3:7" x14ac:dyDescent="0.25">
      <c r="C137" s="2" t="s">
        <v>335</v>
      </c>
      <c r="D137" s="45">
        <v>1</v>
      </c>
      <c r="F137" s="2" t="s">
        <v>3654</v>
      </c>
      <c r="G137" s="45">
        <v>1</v>
      </c>
    </row>
    <row r="138" spans="3:7" x14ac:dyDescent="0.25">
      <c r="C138" s="2" t="s">
        <v>3776</v>
      </c>
      <c r="D138" s="45">
        <v>1</v>
      </c>
      <c r="F138" s="2" t="s">
        <v>273</v>
      </c>
      <c r="G138" s="45">
        <v>1</v>
      </c>
    </row>
    <row r="139" spans="3:7" x14ac:dyDescent="0.25">
      <c r="C139" s="2" t="s">
        <v>343</v>
      </c>
      <c r="D139" s="45">
        <v>1</v>
      </c>
      <c r="F139" s="2" t="s">
        <v>3727</v>
      </c>
      <c r="G139" s="45">
        <v>1</v>
      </c>
    </row>
    <row r="140" spans="3:7" x14ac:dyDescent="0.25">
      <c r="C140" s="2" t="s">
        <v>225</v>
      </c>
      <c r="D140" s="45">
        <v>1</v>
      </c>
      <c r="F140" s="2" t="s">
        <v>277</v>
      </c>
      <c r="G140" s="45">
        <v>1</v>
      </c>
    </row>
    <row r="141" spans="3:7" x14ac:dyDescent="0.25">
      <c r="C141" s="2" t="s">
        <v>3777</v>
      </c>
      <c r="D141" s="45">
        <v>1</v>
      </c>
      <c r="F141" s="2" t="s">
        <v>3751</v>
      </c>
      <c r="G141" s="45">
        <v>1</v>
      </c>
    </row>
    <row r="142" spans="3:7" x14ac:dyDescent="0.25">
      <c r="C142" s="2" t="s">
        <v>3778</v>
      </c>
      <c r="D142" s="45">
        <v>1</v>
      </c>
      <c r="F142" s="2" t="s">
        <v>281</v>
      </c>
      <c r="G142" s="45">
        <v>1</v>
      </c>
    </row>
    <row r="143" spans="3:7" x14ac:dyDescent="0.25">
      <c r="C143" s="2" t="s">
        <v>3779</v>
      </c>
      <c r="D143" s="45">
        <v>1</v>
      </c>
      <c r="F143" s="2" t="s">
        <v>251</v>
      </c>
      <c r="G143" s="45">
        <v>1</v>
      </c>
    </row>
    <row r="144" spans="3:7" x14ac:dyDescent="0.25">
      <c r="C144" s="2" t="s">
        <v>3665</v>
      </c>
      <c r="D144" s="45">
        <v>1</v>
      </c>
      <c r="F144" s="2" t="s">
        <v>285</v>
      </c>
      <c r="G144" s="45">
        <v>1</v>
      </c>
    </row>
    <row r="145" spans="3:7" x14ac:dyDescent="0.25">
      <c r="C145" s="2" t="s">
        <v>350</v>
      </c>
      <c r="D145" s="45">
        <v>1</v>
      </c>
      <c r="F145" s="2" t="s">
        <v>155</v>
      </c>
      <c r="G145" s="45">
        <v>1</v>
      </c>
    </row>
    <row r="146" spans="3:7" x14ac:dyDescent="0.25">
      <c r="C146" s="2" t="s">
        <v>3780</v>
      </c>
      <c r="D146" s="45">
        <v>1</v>
      </c>
      <c r="F146" s="2" t="s">
        <v>289</v>
      </c>
      <c r="G146" s="45">
        <v>1</v>
      </c>
    </row>
    <row r="147" spans="3:7" x14ac:dyDescent="0.25">
      <c r="C147" s="2" t="s">
        <v>3679</v>
      </c>
      <c r="D147" s="45">
        <v>1</v>
      </c>
      <c r="F147" s="2" t="s">
        <v>259</v>
      </c>
      <c r="G147" s="45">
        <v>1</v>
      </c>
    </row>
    <row r="148" spans="3:7" x14ac:dyDescent="0.25">
      <c r="C148" s="2" t="s">
        <v>3667</v>
      </c>
      <c r="D148" s="45">
        <v>1</v>
      </c>
      <c r="F148" s="2" t="s">
        <v>623</v>
      </c>
      <c r="G148" s="45">
        <v>1</v>
      </c>
    </row>
    <row r="149" spans="3:7" x14ac:dyDescent="0.25">
      <c r="C149" s="2" t="s">
        <v>294</v>
      </c>
      <c r="D149" s="45">
        <v>1</v>
      </c>
      <c r="F149" s="2" t="s">
        <v>960</v>
      </c>
      <c r="G149" s="45">
        <v>1</v>
      </c>
    </row>
    <row r="150" spans="3:7" x14ac:dyDescent="0.25">
      <c r="C150" s="2" t="s">
        <v>3668</v>
      </c>
      <c r="D150" s="45">
        <v>1</v>
      </c>
      <c r="F150" s="2" t="s">
        <v>1289</v>
      </c>
      <c r="G150" s="45">
        <v>1</v>
      </c>
    </row>
    <row r="151" spans="3:7" x14ac:dyDescent="0.25">
      <c r="C151" s="2" t="s">
        <v>3781</v>
      </c>
      <c r="D151" s="45">
        <v>1</v>
      </c>
      <c r="F151" s="2" t="s">
        <v>159</v>
      </c>
      <c r="G151" s="45">
        <v>1</v>
      </c>
    </row>
    <row r="152" spans="3:7" x14ac:dyDescent="0.25">
      <c r="C152" s="2" t="s">
        <v>233</v>
      </c>
      <c r="D152" s="45">
        <v>1</v>
      </c>
      <c r="F152" s="2" t="s">
        <v>295</v>
      </c>
      <c r="G152" s="45">
        <v>1</v>
      </c>
    </row>
    <row r="153" spans="3:7" x14ac:dyDescent="0.25">
      <c r="C153" s="2" t="s">
        <v>303</v>
      </c>
      <c r="D153" s="45">
        <v>1</v>
      </c>
      <c r="F153" s="2" t="s">
        <v>201</v>
      </c>
      <c r="G153" s="45">
        <v>1</v>
      </c>
    </row>
    <row r="154" spans="3:7" x14ac:dyDescent="0.25">
      <c r="C154" s="2" t="s">
        <v>3782</v>
      </c>
      <c r="D154" s="45">
        <v>1</v>
      </c>
      <c r="F154" s="2" t="s">
        <v>173</v>
      </c>
      <c r="G154" s="45">
        <v>1</v>
      </c>
    </row>
    <row r="155" spans="3:7" x14ac:dyDescent="0.25">
      <c r="C155" s="2" t="s">
        <v>3783</v>
      </c>
      <c r="D155" s="45">
        <v>1</v>
      </c>
      <c r="F155" s="2" t="s">
        <v>149</v>
      </c>
      <c r="G155" s="45">
        <v>1</v>
      </c>
    </row>
    <row r="156" spans="3:7" x14ac:dyDescent="0.25">
      <c r="C156" s="2" t="s">
        <v>3669</v>
      </c>
      <c r="D156" s="45">
        <v>1</v>
      </c>
      <c r="F156" s="2" t="s">
        <v>216</v>
      </c>
      <c r="G156" s="45">
        <v>1</v>
      </c>
    </row>
    <row r="157" spans="3:7" x14ac:dyDescent="0.25">
      <c r="C157" s="2" t="s">
        <v>3670</v>
      </c>
      <c r="D157" s="45">
        <v>1</v>
      </c>
      <c r="F157" s="2" t="s">
        <v>517</v>
      </c>
      <c r="G157" s="45">
        <v>1</v>
      </c>
    </row>
    <row r="158" spans="3:7" x14ac:dyDescent="0.25">
      <c r="C158" s="2" t="s">
        <v>241</v>
      </c>
      <c r="D158" s="45">
        <v>1</v>
      </c>
      <c r="F158" s="2" t="s">
        <v>153</v>
      </c>
      <c r="G158" s="45">
        <v>1</v>
      </c>
    </row>
    <row r="159" spans="3:7" x14ac:dyDescent="0.25">
      <c r="C159" s="2" t="s">
        <v>3672</v>
      </c>
      <c r="D159" s="45">
        <v>1</v>
      </c>
      <c r="F159" s="2" t="s">
        <v>253</v>
      </c>
      <c r="G159" s="45">
        <v>1</v>
      </c>
    </row>
    <row r="160" spans="3:7" x14ac:dyDescent="0.25">
      <c r="C160" s="2" t="s">
        <v>3784</v>
      </c>
      <c r="D160" s="45">
        <v>1</v>
      </c>
      <c r="F160" s="2" t="s">
        <v>220</v>
      </c>
      <c r="G160" s="45">
        <v>1</v>
      </c>
    </row>
    <row r="161" spans="3:7" x14ac:dyDescent="0.25">
      <c r="C161" s="2" t="s">
        <v>142</v>
      </c>
      <c r="D161" s="45">
        <v>1</v>
      </c>
      <c r="F161" s="2" t="s">
        <v>167</v>
      </c>
      <c r="G161" s="45">
        <v>1</v>
      </c>
    </row>
    <row r="162" spans="3:7" x14ac:dyDescent="0.25">
      <c r="C162" s="2" t="s">
        <v>249</v>
      </c>
      <c r="D162" s="45">
        <v>1</v>
      </c>
      <c r="F162" s="2" t="s">
        <v>177</v>
      </c>
      <c r="G162" s="45">
        <v>1</v>
      </c>
    </row>
    <row r="163" spans="3:7" x14ac:dyDescent="0.25">
      <c r="C163" s="2" t="s">
        <v>321</v>
      </c>
      <c r="D163" s="45">
        <v>1</v>
      </c>
      <c r="F163" s="2" t="s">
        <v>1321</v>
      </c>
      <c r="G163" s="45">
        <v>1</v>
      </c>
    </row>
    <row r="164" spans="3:7" x14ac:dyDescent="0.25">
      <c r="C164" s="2" t="s">
        <v>3666</v>
      </c>
      <c r="D164" s="45">
        <v>1</v>
      </c>
      <c r="F164" s="2" t="s">
        <v>224</v>
      </c>
      <c r="G164" s="45">
        <v>1</v>
      </c>
    </row>
    <row r="165" spans="3:7" x14ac:dyDescent="0.25">
      <c r="C165" s="2" t="s">
        <v>327</v>
      </c>
      <c r="D165" s="45">
        <v>1</v>
      </c>
      <c r="F165" s="2" t="s">
        <v>287</v>
      </c>
      <c r="G165" s="45">
        <v>1</v>
      </c>
    </row>
    <row r="166" spans="3:7" x14ac:dyDescent="0.25">
      <c r="C166" s="2" t="s">
        <v>256</v>
      </c>
      <c r="D166" s="45">
        <v>1</v>
      </c>
      <c r="F166" s="2" t="s">
        <v>248</v>
      </c>
      <c r="G166" s="45">
        <v>1</v>
      </c>
    </row>
    <row r="167" spans="3:7" x14ac:dyDescent="0.25">
      <c r="C167" s="2" t="s">
        <v>333</v>
      </c>
      <c r="D167" s="45">
        <v>1</v>
      </c>
      <c r="F167" s="2" t="s">
        <v>291</v>
      </c>
      <c r="G167" s="45">
        <v>1</v>
      </c>
    </row>
    <row r="168" spans="3:7" x14ac:dyDescent="0.25">
      <c r="C168" s="2" t="s">
        <v>260</v>
      </c>
      <c r="D168" s="45">
        <v>1</v>
      </c>
      <c r="F168" s="2" t="s">
        <v>255</v>
      </c>
      <c r="G168" s="45">
        <v>1</v>
      </c>
    </row>
    <row r="169" spans="3:7" x14ac:dyDescent="0.25">
      <c r="C169" s="2" t="s">
        <v>341</v>
      </c>
      <c r="D169" s="45">
        <v>1</v>
      </c>
      <c r="F169" s="2" t="s">
        <v>175</v>
      </c>
      <c r="G169" s="45">
        <v>1</v>
      </c>
    </row>
    <row r="170" spans="3:7" x14ac:dyDescent="0.25">
      <c r="C170" s="2" t="s">
        <v>3677</v>
      </c>
      <c r="D170" s="45">
        <v>1</v>
      </c>
      <c r="F170" s="2" t="s">
        <v>165</v>
      </c>
      <c r="G170" s="45">
        <v>1</v>
      </c>
    </row>
    <row r="171" spans="3:7" x14ac:dyDescent="0.25">
      <c r="C171" s="2" t="s">
        <v>266</v>
      </c>
      <c r="D171" s="45">
        <v>1</v>
      </c>
      <c r="F171" s="2" t="s">
        <v>1338</v>
      </c>
      <c r="G171" s="45">
        <v>1</v>
      </c>
    </row>
    <row r="172" spans="3:7" x14ac:dyDescent="0.25">
      <c r="C172" s="2" t="s">
        <v>308</v>
      </c>
      <c r="D172" s="45">
        <v>1</v>
      </c>
      <c r="F172" s="2" t="s">
        <v>558</v>
      </c>
      <c r="G172" s="45">
        <v>1</v>
      </c>
    </row>
    <row r="173" spans="3:7" x14ac:dyDescent="0.25">
      <c r="C173" s="2" t="s">
        <v>331</v>
      </c>
      <c r="D173" s="45">
        <v>1</v>
      </c>
      <c r="F173" s="2" t="s">
        <v>3497</v>
      </c>
      <c r="G173" s="45">
        <v>1</v>
      </c>
    </row>
    <row r="174" spans="3:7" x14ac:dyDescent="0.25">
      <c r="C174" s="2" t="s">
        <v>3678</v>
      </c>
      <c r="D174" s="45">
        <v>1</v>
      </c>
      <c r="F174" s="2" t="s">
        <v>212</v>
      </c>
      <c r="G174" s="45">
        <v>1</v>
      </c>
    </row>
    <row r="175" spans="3:7" x14ac:dyDescent="0.25">
      <c r="C175" s="2" t="s">
        <v>345</v>
      </c>
      <c r="D175" s="45">
        <v>1</v>
      </c>
      <c r="F175" s="2" t="s">
        <v>179</v>
      </c>
      <c r="G175" s="45">
        <v>1</v>
      </c>
    </row>
    <row r="176" spans="3:7" x14ac:dyDescent="0.25">
      <c r="C176" s="2" t="s">
        <v>280</v>
      </c>
      <c r="D176" s="45">
        <v>1</v>
      </c>
      <c r="F176" s="2" t="s">
        <v>279</v>
      </c>
      <c r="G176" s="45">
        <v>1</v>
      </c>
    </row>
    <row r="177" spans="3:7" x14ac:dyDescent="0.25">
      <c r="C177" s="2" t="s">
        <v>200</v>
      </c>
      <c r="D177" s="45">
        <v>1</v>
      </c>
      <c r="F177" s="2" t="s">
        <v>183</v>
      </c>
      <c r="G177" s="45">
        <v>1</v>
      </c>
    </row>
    <row r="178" spans="3:7" x14ac:dyDescent="0.25">
      <c r="C178" s="2" t="s">
        <v>272</v>
      </c>
      <c r="D178" s="45">
        <v>1</v>
      </c>
      <c r="F178" s="2" t="s">
        <v>181</v>
      </c>
      <c r="G178" s="45">
        <v>1</v>
      </c>
    </row>
    <row r="179" spans="3:7" x14ac:dyDescent="0.25">
      <c r="C179" s="2" t="s">
        <v>300</v>
      </c>
      <c r="D179" s="45">
        <v>1</v>
      </c>
      <c r="F179" s="2" t="s">
        <v>533</v>
      </c>
      <c r="G179" s="45">
        <v>1</v>
      </c>
    </row>
    <row r="180" spans="3:7" x14ac:dyDescent="0.25">
      <c r="C180" s="2" t="s">
        <v>288</v>
      </c>
      <c r="D180" s="45">
        <v>1</v>
      </c>
      <c r="F180" s="2" t="s">
        <v>203</v>
      </c>
      <c r="G180" s="45">
        <v>1</v>
      </c>
    </row>
    <row r="181" spans="3:7" x14ac:dyDescent="0.25">
      <c r="C181" s="2" t="s">
        <v>354</v>
      </c>
      <c r="D181" s="45">
        <v>1</v>
      </c>
      <c r="F181" s="2" t="s">
        <v>3630</v>
      </c>
      <c r="G181" s="45">
        <v>1</v>
      </c>
    </row>
    <row r="182" spans="3:7" x14ac:dyDescent="0.25">
      <c r="C182" s="2" t="s">
        <v>292</v>
      </c>
      <c r="D182" s="45">
        <v>1</v>
      </c>
      <c r="F182" s="2" t="s">
        <v>397</v>
      </c>
      <c r="G182" s="45">
        <v>1</v>
      </c>
    </row>
    <row r="183" spans="3:7" x14ac:dyDescent="0.25">
      <c r="C183" s="2" t="s">
        <v>3698</v>
      </c>
      <c r="D183" s="45">
        <v>1</v>
      </c>
      <c r="F183" s="2" t="s">
        <v>3648</v>
      </c>
      <c r="G183" s="45">
        <v>1</v>
      </c>
    </row>
    <row r="184" spans="3:7" x14ac:dyDescent="0.25">
      <c r="C184" s="2" t="s">
        <v>3673</v>
      </c>
      <c r="D184" s="45">
        <v>1</v>
      </c>
      <c r="F184" s="2" t="s">
        <v>143</v>
      </c>
      <c r="G184" s="45">
        <v>1</v>
      </c>
    </row>
    <row r="185" spans="3:7" x14ac:dyDescent="0.25">
      <c r="C185" s="2" t="s">
        <v>3699</v>
      </c>
      <c r="D185" s="45">
        <v>1</v>
      </c>
      <c r="F185" s="2" t="s">
        <v>238</v>
      </c>
      <c r="G185" s="45">
        <v>1</v>
      </c>
    </row>
    <row r="186" spans="3:7" x14ac:dyDescent="0.25">
      <c r="C186" s="2" t="s">
        <v>353</v>
      </c>
      <c r="D186" s="45">
        <v>1</v>
      </c>
      <c r="F186" s="2" t="s">
        <v>145</v>
      </c>
      <c r="G186" s="45">
        <v>1</v>
      </c>
    </row>
    <row r="187" spans="3:7" x14ac:dyDescent="0.25">
      <c r="C187" s="2" t="s">
        <v>172</v>
      </c>
      <c r="D187" s="45">
        <v>1</v>
      </c>
      <c r="F187" s="2" t="s">
        <v>3723</v>
      </c>
      <c r="G187" s="45">
        <v>1</v>
      </c>
    </row>
    <row r="188" spans="3:7" x14ac:dyDescent="0.25">
      <c r="C188" s="2" t="s">
        <v>3674</v>
      </c>
      <c r="D188" s="45">
        <v>1</v>
      </c>
      <c r="F188" s="2" t="s">
        <v>244</v>
      </c>
      <c r="G188" s="45">
        <v>1</v>
      </c>
    </row>
    <row r="189" spans="3:7" x14ac:dyDescent="0.25">
      <c r="C189" s="2" t="s">
        <v>3785</v>
      </c>
      <c r="D189" s="45">
        <v>1</v>
      </c>
      <c r="F189" s="2" t="s">
        <v>3729</v>
      </c>
      <c r="G189" s="45">
        <v>1</v>
      </c>
    </row>
    <row r="190" spans="3:7" x14ac:dyDescent="0.25">
      <c r="C190" s="2" t="s">
        <v>357</v>
      </c>
      <c r="D190" s="45">
        <v>1</v>
      </c>
      <c r="F190" s="2" t="s">
        <v>189</v>
      </c>
      <c r="G190" s="45">
        <v>1</v>
      </c>
    </row>
    <row r="191" spans="3:7" x14ac:dyDescent="0.25">
      <c r="C191" s="2" t="s">
        <v>290</v>
      </c>
      <c r="D191" s="45">
        <v>1</v>
      </c>
      <c r="F191" s="2" t="s">
        <v>3747</v>
      </c>
      <c r="G191" s="45">
        <v>1</v>
      </c>
    </row>
    <row r="192" spans="3:7" x14ac:dyDescent="0.25">
      <c r="C192" s="2" t="s">
        <v>359</v>
      </c>
      <c r="D192" s="45">
        <v>1</v>
      </c>
      <c r="F192" s="2" t="s">
        <v>147</v>
      </c>
      <c r="G192" s="45">
        <v>1</v>
      </c>
    </row>
    <row r="193" spans="3:7" x14ac:dyDescent="0.25">
      <c r="C193" s="2" t="s">
        <v>278</v>
      </c>
      <c r="D193" s="45">
        <v>1</v>
      </c>
      <c r="F193" s="2" t="s">
        <v>815</v>
      </c>
      <c r="G193" s="45">
        <v>1</v>
      </c>
    </row>
    <row r="194" spans="3:7" x14ac:dyDescent="0.25">
      <c r="C194" s="2" t="s">
        <v>3681</v>
      </c>
      <c r="D194" s="45">
        <v>1</v>
      </c>
      <c r="F194" s="2" t="s">
        <v>151</v>
      </c>
      <c r="G194" s="45">
        <v>1</v>
      </c>
    </row>
    <row r="195" spans="3:7" x14ac:dyDescent="0.25">
      <c r="C195" s="2" t="s">
        <v>3662</v>
      </c>
      <c r="D195" s="45">
        <v>1</v>
      </c>
      <c r="F195" s="2" t="s">
        <v>299</v>
      </c>
      <c r="G195" s="45">
        <v>1</v>
      </c>
    </row>
    <row r="196" spans="3:7" x14ac:dyDescent="0.25">
      <c r="C196" s="2" t="s">
        <v>361</v>
      </c>
      <c r="D196" s="45">
        <v>1</v>
      </c>
      <c r="F196" s="2" t="s">
        <v>161</v>
      </c>
      <c r="G196" s="45">
        <v>1</v>
      </c>
    </row>
    <row r="197" spans="3:7" x14ac:dyDescent="0.25">
      <c r="C197" s="2" t="s">
        <v>3786</v>
      </c>
      <c r="D197" s="45">
        <v>1</v>
      </c>
      <c r="F197" s="2" t="s">
        <v>3770</v>
      </c>
      <c r="G197" s="45">
        <v>1</v>
      </c>
    </row>
    <row r="198" spans="3:7" x14ac:dyDescent="0.25">
      <c r="C198" s="2" t="s">
        <v>3682</v>
      </c>
      <c r="D198" s="45">
        <v>1</v>
      </c>
      <c r="F198" s="2" t="s">
        <v>1291</v>
      </c>
      <c r="G198" s="45">
        <v>1</v>
      </c>
    </row>
    <row r="199" spans="3:7" x14ac:dyDescent="0.25">
      <c r="C199" s="2" t="s">
        <v>176</v>
      </c>
      <c r="D199" s="45">
        <v>1</v>
      </c>
      <c r="F199" s="2" t="s">
        <v>246</v>
      </c>
      <c r="G199" s="45">
        <v>1</v>
      </c>
    </row>
    <row r="200" spans="3:7" x14ac:dyDescent="0.25">
      <c r="C200" s="2" t="s">
        <v>3676</v>
      </c>
      <c r="D200" s="45">
        <v>1</v>
      </c>
      <c r="F200"/>
      <c r="G200"/>
    </row>
    <row r="201" spans="3:7" x14ac:dyDescent="0.25">
      <c r="C201" s="2" t="s">
        <v>219</v>
      </c>
      <c r="D201" s="45">
        <v>1</v>
      </c>
      <c r="F201"/>
      <c r="G201"/>
    </row>
    <row r="202" spans="3:7" x14ac:dyDescent="0.25">
      <c r="C202" s="2" t="s">
        <v>312</v>
      </c>
      <c r="D202" s="45">
        <v>1</v>
      </c>
      <c r="F202"/>
      <c r="G202"/>
    </row>
    <row r="203" spans="3:7" x14ac:dyDescent="0.25">
      <c r="C203" s="2" t="s">
        <v>156</v>
      </c>
      <c r="D203" s="45">
        <v>1</v>
      </c>
      <c r="F203"/>
      <c r="G203"/>
    </row>
    <row r="204" spans="3:7" x14ac:dyDescent="0.25">
      <c r="C204" s="2" t="s">
        <v>317</v>
      </c>
      <c r="D204" s="45">
        <v>1</v>
      </c>
      <c r="F204"/>
      <c r="G204"/>
    </row>
    <row r="205" spans="3:7" x14ac:dyDescent="0.25">
      <c r="C205" s="2" t="s">
        <v>286</v>
      </c>
      <c r="D205" s="45">
        <v>1</v>
      </c>
      <c r="F205"/>
      <c r="G205"/>
    </row>
    <row r="206" spans="3:7" x14ac:dyDescent="0.25">
      <c r="C206" s="2" t="s">
        <v>339</v>
      </c>
      <c r="D206" s="45">
        <v>1</v>
      </c>
      <c r="F206"/>
      <c r="G206"/>
    </row>
    <row r="207" spans="3:7" x14ac:dyDescent="0.25">
      <c r="C207" s="2" t="s">
        <v>180</v>
      </c>
      <c r="D207" s="45">
        <v>1</v>
      </c>
      <c r="F207"/>
      <c r="G207"/>
    </row>
    <row r="208" spans="3:7" x14ac:dyDescent="0.25">
      <c r="C208" s="2" t="s">
        <v>318</v>
      </c>
      <c r="D208" s="45">
        <v>1</v>
      </c>
      <c r="F208"/>
      <c r="G208"/>
    </row>
    <row r="209" spans="3:7" x14ac:dyDescent="0.25">
      <c r="C209" s="2" t="s">
        <v>3686</v>
      </c>
      <c r="D209" s="45">
        <v>1</v>
      </c>
      <c r="F209"/>
      <c r="G209"/>
    </row>
    <row r="210" spans="3:7" x14ac:dyDescent="0.25">
      <c r="C210" s="2" t="s">
        <v>3683</v>
      </c>
      <c r="D210" s="45">
        <v>1</v>
      </c>
      <c r="F210"/>
      <c r="G210"/>
    </row>
    <row r="211" spans="3:7" x14ac:dyDescent="0.25">
      <c r="C211" s="2" t="s">
        <v>227</v>
      </c>
      <c r="D211" s="45">
        <v>1</v>
      </c>
      <c r="F211"/>
      <c r="G211"/>
    </row>
    <row r="212" spans="3:7" x14ac:dyDescent="0.25">
      <c r="C212" s="2" t="s">
        <v>178</v>
      </c>
      <c r="D212" s="45">
        <v>1</v>
      </c>
      <c r="F212"/>
      <c r="G212"/>
    </row>
    <row r="213" spans="3:7" x14ac:dyDescent="0.25">
      <c r="C213" s="2" t="s">
        <v>313</v>
      </c>
      <c r="D213" s="45">
        <v>1</v>
      </c>
      <c r="F213"/>
      <c r="G213"/>
    </row>
    <row r="214" spans="3:7" x14ac:dyDescent="0.25">
      <c r="C214" s="2" t="s">
        <v>322</v>
      </c>
      <c r="D214" s="45">
        <v>1</v>
      </c>
      <c r="F214"/>
      <c r="G214"/>
    </row>
    <row r="215" spans="3:7" x14ac:dyDescent="0.25">
      <c r="C215" s="2" t="s">
        <v>231</v>
      </c>
      <c r="D215" s="45">
        <v>1</v>
      </c>
      <c r="F215"/>
      <c r="G215"/>
    </row>
    <row r="216" spans="3:7" x14ac:dyDescent="0.25">
      <c r="C216" s="2" t="s">
        <v>324</v>
      </c>
      <c r="D216" s="45">
        <v>1</v>
      </c>
      <c r="F216"/>
      <c r="G216"/>
    </row>
    <row r="217" spans="3:7" x14ac:dyDescent="0.25">
      <c r="C217" s="2" t="s">
        <v>3688</v>
      </c>
      <c r="D217" s="45">
        <v>1</v>
      </c>
      <c r="F217"/>
      <c r="G217"/>
    </row>
    <row r="218" spans="3:7" x14ac:dyDescent="0.25">
      <c r="C218" s="2" t="s">
        <v>326</v>
      </c>
      <c r="D218" s="45">
        <v>1</v>
      </c>
      <c r="F218"/>
      <c r="G218"/>
    </row>
    <row r="219" spans="3:7" x14ac:dyDescent="0.25">
      <c r="C219" s="2" t="s">
        <v>184</v>
      </c>
      <c r="D219" s="45">
        <v>1</v>
      </c>
      <c r="F219"/>
      <c r="G219"/>
    </row>
    <row r="220" spans="3:7" x14ac:dyDescent="0.25">
      <c r="C220" s="2" t="s">
        <v>328</v>
      </c>
      <c r="D220" s="45">
        <v>1</v>
      </c>
      <c r="F220"/>
      <c r="G220"/>
    </row>
    <row r="221" spans="3:7" x14ac:dyDescent="0.25">
      <c r="C221" s="2" t="s">
        <v>3787</v>
      </c>
      <c r="D221" s="45">
        <v>1</v>
      </c>
      <c r="F221"/>
      <c r="G221"/>
    </row>
    <row r="222" spans="3:7" x14ac:dyDescent="0.25">
      <c r="C222" s="2" t="s">
        <v>330</v>
      </c>
      <c r="D222" s="45">
        <v>1</v>
      </c>
      <c r="F222"/>
      <c r="G222"/>
    </row>
    <row r="223" spans="3:7" x14ac:dyDescent="0.25">
      <c r="C223" s="2" t="s">
        <v>319</v>
      </c>
      <c r="D223" s="45">
        <v>1</v>
      </c>
      <c r="F223"/>
      <c r="G223"/>
    </row>
    <row r="224" spans="3:7" x14ac:dyDescent="0.25">
      <c r="C224" s="2" t="s">
        <v>332</v>
      </c>
      <c r="D224" s="45">
        <v>1</v>
      </c>
      <c r="F224"/>
      <c r="G224"/>
    </row>
    <row r="225" spans="3:7" x14ac:dyDescent="0.25">
      <c r="C225" s="2" t="s">
        <v>323</v>
      </c>
      <c r="D225" s="45">
        <v>1</v>
      </c>
      <c r="F225"/>
      <c r="G225"/>
    </row>
    <row r="226" spans="3:7" x14ac:dyDescent="0.25">
      <c r="C226" s="2" t="s">
        <v>221</v>
      </c>
      <c r="D226" s="45">
        <v>1</v>
      </c>
      <c r="F226"/>
      <c r="G226"/>
    </row>
    <row r="227" spans="3:7" x14ac:dyDescent="0.25">
      <c r="C227" s="2" t="s">
        <v>243</v>
      </c>
      <c r="D227" s="45">
        <v>1</v>
      </c>
      <c r="F227"/>
      <c r="G227"/>
    </row>
    <row r="228" spans="3:7" x14ac:dyDescent="0.25">
      <c r="C228" s="2" t="s">
        <v>336</v>
      </c>
      <c r="D228" s="45">
        <v>1</v>
      </c>
      <c r="F228"/>
      <c r="G228"/>
    </row>
    <row r="229" spans="3:7" x14ac:dyDescent="0.25">
      <c r="C229" s="2" t="s">
        <v>310</v>
      </c>
      <c r="D229" s="45">
        <v>1</v>
      </c>
      <c r="F229"/>
      <c r="G229"/>
    </row>
    <row r="230" spans="3:7" x14ac:dyDescent="0.25">
      <c r="C230" s="2" t="s">
        <v>3691</v>
      </c>
      <c r="D230" s="45">
        <v>1</v>
      </c>
      <c r="F230"/>
      <c r="G230"/>
    </row>
    <row r="231" spans="3:7" x14ac:dyDescent="0.25">
      <c r="C231" s="2" t="s">
        <v>3690</v>
      </c>
      <c r="D231" s="45">
        <v>1</v>
      </c>
      <c r="F231"/>
      <c r="G231"/>
    </row>
    <row r="232" spans="3:7" x14ac:dyDescent="0.25">
      <c r="C232" s="2" t="s">
        <v>338</v>
      </c>
      <c r="D232" s="45">
        <v>1</v>
      </c>
      <c r="F232"/>
      <c r="G232"/>
    </row>
    <row r="233" spans="3:7" x14ac:dyDescent="0.25">
      <c r="C233" s="2" t="s">
        <v>325</v>
      </c>
      <c r="D233" s="45">
        <v>1</v>
      </c>
      <c r="F233"/>
      <c r="G233"/>
    </row>
    <row r="234" spans="3:7" x14ac:dyDescent="0.25">
      <c r="C234" s="2" t="s">
        <v>3689</v>
      </c>
      <c r="D234" s="45">
        <v>1</v>
      </c>
      <c r="F234"/>
      <c r="G234"/>
    </row>
    <row r="235" spans="3:7" x14ac:dyDescent="0.25">
      <c r="C235" s="2" t="s">
        <v>148</v>
      </c>
      <c r="D235" s="45">
        <v>1</v>
      </c>
      <c r="F235"/>
      <c r="G235"/>
    </row>
    <row r="236" spans="3:7" x14ac:dyDescent="0.25">
      <c r="C236" s="2" t="s">
        <v>342</v>
      </c>
      <c r="D236" s="45">
        <v>1</v>
      </c>
      <c r="F236"/>
      <c r="G236"/>
    </row>
    <row r="237" spans="3:7" x14ac:dyDescent="0.25">
      <c r="C237" s="2" t="s">
        <v>164</v>
      </c>
      <c r="D237" s="45">
        <v>1</v>
      </c>
      <c r="F237"/>
      <c r="G237"/>
    </row>
    <row r="238" spans="3:7" x14ac:dyDescent="0.25">
      <c r="C238" s="2" t="s">
        <v>3788</v>
      </c>
      <c r="D238" s="45">
        <v>1</v>
      </c>
    </row>
    <row r="239" spans="3:7" x14ac:dyDescent="0.25">
      <c r="C239" s="2" t="s">
        <v>146</v>
      </c>
      <c r="D239" s="45">
        <v>1</v>
      </c>
    </row>
    <row r="240" spans="3:7" x14ac:dyDescent="0.25">
      <c r="C240" s="2" t="s">
        <v>346</v>
      </c>
      <c r="D240" s="45">
        <v>1</v>
      </c>
    </row>
    <row r="241" spans="3:4" x14ac:dyDescent="0.25">
      <c r="C241" s="2" t="s">
        <v>154</v>
      </c>
      <c r="D241" s="45">
        <v>1</v>
      </c>
    </row>
    <row r="242" spans="3:4" x14ac:dyDescent="0.25">
      <c r="C242" s="2" t="s">
        <v>264</v>
      </c>
      <c r="D242" s="45">
        <v>1</v>
      </c>
    </row>
    <row r="243" spans="3:4" x14ac:dyDescent="0.25">
      <c r="C243" s="2" t="s">
        <v>258</v>
      </c>
      <c r="D243" s="45">
        <v>1</v>
      </c>
    </row>
    <row r="244" spans="3:4" x14ac:dyDescent="0.25">
      <c r="C244" s="2" t="s">
        <v>3694</v>
      </c>
      <c r="D244" s="45">
        <v>1</v>
      </c>
    </row>
    <row r="245" spans="3:4" x14ac:dyDescent="0.25">
      <c r="C245" s="2" t="s">
        <v>140</v>
      </c>
      <c r="D245" s="45">
        <v>1</v>
      </c>
    </row>
    <row r="246" spans="3:4" x14ac:dyDescent="0.25">
      <c r="C246" s="2" t="s">
        <v>351</v>
      </c>
      <c r="D246" s="45">
        <v>1</v>
      </c>
    </row>
    <row r="247" spans="3:4" x14ac:dyDescent="0.25">
      <c r="C247" s="2" t="s">
        <v>262</v>
      </c>
      <c r="D247" s="45">
        <v>1</v>
      </c>
    </row>
    <row r="248" spans="3:4" x14ac:dyDescent="0.25">
      <c r="C248" s="2" t="s">
        <v>168</v>
      </c>
      <c r="D248" s="45">
        <v>1</v>
      </c>
    </row>
    <row r="249" spans="3:4" x14ac:dyDescent="0.25">
      <c r="C249" s="2" t="s">
        <v>166</v>
      </c>
      <c r="D249" s="45">
        <v>1</v>
      </c>
    </row>
    <row r="250" spans="3:4" x14ac:dyDescent="0.25">
      <c r="C250" s="2" t="s">
        <v>3671</v>
      </c>
      <c r="D250" s="45">
        <v>1</v>
      </c>
    </row>
    <row r="251" spans="3:4" x14ac:dyDescent="0.25">
      <c r="C251" s="2" t="s">
        <v>349</v>
      </c>
      <c r="D251" s="45">
        <v>1</v>
      </c>
    </row>
    <row r="252" spans="3:4" x14ac:dyDescent="0.25">
      <c r="C252" s="2" t="s">
        <v>3693</v>
      </c>
      <c r="D252" s="45">
        <v>1</v>
      </c>
    </row>
    <row r="253" spans="3:4" x14ac:dyDescent="0.25">
      <c r="C253" s="2" t="s">
        <v>296</v>
      </c>
      <c r="D253" s="45">
        <v>1</v>
      </c>
    </row>
    <row r="254" spans="3:4" x14ac:dyDescent="0.25">
      <c r="C254" s="2" t="s">
        <v>274</v>
      </c>
      <c r="D254" s="45">
        <v>1</v>
      </c>
    </row>
    <row r="255" spans="3:4" x14ac:dyDescent="0.25">
      <c r="C255" s="2" t="s">
        <v>352</v>
      </c>
      <c r="D255" s="45">
        <v>1</v>
      </c>
    </row>
    <row r="256" spans="3:4" x14ac:dyDescent="0.25">
      <c r="C256" s="2" t="s">
        <v>334</v>
      </c>
      <c r="D256" s="45">
        <v>1</v>
      </c>
    </row>
    <row r="257" spans="3:4" x14ac:dyDescent="0.25">
      <c r="C257" s="2" t="s">
        <v>302</v>
      </c>
      <c r="D257" s="45">
        <v>1</v>
      </c>
    </row>
    <row r="258" spans="3:4" x14ac:dyDescent="0.25">
      <c r="C258" s="2" t="s">
        <v>3789</v>
      </c>
      <c r="D258" s="45">
        <v>1</v>
      </c>
    </row>
    <row r="259" spans="3:4" x14ac:dyDescent="0.25">
      <c r="C259" s="2" t="s">
        <v>304</v>
      </c>
      <c r="D259" s="45">
        <v>1</v>
      </c>
    </row>
    <row r="260" spans="3:4" x14ac:dyDescent="0.25">
      <c r="C260" s="2" t="s">
        <v>3696</v>
      </c>
      <c r="D260" s="45">
        <v>1</v>
      </c>
    </row>
    <row r="261" spans="3:4" x14ac:dyDescent="0.25">
      <c r="C261" s="2" t="s">
        <v>306</v>
      </c>
      <c r="D261" s="45">
        <v>1</v>
      </c>
    </row>
    <row r="262" spans="3:4" x14ac:dyDescent="0.25">
      <c r="C262" s="2" t="s">
        <v>3697</v>
      </c>
      <c r="D262" s="45">
        <v>1</v>
      </c>
    </row>
    <row r="263" spans="3:4" x14ac:dyDescent="0.25">
      <c r="C263" s="2" t="s">
        <v>174</v>
      </c>
      <c r="D263" s="45">
        <v>1</v>
      </c>
    </row>
    <row r="264" spans="3:4" x14ac:dyDescent="0.25">
      <c r="C264" s="2" t="s">
        <v>3790</v>
      </c>
      <c r="D264" s="45">
        <v>1</v>
      </c>
    </row>
    <row r="265" spans="3:4" x14ac:dyDescent="0.25">
      <c r="C265" s="2" t="s">
        <v>360</v>
      </c>
      <c r="D265" s="45">
        <v>1</v>
      </c>
    </row>
    <row r="266" spans="3:4" x14ac:dyDescent="0.25">
      <c r="C266" s="2" t="s">
        <v>268</v>
      </c>
      <c r="D266" s="45">
        <v>1</v>
      </c>
    </row>
    <row r="267" spans="3:4" x14ac:dyDescent="0.25">
      <c r="C267" s="2" t="s">
        <v>276</v>
      </c>
      <c r="D267" s="45">
        <v>1</v>
      </c>
    </row>
    <row r="268" spans="3:4" x14ac:dyDescent="0.25">
      <c r="C268" s="2" t="s">
        <v>82</v>
      </c>
      <c r="D268" s="45">
        <v>401</v>
      </c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71"/>
  <sheetViews>
    <sheetView tabSelected="1" zoomScale="85" zoomScaleNormal="85" workbookViewId="0">
      <pane ySplit="1" topLeftCell="A930" activePane="bottomLeft" state="frozen"/>
      <selection activeCell="F1" sqref="F1"/>
      <selection pane="bottomLeft" activeCell="A964" sqref="A964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3547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3547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3548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3547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3547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3547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3547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3512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3548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3547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3547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3548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3548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3548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3547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3547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3547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39"/>
      <c r="H892" s="39"/>
      <c r="I892" s="39"/>
      <c r="S892" s="36">
        <f>SUM(bron[[#This Row],[Januari]:[December]])</f>
        <v>0</v>
      </c>
      <c r="T892" s="41">
        <v>45934</v>
      </c>
      <c r="U892" s="5" t="s">
        <v>3655</v>
      </c>
      <c r="V892" s="37"/>
      <c r="W892" s="37"/>
      <c r="X892" t="s">
        <v>3512</v>
      </c>
      <c r="Y892" t="s">
        <v>578</v>
      </c>
      <c r="Z892" s="2">
        <v>2548</v>
      </c>
      <c r="AA892" s="43" t="s">
        <v>3558</v>
      </c>
    </row>
    <row r="893" spans="1:27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3657</v>
      </c>
      <c r="V893" s="37"/>
      <c r="W893" s="37"/>
      <c r="X893" t="s">
        <v>3513</v>
      </c>
      <c r="Y893" t="s">
        <v>3658</v>
      </c>
      <c r="Z893" s="2">
        <v>5044</v>
      </c>
      <c r="AA893" s="43" t="s">
        <v>3558</v>
      </c>
    </row>
    <row r="894" spans="1:27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3705</v>
      </c>
      <c r="V894" s="37"/>
      <c r="W894" s="37"/>
      <c r="X894" t="s">
        <v>3547</v>
      </c>
      <c r="Y894" t="s">
        <v>169</v>
      </c>
      <c r="Z894" s="2">
        <v>6315</v>
      </c>
      <c r="AA894" s="43" t="s">
        <v>3558</v>
      </c>
    </row>
    <row r="895" spans="1:27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3708</v>
      </c>
      <c r="V895" s="37"/>
      <c r="W895" s="37"/>
      <c r="X895" t="s">
        <v>3513</v>
      </c>
      <c r="Y895" t="s">
        <v>40</v>
      </c>
      <c r="Z895" s="2">
        <v>2196</v>
      </c>
      <c r="AA895" s="43" t="s">
        <v>3558</v>
      </c>
    </row>
    <row r="896" spans="1:27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45936</v>
      </c>
      <c r="U896" s="5" t="s">
        <v>3710</v>
      </c>
      <c r="V896" s="37"/>
      <c r="W896" s="37"/>
      <c r="X896" t="s">
        <v>3513</v>
      </c>
      <c r="Y896" t="s">
        <v>25</v>
      </c>
      <c r="Z896" s="2">
        <v>5052</v>
      </c>
      <c r="AA896" s="43" t="s">
        <v>3558</v>
      </c>
    </row>
    <row r="897" spans="1:27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3712</v>
      </c>
      <c r="V897" s="37"/>
      <c r="W897" s="37"/>
      <c r="X897" t="s">
        <v>3512</v>
      </c>
      <c r="Y897" t="s">
        <v>46</v>
      </c>
      <c r="Z897" s="2">
        <v>5487</v>
      </c>
      <c r="AA897" s="43" t="s">
        <v>3558</v>
      </c>
    </row>
    <row r="898" spans="1:27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39"/>
      <c r="H898" s="39"/>
      <c r="I898" s="39"/>
      <c r="S898" s="36">
        <f>SUM(bron[[#This Row],[Januari]:[December]])</f>
        <v>0</v>
      </c>
      <c r="T898" s="41">
        <v>45938</v>
      </c>
      <c r="U898" s="5" t="s">
        <v>3704</v>
      </c>
      <c r="V898" s="37"/>
      <c r="W898" s="37"/>
      <c r="X898" t="s">
        <v>3512</v>
      </c>
      <c r="Y898" t="s">
        <v>54</v>
      </c>
      <c r="Z898" s="2">
        <v>5771</v>
      </c>
      <c r="AA898" s="43" t="s">
        <v>3558</v>
      </c>
    </row>
    <row r="899" spans="1:27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3706</v>
      </c>
      <c r="V899" s="37"/>
      <c r="W899" s="37"/>
      <c r="X899" t="s">
        <v>3513</v>
      </c>
      <c r="Y899" t="s">
        <v>3707</v>
      </c>
      <c r="Z899" s="2">
        <v>5328</v>
      </c>
      <c r="AA899" s="43" t="s">
        <v>3558</v>
      </c>
    </row>
    <row r="900" spans="1:27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24" t="s">
        <v>3709</v>
      </c>
      <c r="V900" s="37"/>
      <c r="W900" s="37"/>
      <c r="X900" t="s">
        <v>3513</v>
      </c>
      <c r="Y900" t="s">
        <v>240</v>
      </c>
      <c r="Z900" s="2">
        <v>2189</v>
      </c>
      <c r="AA900" s="43" t="s">
        <v>3558</v>
      </c>
    </row>
    <row r="901" spans="1:27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39"/>
      <c r="H901" s="39"/>
      <c r="I901" s="39"/>
      <c r="S901" s="36">
        <f>SUM(bron[[#This Row],[Januari]:[December]])</f>
        <v>0</v>
      </c>
      <c r="T901" s="41">
        <v>45938</v>
      </c>
      <c r="U901" s="5" t="s">
        <v>3722</v>
      </c>
      <c r="V901" s="37"/>
      <c r="W901" s="37"/>
      <c r="X901" t="s">
        <v>3512</v>
      </c>
      <c r="Y901" t="s">
        <v>3723</v>
      </c>
      <c r="Z901" s="2">
        <v>5770</v>
      </c>
      <c r="AA901" s="43" t="s">
        <v>3558</v>
      </c>
    </row>
    <row r="902" spans="1:27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3716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3713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3719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3711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3714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39"/>
      <c r="H907" s="39"/>
      <c r="I907" s="39"/>
      <c r="S907" s="36">
        <f>SUM(bron[[#This Row],[Januari]:[December]])</f>
        <v>0</v>
      </c>
      <c r="T907" s="41">
        <v>45943</v>
      </c>
      <c r="U907" s="5" t="s">
        <v>3730</v>
      </c>
      <c r="V907" s="37"/>
      <c r="W907" s="37"/>
      <c r="X907" t="s">
        <v>3513</v>
      </c>
      <c r="Y907" t="s">
        <v>663</v>
      </c>
      <c r="Z907" s="2">
        <v>5047</v>
      </c>
      <c r="AA907" s="43" t="s">
        <v>3558</v>
      </c>
    </row>
    <row r="908" spans="1:27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3732</v>
      </c>
      <c r="V908" s="37"/>
      <c r="W908" s="37"/>
      <c r="X908" t="s">
        <v>3547</v>
      </c>
      <c r="Y908" t="s">
        <v>5</v>
      </c>
      <c r="Z908" s="2">
        <v>6329</v>
      </c>
      <c r="AA908" s="43" t="s">
        <v>3558</v>
      </c>
    </row>
    <row r="909" spans="1:27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39"/>
      <c r="H909" s="39"/>
      <c r="I909" s="39"/>
      <c r="S909" s="44">
        <f>SUM(bron[[#This Row],[Januari]:[December]])</f>
        <v>0</v>
      </c>
      <c r="T909" s="41">
        <v>45943</v>
      </c>
      <c r="U909" s="5" t="s">
        <v>3791</v>
      </c>
      <c r="V909" s="37"/>
      <c r="W909" s="37"/>
      <c r="X909" t="s">
        <v>3512</v>
      </c>
      <c r="Y909" t="s">
        <v>728</v>
      </c>
      <c r="Z909" s="2">
        <v>5772</v>
      </c>
      <c r="AA909" s="43" t="s">
        <v>3558</v>
      </c>
    </row>
    <row r="910" spans="1:27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3717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3718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3715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3725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3745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3724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3720</v>
      </c>
      <c r="V916" s="37"/>
      <c r="W916" s="37"/>
      <c r="X916" t="s">
        <v>3548</v>
      </c>
      <c r="Y916" t="s">
        <v>3721</v>
      </c>
      <c r="Z916" s="2">
        <v>6366</v>
      </c>
      <c r="AA916" s="43" t="s">
        <v>3558</v>
      </c>
    </row>
    <row r="917" spans="1:27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3726</v>
      </c>
      <c r="V917" s="37"/>
      <c r="W917" s="37"/>
      <c r="X917" t="s">
        <v>3513</v>
      </c>
      <c r="Y917" t="s">
        <v>3727</v>
      </c>
      <c r="Z917" s="2">
        <v>5259</v>
      </c>
      <c r="AA917" s="43" t="s">
        <v>3559</v>
      </c>
    </row>
    <row r="918" spans="1:27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3731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3728</v>
      </c>
      <c r="V919" s="37"/>
      <c r="W919" s="37"/>
      <c r="X919" t="s">
        <v>3513</v>
      </c>
      <c r="Y919" t="s">
        <v>3729</v>
      </c>
      <c r="Z919" s="2">
        <v>2195</v>
      </c>
      <c r="AA919" s="43" t="s">
        <v>3558</v>
      </c>
    </row>
    <row r="920" spans="1:27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3733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3735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3748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3738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3749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3734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3744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3737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3740</v>
      </c>
      <c r="V928" s="37"/>
      <c r="W928" s="37"/>
      <c r="X928" t="s">
        <v>3511</v>
      </c>
      <c r="Y928" t="s">
        <v>3741</v>
      </c>
      <c r="Z928" s="2">
        <v>5271</v>
      </c>
      <c r="AA928" s="43" t="s">
        <v>3558</v>
      </c>
    </row>
    <row r="929" spans="1:27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3739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39"/>
      <c r="H930" s="39"/>
      <c r="I930" s="39"/>
      <c r="S930" s="36">
        <f>SUM(bron[[#This Row],[Januari]:[December]])</f>
        <v>0</v>
      </c>
      <c r="T930" s="41">
        <v>45959</v>
      </c>
      <c r="U930" s="5" t="s">
        <v>3760</v>
      </c>
      <c r="V930" s="37"/>
      <c r="W930" s="37"/>
      <c r="X930" t="s">
        <v>3547</v>
      </c>
      <c r="Y930" t="s">
        <v>5</v>
      </c>
      <c r="Z930" s="2">
        <v>6334</v>
      </c>
      <c r="AA930" s="43" t="s">
        <v>3558</v>
      </c>
    </row>
    <row r="931" spans="1:27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8" t="s">
        <v>3736</v>
      </c>
      <c r="V931" s="37"/>
      <c r="W931" s="37"/>
      <c r="X931" t="s">
        <v>3512</v>
      </c>
      <c r="Y931" t="s">
        <v>13</v>
      </c>
      <c r="Z931" s="2">
        <v>13024</v>
      </c>
      <c r="AA931" s="43" t="s">
        <v>3558</v>
      </c>
    </row>
    <row r="932" spans="1:27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3743</v>
      </c>
      <c r="V932" s="37"/>
      <c r="W932" s="37"/>
      <c r="X932" t="s">
        <v>3512</v>
      </c>
      <c r="Y932" t="s">
        <v>31</v>
      </c>
      <c r="Z932" s="2">
        <v>5489</v>
      </c>
      <c r="AA932" s="43" t="s">
        <v>3558</v>
      </c>
    </row>
    <row r="933" spans="1:27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39"/>
      <c r="H933" s="39"/>
      <c r="I933" s="39"/>
      <c r="S933" s="36">
        <f>SUM(bron[[#This Row],[Januari]:[December]])</f>
        <v>0</v>
      </c>
      <c r="T933" s="41">
        <v>45960</v>
      </c>
      <c r="U933" s="5" t="s">
        <v>3746</v>
      </c>
      <c r="V933" s="37"/>
      <c r="W933" s="37"/>
      <c r="X933" t="s">
        <v>3513</v>
      </c>
      <c r="Y933" t="s">
        <v>3747</v>
      </c>
      <c r="Z933" s="2">
        <v>5052</v>
      </c>
      <c r="AA933" s="43" t="s">
        <v>3558</v>
      </c>
    </row>
    <row r="934" spans="1:27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39"/>
      <c r="H934" s="39"/>
      <c r="I934" s="39"/>
      <c r="S934" s="36">
        <f>SUM(bron[[#This Row],[Januari]:[December]])</f>
        <v>0</v>
      </c>
      <c r="T934" s="41">
        <v>45961</v>
      </c>
      <c r="U934" s="5" t="s">
        <v>3742</v>
      </c>
      <c r="V934" s="37"/>
      <c r="W934" s="37"/>
      <c r="X934" t="s">
        <v>3511</v>
      </c>
      <c r="Y934" t="s">
        <v>663</v>
      </c>
      <c r="Z934" s="2">
        <v>5229</v>
      </c>
      <c r="AA934" s="43" t="s">
        <v>3558</v>
      </c>
    </row>
    <row r="935" spans="1:27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39"/>
      <c r="H935" s="39"/>
      <c r="I935" s="39"/>
      <c r="S935" s="36">
        <f>SUM(bron[[#This Row],[Januari]:[December]])</f>
        <v>0</v>
      </c>
      <c r="T935" s="41">
        <v>45961</v>
      </c>
      <c r="U935" s="5" t="s">
        <v>3763</v>
      </c>
      <c r="V935" s="37"/>
      <c r="W935" s="37"/>
      <c r="X935" t="s">
        <v>3548</v>
      </c>
      <c r="Y935" t="s">
        <v>10</v>
      </c>
      <c r="Z935" s="2">
        <v>6363</v>
      </c>
      <c r="AA935" s="43" t="s">
        <v>3558</v>
      </c>
    </row>
    <row r="936" spans="1:27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45962</v>
      </c>
      <c r="U936" s="5" t="s">
        <v>3750</v>
      </c>
      <c r="V936" s="37"/>
      <c r="W936" s="37"/>
      <c r="X936" t="s">
        <v>3513</v>
      </c>
      <c r="Y936" t="s">
        <v>3751</v>
      </c>
      <c r="Z936" s="2">
        <v>5233</v>
      </c>
      <c r="AA936" s="43" t="s">
        <v>3559</v>
      </c>
    </row>
    <row r="937" spans="1:27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39"/>
      <c r="H937" s="39"/>
      <c r="I937" s="39"/>
      <c r="S937" s="36">
        <f>SUM(bron[[#This Row],[Januari]:[December]])</f>
        <v>0</v>
      </c>
      <c r="T937" s="41">
        <v>45962</v>
      </c>
      <c r="U937" s="5" t="s">
        <v>3756</v>
      </c>
      <c r="V937" s="37"/>
      <c r="W937" s="37"/>
      <c r="X937" t="s">
        <v>3512</v>
      </c>
      <c r="Y937" t="s">
        <v>3636</v>
      </c>
      <c r="Z937" s="2">
        <v>5916</v>
      </c>
      <c r="AA937" s="43" t="s">
        <v>3558</v>
      </c>
    </row>
    <row r="938" spans="1:27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39"/>
      <c r="H938" s="39"/>
      <c r="I938" s="39"/>
      <c r="S938" s="36">
        <f>SUM(bron[[#This Row],[Januari]:[December]])</f>
        <v>0</v>
      </c>
      <c r="T938" s="41">
        <v>45963</v>
      </c>
      <c r="U938" s="5" t="s">
        <v>3752</v>
      </c>
      <c r="V938" s="37"/>
      <c r="W938" s="37"/>
      <c r="X938" t="s">
        <v>3547</v>
      </c>
      <c r="Y938" t="s">
        <v>5</v>
      </c>
      <c r="Z938" s="2">
        <v>6312</v>
      </c>
      <c r="AA938" s="43" t="s">
        <v>3558</v>
      </c>
    </row>
    <row r="939" spans="1:27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3757</v>
      </c>
      <c r="V939" s="37"/>
      <c r="W939" s="37"/>
      <c r="X939" t="s">
        <v>3512</v>
      </c>
      <c r="Y939" t="s">
        <v>3758</v>
      </c>
      <c r="Z939" s="2">
        <v>5938</v>
      </c>
      <c r="AA939" s="43" t="s">
        <v>3558</v>
      </c>
    </row>
    <row r="940" spans="1:27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3753</v>
      </c>
      <c r="V940" s="37"/>
      <c r="W940" s="37"/>
      <c r="X940" t="s">
        <v>3512</v>
      </c>
      <c r="Y940" t="s">
        <v>3754</v>
      </c>
      <c r="Z940" s="2">
        <v>5935</v>
      </c>
      <c r="AA940" s="43" t="s">
        <v>3558</v>
      </c>
    </row>
    <row r="941" spans="1:27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39"/>
      <c r="H941" s="39"/>
      <c r="I941" s="39"/>
      <c r="S941" s="36">
        <f>SUM(bron[[#This Row],[Januari]:[December]])</f>
        <v>0</v>
      </c>
      <c r="T941" s="41">
        <v>45964</v>
      </c>
      <c r="U941" s="5" t="s">
        <v>3755</v>
      </c>
      <c r="V941" s="37"/>
      <c r="W941" s="37"/>
      <c r="X941" t="s">
        <v>3512</v>
      </c>
      <c r="Y941" t="str">
        <f>Y940</f>
        <v>Port Arthurlaan</v>
      </c>
      <c r="Z941" s="2">
        <v>550821</v>
      </c>
      <c r="AA941" s="43" t="s">
        <v>3631</v>
      </c>
    </row>
    <row r="942" spans="1:27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3759</v>
      </c>
      <c r="V942" s="37"/>
      <c r="W942" s="37"/>
      <c r="X942" t="s">
        <v>3513</v>
      </c>
      <c r="Y942" t="s">
        <v>737</v>
      </c>
      <c r="Z942" s="2">
        <v>5263</v>
      </c>
      <c r="AA942" s="43" t="s">
        <v>3558</v>
      </c>
    </row>
    <row r="943" spans="1:27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39"/>
      <c r="H943" s="39"/>
      <c r="I943" s="39"/>
      <c r="S943" s="36">
        <f>SUM(bron[[#This Row],[Januari]:[December]])</f>
        <v>0</v>
      </c>
      <c r="T943" s="41">
        <v>45964</v>
      </c>
      <c r="U943" s="5" t="s">
        <v>3761</v>
      </c>
      <c r="V943" s="37"/>
      <c r="W943" s="37"/>
      <c r="X943" t="s">
        <v>3548</v>
      </c>
      <c r="Y943" t="s">
        <v>265</v>
      </c>
      <c r="Z943" s="2">
        <v>6364</v>
      </c>
      <c r="AA943" s="43" t="s">
        <v>3558</v>
      </c>
    </row>
    <row r="944" spans="1:27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39"/>
      <c r="H944" s="39"/>
      <c r="I944" s="39"/>
      <c r="S944" s="44">
        <f>SUM(bron[[#This Row],[Januari]:[December]])</f>
        <v>0</v>
      </c>
      <c r="T944" s="41">
        <v>45965</v>
      </c>
      <c r="U944" s="5" t="s">
        <v>3765</v>
      </c>
      <c r="V944" s="37"/>
      <c r="W944" s="37"/>
      <c r="X944" t="s">
        <v>3511</v>
      </c>
      <c r="Y944" t="s">
        <v>3764</v>
      </c>
      <c r="Z944" s="2">
        <v>5265</v>
      </c>
      <c r="AA944" s="43" t="s">
        <v>3558</v>
      </c>
    </row>
    <row r="945" spans="1:27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39"/>
      <c r="H945" s="39"/>
      <c r="I945" s="39"/>
      <c r="S945" s="44">
        <f>SUM(bron[[#This Row],[Januari]:[December]])</f>
        <v>0</v>
      </c>
      <c r="T945" s="41">
        <v>45966</v>
      </c>
      <c r="U945" s="5" t="s">
        <v>3767</v>
      </c>
      <c r="V945" s="37"/>
      <c r="W945" s="37"/>
      <c r="X945" t="s">
        <v>3512</v>
      </c>
      <c r="Y945" t="s">
        <v>3768</v>
      </c>
      <c r="Z945" s="2">
        <v>5933</v>
      </c>
      <c r="AA945" s="43" t="s">
        <v>3558</v>
      </c>
    </row>
    <row r="946" spans="1:27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39"/>
      <c r="H946" s="39"/>
      <c r="I946" s="39"/>
      <c r="S946" s="36">
        <f>SUM(bron[[#This Row],[Januari]:[December]])</f>
        <v>0</v>
      </c>
      <c r="T946" s="41">
        <v>45967</v>
      </c>
      <c r="U946" s="5" t="s">
        <v>3762</v>
      </c>
      <c r="V946" s="37"/>
      <c r="W946" s="37"/>
      <c r="X946" t="s">
        <v>3547</v>
      </c>
      <c r="Y946" t="s">
        <v>169</v>
      </c>
      <c r="Z946" s="2">
        <v>6318</v>
      </c>
      <c r="AA946" s="43" t="s">
        <v>3558</v>
      </c>
    </row>
    <row r="947" spans="1:27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39"/>
      <c r="H947" s="39"/>
      <c r="I947" s="39"/>
      <c r="S947" s="44">
        <f>SUM(bron[[#This Row],[Januari]:[December]])</f>
        <v>0</v>
      </c>
      <c r="T947" s="41">
        <v>45967</v>
      </c>
      <c r="U947" s="5" t="s">
        <v>3792</v>
      </c>
      <c r="V947" s="37"/>
      <c r="W947" s="37"/>
      <c r="X947" t="s">
        <v>3512</v>
      </c>
      <c r="Y947" t="s">
        <v>54</v>
      </c>
      <c r="Z947" s="2">
        <v>5924</v>
      </c>
      <c r="AA947" s="43" t="s">
        <v>3558</v>
      </c>
    </row>
    <row r="948" spans="1:27" x14ac:dyDescent="0.25">
      <c r="A948">
        <v>27209</v>
      </c>
      <c r="B948" t="str">
        <f>_xlfn.CONCAT(bron[[#This Row],[personeelsnr]]," ",bron[[#This Row],[achternaam]]," ",bron[[#This Row],[voornaam]])</f>
        <v>27209 Meyvaert Steven</v>
      </c>
      <c r="C948" t="str">
        <f>VLOOKUP(bron[[#This Row],[personeelsnr]],'data hastus'!$A:$C,2,0)</f>
        <v>Meyvaert</v>
      </c>
      <c r="D948" t="str">
        <f>VLOOKUP(bron[[#This Row],[personeelsnr]],'data hastus'!$A:$C,3,0)</f>
        <v>Steven</v>
      </c>
      <c r="E948" s="2" t="str">
        <f>VLOOKUP(bron[[#This Row],[personeelsnr]],'data hastus'!A:K,11,FALSE)</f>
        <v>Els Dewulf</v>
      </c>
      <c r="F948" s="10"/>
      <c r="G948" s="39"/>
      <c r="H948" s="39"/>
      <c r="I948" s="39"/>
      <c r="S948" s="44">
        <f>SUM(bron[[#This Row],[Januari]:[December]])</f>
        <v>0</v>
      </c>
      <c r="T948" s="41">
        <v>45968</v>
      </c>
      <c r="U948" s="5" t="s">
        <v>3766</v>
      </c>
      <c r="V948" s="37"/>
      <c r="W948" s="37"/>
      <c r="X948" t="s">
        <v>3512</v>
      </c>
      <c r="Y948" t="s">
        <v>10</v>
      </c>
      <c r="Z948" s="2">
        <v>5922</v>
      </c>
      <c r="AA948" s="43" t="s">
        <v>3558</v>
      </c>
    </row>
    <row r="949" spans="1:27" x14ac:dyDescent="0.25">
      <c r="A949">
        <v>42277</v>
      </c>
      <c r="B949" t="str">
        <f>_xlfn.CONCAT(bron[[#This Row],[personeelsnr]]," ",bron[[#This Row],[achternaam]]," ",bron[[#This Row],[voornaam]])</f>
        <v>42277 Güler Ender</v>
      </c>
      <c r="C949" t="str">
        <f>VLOOKUP(bron[[#This Row],[personeelsnr]],'data hastus'!$A:$C,2,0)</f>
        <v>Güler</v>
      </c>
      <c r="D949" t="str">
        <f>VLOOKUP(bron[[#This Row],[personeelsnr]],'data hastus'!$A:$C,3,0)</f>
        <v>Ender</v>
      </c>
      <c r="E949" s="2">
        <f>VLOOKUP(bron[[#This Row],[personeelsnr]],'data hastus'!A:K,11,FALSE)</f>
        <v>0</v>
      </c>
      <c r="F949" s="10"/>
      <c r="G949" s="39"/>
      <c r="H949" s="39"/>
      <c r="I949" s="39"/>
      <c r="S949" s="44">
        <f>SUM(bron[[#This Row],[Januari]:[December]])</f>
        <v>0</v>
      </c>
      <c r="T949" s="41">
        <v>45968</v>
      </c>
      <c r="U949" s="5" t="s">
        <v>3796</v>
      </c>
      <c r="V949" s="37"/>
      <c r="W949" s="37"/>
      <c r="X949" t="s">
        <v>3512</v>
      </c>
      <c r="Y949" t="s">
        <v>5</v>
      </c>
      <c r="Z949" s="2">
        <v>5484</v>
      </c>
      <c r="AA949" s="43" t="s">
        <v>3558</v>
      </c>
    </row>
    <row r="950" spans="1:27" x14ac:dyDescent="0.25">
      <c r="A950">
        <v>29746</v>
      </c>
      <c r="B950" t="str">
        <f>_xlfn.CONCAT(bron[[#This Row],[personeelsnr]]," ",bron[[#This Row],[achternaam]]," ",bron[[#This Row],[voornaam]])</f>
        <v>29746 Huyse Annicke</v>
      </c>
      <c r="C950" t="str">
        <f>VLOOKUP(bron[[#This Row],[personeelsnr]],'data hastus'!$A:$C,2,0)</f>
        <v>Huyse</v>
      </c>
      <c r="D950" t="str">
        <f>VLOOKUP(bron[[#This Row],[personeelsnr]],'data hastus'!$A:$C,3,0)</f>
        <v>Annicke</v>
      </c>
      <c r="E950" s="2" t="str">
        <f>VLOOKUP(bron[[#This Row],[personeelsnr]],'data hastus'!A:K,11,FALSE)</f>
        <v>Bart Van Der Beken</v>
      </c>
      <c r="F950" s="10"/>
      <c r="G950" s="39"/>
      <c r="H950" s="39"/>
      <c r="I950" s="39"/>
      <c r="S950" s="44">
        <f>SUM(bron[[#This Row],[Januari]:[December]])</f>
        <v>0</v>
      </c>
      <c r="T950" s="41">
        <v>45971</v>
      </c>
      <c r="U950" s="5" t="s">
        <v>3794</v>
      </c>
      <c r="V950" s="37"/>
      <c r="W950" s="37"/>
      <c r="X950" t="s">
        <v>3548</v>
      </c>
      <c r="Y950" t="s">
        <v>40</v>
      </c>
      <c r="Z950" s="2">
        <v>6358</v>
      </c>
      <c r="AA950" s="43" t="s">
        <v>3559</v>
      </c>
    </row>
    <row r="951" spans="1:27" x14ac:dyDescent="0.25">
      <c r="A951">
        <v>40138</v>
      </c>
      <c r="B951" t="str">
        <f>_xlfn.CONCAT(bron[[#This Row],[personeelsnr]]," ",bron[[#This Row],[achternaam]]," ",bron[[#This Row],[voornaam]])</f>
        <v>40138 Moerman Tjimmy</v>
      </c>
      <c r="C951" t="str">
        <f>VLOOKUP(bron[[#This Row],[personeelsnr]],'data hastus'!$A:$C,2,0)</f>
        <v>Moerman</v>
      </c>
      <c r="D951" t="str">
        <f>VLOOKUP(bron[[#This Row],[personeelsnr]],'data hastus'!$A:$C,3,0)</f>
        <v>Tjimmy</v>
      </c>
      <c r="E951" s="2" t="str">
        <f>VLOOKUP(bron[[#This Row],[personeelsnr]],'data hastus'!A:K,11,FALSE)</f>
        <v>Christoff Rotty</v>
      </c>
      <c r="F951" s="10"/>
      <c r="G951" s="39"/>
      <c r="H951" s="39"/>
      <c r="I951" s="39"/>
      <c r="S951" s="44">
        <f>SUM(bron[[#This Row],[Januari]:[December]])</f>
        <v>0</v>
      </c>
      <c r="T951" s="41">
        <v>45972</v>
      </c>
      <c r="U951" s="5" t="s">
        <v>3793</v>
      </c>
      <c r="V951" s="37"/>
      <c r="W951" s="37"/>
      <c r="X951" t="s">
        <v>3513</v>
      </c>
      <c r="Y951" t="s">
        <v>117</v>
      </c>
      <c r="Z951" s="2">
        <v>5045</v>
      </c>
      <c r="AA951" s="43" t="s">
        <v>3558</v>
      </c>
    </row>
    <row r="952" spans="1:27" x14ac:dyDescent="0.25">
      <c r="A952">
        <v>32620</v>
      </c>
      <c r="B952" t="str">
        <f>_xlfn.CONCAT(bron[[#This Row],[personeelsnr]]," ",bron[[#This Row],[achternaam]]," ",bron[[#This Row],[voornaam]])</f>
        <v>32620 Saey Elias</v>
      </c>
      <c r="C952" t="str">
        <f>VLOOKUP(bron[[#This Row],[personeelsnr]],'data hastus'!$A:$C,2,0)</f>
        <v>Saey</v>
      </c>
      <c r="D952" t="str">
        <f>VLOOKUP(bron[[#This Row],[personeelsnr]],'data hastus'!$A:$C,3,0)</f>
        <v>Elias</v>
      </c>
      <c r="E952" s="2" t="str">
        <f>VLOOKUP(bron[[#This Row],[personeelsnr]],'data hastus'!A:K,11,FALSE)</f>
        <v>Els Vanhoe</v>
      </c>
      <c r="F952" s="10"/>
      <c r="G952" s="39"/>
      <c r="H952" s="39"/>
      <c r="I952" s="39"/>
      <c r="S952" s="44">
        <f>SUM(bron[[#This Row],[Januari]:[December]])</f>
        <v>0</v>
      </c>
      <c r="T952" s="41">
        <v>45973</v>
      </c>
      <c r="U952" s="5" t="s">
        <v>3769</v>
      </c>
      <c r="V952" s="37"/>
      <c r="W952" s="37"/>
      <c r="X952" t="s">
        <v>3513</v>
      </c>
      <c r="Y952" t="s">
        <v>3770</v>
      </c>
      <c r="Z952" s="2">
        <v>5047</v>
      </c>
      <c r="AA952" s="43" t="s">
        <v>3559</v>
      </c>
    </row>
    <row r="953" spans="1:27" x14ac:dyDescent="0.25">
      <c r="A953">
        <v>13089</v>
      </c>
      <c r="B953" t="str">
        <f>_xlfn.CONCAT(bron[[#This Row],[personeelsnr]]," ",bron[[#This Row],[achternaam]]," ",bron[[#This Row],[voornaam]])</f>
        <v>13089 Oosterlinck Jan</v>
      </c>
      <c r="C953" t="str">
        <f>VLOOKUP(bron[[#This Row],[personeelsnr]],'data hastus'!$A:$C,2,0)</f>
        <v>Oosterlinck</v>
      </c>
      <c r="D953" t="str">
        <f>VLOOKUP(bron[[#This Row],[personeelsnr]],'data hastus'!$A:$C,3,0)</f>
        <v>Jan</v>
      </c>
      <c r="E953" s="2" t="str">
        <f>VLOOKUP(bron[[#This Row],[personeelsnr]],'data hastus'!A:K,11,FALSE)</f>
        <v>Christoff Rotty</v>
      </c>
      <c r="F953" s="10"/>
      <c r="G953" s="39"/>
      <c r="H953" s="39"/>
      <c r="I953" s="39"/>
      <c r="S953" s="44">
        <f>SUM(bron[[#This Row],[Januari]:[December]])</f>
        <v>0</v>
      </c>
      <c r="T953" s="41">
        <v>45973</v>
      </c>
      <c r="U953" s="5" t="s">
        <v>3800</v>
      </c>
      <c r="V953" s="37"/>
      <c r="W953" s="37"/>
      <c r="X953" t="s">
        <v>3512</v>
      </c>
      <c r="Y953" t="s">
        <v>48</v>
      </c>
      <c r="Z953" s="2">
        <v>5929</v>
      </c>
      <c r="AA953" s="43" t="s">
        <v>3559</v>
      </c>
    </row>
    <row r="954" spans="1:27" x14ac:dyDescent="0.25">
      <c r="A954">
        <v>40403</v>
      </c>
      <c r="B954" t="str">
        <f>_xlfn.CONCAT(bron[[#This Row],[personeelsnr]]," ",bron[[#This Row],[achternaam]]," ",bron[[#This Row],[voornaam]])</f>
        <v>40403 Prové Michaël</v>
      </c>
      <c r="C954" t="str">
        <f>VLOOKUP(bron[[#This Row],[personeelsnr]],'data hastus'!$A:$C,2,0)</f>
        <v>Prové</v>
      </c>
      <c r="D954" t="str">
        <f>VLOOKUP(bron[[#This Row],[personeelsnr]],'data hastus'!$A:$C,3,0)</f>
        <v>Michaël</v>
      </c>
      <c r="E954" s="2" t="str">
        <f>VLOOKUP(bron[[#This Row],[personeelsnr]],'data hastus'!A:K,11,FALSE)</f>
        <v>Dominique De Clercq</v>
      </c>
      <c r="F954" s="10"/>
      <c r="G954" s="39"/>
      <c r="H954" s="39"/>
      <c r="I954" s="39"/>
      <c r="S954" s="44">
        <f>SUM(bron[[#This Row],[Januari]:[December]])</f>
        <v>0</v>
      </c>
      <c r="T954" s="41">
        <v>45974</v>
      </c>
      <c r="U954" s="5" t="s">
        <v>3795</v>
      </c>
      <c r="V954" s="37"/>
      <c r="W954" s="37"/>
      <c r="X954" t="s">
        <v>3513</v>
      </c>
      <c r="Y954" t="s">
        <v>106</v>
      </c>
      <c r="Z954" s="2">
        <v>5233</v>
      </c>
      <c r="AA954" s="43" t="s">
        <v>3558</v>
      </c>
    </row>
    <row r="955" spans="1:27" x14ac:dyDescent="0.25">
      <c r="A955">
        <v>42249</v>
      </c>
      <c r="B955" t="str">
        <f>_xlfn.CONCAT(bron[[#This Row],[personeelsnr]]," ",bron[[#This Row],[achternaam]]," ",bron[[#This Row],[voornaam]])</f>
        <v>42249 Bontinck Stephan</v>
      </c>
      <c r="C955" t="str">
        <f>VLOOKUP(bron[[#This Row],[personeelsnr]],'data hastus'!$A:$C,2,0)</f>
        <v>Bontinck</v>
      </c>
      <c r="D955" t="str">
        <f>VLOOKUP(bron[[#This Row],[personeelsnr]],'data hastus'!$A:$C,3,0)</f>
        <v>Stephan</v>
      </c>
      <c r="E955" s="2" t="str">
        <f>VLOOKUP(bron[[#This Row],[personeelsnr]],'data hastus'!A:K,11,FALSE)</f>
        <v>Kenneth De Rick</v>
      </c>
      <c r="F955" s="10"/>
      <c r="G955" s="39"/>
      <c r="H955" s="39"/>
      <c r="I955" s="39"/>
      <c r="S955" s="44">
        <f>SUM(bron[[#This Row],[Januari]:[December]])</f>
        <v>0</v>
      </c>
      <c r="T955" s="41">
        <v>45974</v>
      </c>
      <c r="U955" s="5" t="s">
        <v>3797</v>
      </c>
      <c r="V955" s="37"/>
      <c r="W955" s="37"/>
      <c r="X955" t="s">
        <v>3513</v>
      </c>
      <c r="Y955" t="s">
        <v>3798</v>
      </c>
      <c r="Z955" s="2" t="s">
        <v>3799</v>
      </c>
      <c r="AA955" s="43" t="s">
        <v>3631</v>
      </c>
    </row>
    <row r="956" spans="1:27" x14ac:dyDescent="0.25">
      <c r="A956">
        <v>36438</v>
      </c>
      <c r="B956" t="str">
        <f>_xlfn.CONCAT(bron[[#This Row],[personeelsnr]]," ",bron[[#This Row],[achternaam]]," ",bron[[#This Row],[voornaam]])</f>
        <v>36438 Agil Birol</v>
      </c>
      <c r="C956" t="str">
        <f>VLOOKUP(bron[[#This Row],[personeelsnr]],'data hastus'!$A:$C,2,0)</f>
        <v>Agil</v>
      </c>
      <c r="D956" t="str">
        <f>VLOOKUP(bron[[#This Row],[personeelsnr]],'data hastus'!$A:$C,3,0)</f>
        <v>Birol</v>
      </c>
      <c r="E956" s="2" t="str">
        <f>VLOOKUP(bron[[#This Row],[personeelsnr]],'data hastus'!A:K,11,FALSE)</f>
        <v>Bart Van Der Beken</v>
      </c>
      <c r="F956" s="10"/>
      <c r="G956" s="39"/>
      <c r="H956" s="39"/>
      <c r="I956" s="39"/>
      <c r="S956" s="44">
        <f>SUM(bron[[#This Row],[Januari]:[December]])</f>
        <v>0</v>
      </c>
      <c r="T956" s="41">
        <v>45975</v>
      </c>
      <c r="U956" s="5" t="s">
        <v>3801</v>
      </c>
      <c r="V956" s="37"/>
      <c r="W956" s="37"/>
      <c r="X956" t="s">
        <v>3512</v>
      </c>
      <c r="Y956" t="s">
        <v>88</v>
      </c>
      <c r="Z956" s="2">
        <v>5969</v>
      </c>
      <c r="AA956" s="43" t="s">
        <v>3558</v>
      </c>
    </row>
    <row r="957" spans="1:27" x14ac:dyDescent="0.25">
      <c r="A957">
        <v>42145</v>
      </c>
      <c r="B957" t="str">
        <f>_xlfn.CONCAT(bron[[#This Row],[personeelsnr]]," ",bron[[#This Row],[achternaam]]," ",bron[[#This Row],[voornaam]])</f>
        <v>42145 Gys Shayya</v>
      </c>
      <c r="C957" t="str">
        <f>VLOOKUP(bron[[#This Row],[personeelsnr]],'data hastus'!$A:$C,2,0)</f>
        <v>Gys</v>
      </c>
      <c r="D957" t="str">
        <f>VLOOKUP(bron[[#This Row],[personeelsnr]],'data hastus'!$A:$C,3,0)</f>
        <v>Shayya</v>
      </c>
      <c r="E957" s="2" t="str">
        <f>VLOOKUP(bron[[#This Row],[personeelsnr]],'data hastus'!A:K,11,FALSE)</f>
        <v>Steven Storm</v>
      </c>
      <c r="F957" s="10"/>
      <c r="G957" s="39"/>
      <c r="H957" s="39"/>
      <c r="I957" s="39"/>
      <c r="S957" s="44">
        <f>SUM(bron[[#This Row],[Januari]:[December]])</f>
        <v>0</v>
      </c>
      <c r="T957" s="41">
        <v>45975</v>
      </c>
      <c r="U957" s="5" t="s">
        <v>3803</v>
      </c>
      <c r="V957" s="37"/>
      <c r="W957" s="37"/>
      <c r="X957" t="s">
        <v>3512</v>
      </c>
      <c r="Y957" t="s">
        <v>78</v>
      </c>
      <c r="Z957" s="2">
        <v>550310</v>
      </c>
      <c r="AA957" s="43" t="s">
        <v>3558</v>
      </c>
    </row>
    <row r="958" spans="1:27" x14ac:dyDescent="0.25">
      <c r="A958">
        <v>31118</v>
      </c>
      <c r="B958" t="str">
        <f>_xlfn.CONCAT(bron[[#This Row],[personeelsnr]]," ",bron[[#This Row],[achternaam]]," ",bron[[#This Row],[voornaam]])</f>
        <v>31118 De Sutter Michiel</v>
      </c>
      <c r="C958" t="str">
        <f>VLOOKUP(bron[[#This Row],[personeelsnr]],'data hastus'!$A:$C,2,0)</f>
        <v>De Sutter</v>
      </c>
      <c r="D958" t="str">
        <f>VLOOKUP(bron[[#This Row],[personeelsnr]],'data hastus'!$A:$C,3,0)</f>
        <v>Michiel</v>
      </c>
      <c r="E958" s="2" t="str">
        <f>VLOOKUP(bron[[#This Row],[personeelsnr]],'data hastus'!A:K,11,FALSE)</f>
        <v>Els Dewulf</v>
      </c>
      <c r="F958" s="10"/>
      <c r="G958" s="39"/>
      <c r="H958" s="39"/>
      <c r="I958" s="39"/>
      <c r="S958" s="44">
        <f>SUM(bron[[#This Row],[Januari]:[December]])</f>
        <v>0</v>
      </c>
      <c r="T958" s="41">
        <v>45975</v>
      </c>
      <c r="U958" s="5" t="s">
        <v>3804</v>
      </c>
      <c r="V958" s="37"/>
      <c r="W958" s="37"/>
      <c r="X958" t="s">
        <v>3512</v>
      </c>
      <c r="Y958" t="s">
        <v>3805</v>
      </c>
      <c r="Z958" s="2">
        <v>5794</v>
      </c>
      <c r="AA958" s="43" t="s">
        <v>3558</v>
      </c>
    </row>
    <row r="959" spans="1:27" x14ac:dyDescent="0.25">
      <c r="A959">
        <v>36505</v>
      </c>
      <c r="B959" t="str">
        <f>_xlfn.CONCAT(bron[[#This Row],[personeelsnr]]," ",bron[[#This Row],[achternaam]]," ",bron[[#This Row],[voornaam]])</f>
        <v>36505 De Lange Ruben</v>
      </c>
      <c r="C959" t="str">
        <f>VLOOKUP(bron[[#This Row],[personeelsnr]],'data hastus'!$A:$C,2,0)</f>
        <v>De Lange</v>
      </c>
      <c r="D959" t="str">
        <f>VLOOKUP(bron[[#This Row],[personeelsnr]],'data hastus'!$A:$C,3,0)</f>
        <v>Ruben</v>
      </c>
      <c r="E959" s="2" t="str">
        <f>VLOOKUP(bron[[#This Row],[personeelsnr]],'data hastus'!A:K,11,FALSE)</f>
        <v>Kenneth De Rick</v>
      </c>
      <c r="F959" s="10"/>
      <c r="G959" s="39"/>
      <c r="H959" s="39"/>
      <c r="I959" s="39"/>
      <c r="S959" s="44">
        <f>SUM(bron[[#This Row],[Januari]:[December]])</f>
        <v>0</v>
      </c>
      <c r="T959" s="41">
        <v>45976</v>
      </c>
      <c r="U959" s="5" t="s">
        <v>3802</v>
      </c>
      <c r="V959" s="37"/>
      <c r="W959" s="37"/>
      <c r="X959" t="s">
        <v>3548</v>
      </c>
      <c r="Y959" t="s">
        <v>666</v>
      </c>
      <c r="Z959" s="2">
        <v>6359</v>
      </c>
      <c r="AA959" s="43" t="s">
        <v>3558</v>
      </c>
    </row>
    <row r="960" spans="1:27" x14ac:dyDescent="0.25">
      <c r="A960">
        <v>41384</v>
      </c>
      <c r="B960" t="str">
        <f>_xlfn.CONCAT(bron[[#This Row],[personeelsnr]]," ",bron[[#This Row],[achternaam]]," ",bron[[#This Row],[voornaam]])</f>
        <v>41384 Hillaert Thimo</v>
      </c>
      <c r="C960" t="str">
        <f>VLOOKUP(bron[[#This Row],[personeelsnr]],'data hastus'!$A:$C,2,0)</f>
        <v>Hillaert</v>
      </c>
      <c r="D960" t="str">
        <f>VLOOKUP(bron[[#This Row],[personeelsnr]],'data hastus'!$A:$C,3,0)</f>
        <v>Thimo</v>
      </c>
      <c r="E960" s="2" t="str">
        <f>VLOOKUP(bron[[#This Row],[personeelsnr]],'data hastus'!A:K,11,FALSE)</f>
        <v>Christoff Rotty</v>
      </c>
      <c r="F960" s="10"/>
      <c r="G960" s="39"/>
      <c r="H960" s="39"/>
      <c r="I960" s="39"/>
      <c r="S960" s="44">
        <f>SUM(bron[[#This Row],[Januari]:[December]])</f>
        <v>0</v>
      </c>
      <c r="T960" s="41">
        <v>45975</v>
      </c>
      <c r="U960" s="5" t="s">
        <v>3806</v>
      </c>
      <c r="V960" s="37"/>
      <c r="W960" s="37"/>
      <c r="X960" t="s">
        <v>3513</v>
      </c>
      <c r="Y960" t="s">
        <v>13</v>
      </c>
      <c r="Z960" s="2">
        <v>5254</v>
      </c>
      <c r="AA960" s="43" t="s">
        <v>3558</v>
      </c>
    </row>
    <row r="961" spans="1:27" x14ac:dyDescent="0.25">
      <c r="A961">
        <v>38529</v>
      </c>
      <c r="B961" t="str">
        <f>_xlfn.CONCAT(bron[[#This Row],[personeelsnr]]," ",bron[[#This Row],[achternaam]]," ",bron[[#This Row],[voornaam]])</f>
        <v>38529 Huyghe Jan</v>
      </c>
      <c r="C961" t="str">
        <f>VLOOKUP(bron[[#This Row],[personeelsnr]],'data hastus'!$A:$C,2,0)</f>
        <v>Huyghe</v>
      </c>
      <c r="D961" t="str">
        <f>VLOOKUP(bron[[#This Row],[personeelsnr]],'data hastus'!$A:$C,3,0)</f>
        <v>Jan</v>
      </c>
      <c r="E961" s="2" t="str">
        <f>VLOOKUP(bron[[#This Row],[personeelsnr]],'data hastus'!A:K,11,FALSE)</f>
        <v>Els Dewulf</v>
      </c>
      <c r="F961" s="10"/>
      <c r="G961" s="39"/>
      <c r="H961" s="39"/>
      <c r="I961" s="39"/>
      <c r="S961" s="44">
        <f>SUM(bron[[#This Row],[Januari]:[December]])</f>
        <v>0</v>
      </c>
      <c r="T961" s="41">
        <v>45979</v>
      </c>
      <c r="U961" s="5" t="s">
        <v>3807</v>
      </c>
      <c r="V961" s="37"/>
      <c r="W961" s="37"/>
      <c r="X961" t="s">
        <v>3512</v>
      </c>
      <c r="Y961" t="s">
        <v>28</v>
      </c>
      <c r="Z961" s="2">
        <v>5932</v>
      </c>
      <c r="AA961" s="43" t="s">
        <v>3559</v>
      </c>
    </row>
    <row r="962" spans="1:27" x14ac:dyDescent="0.25">
      <c r="A962">
        <v>33400</v>
      </c>
      <c r="B962" t="str">
        <f>_xlfn.CONCAT(bron[[#This Row],[personeelsnr]]," ",bron[[#This Row],[achternaam]]," ",bron[[#This Row],[voornaam]])</f>
        <v>33400 Petit Cynthia</v>
      </c>
      <c r="C962" t="str">
        <f>VLOOKUP(bron[[#This Row],[personeelsnr]],'data hastus'!$A:$C,2,0)</f>
        <v>Petit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Christoff Rotty</v>
      </c>
      <c r="F962" s="10"/>
      <c r="G962" s="39"/>
      <c r="H962" s="39"/>
      <c r="I962" s="39"/>
      <c r="S962" s="44">
        <f>SUM(bron[[#This Row],[Januari]:[December]])</f>
        <v>0</v>
      </c>
      <c r="T962" s="41">
        <v>45980</v>
      </c>
      <c r="U962" s="5" t="s">
        <v>3808</v>
      </c>
      <c r="V962" s="37"/>
      <c r="W962" s="37"/>
      <c r="X962" t="s">
        <v>3548</v>
      </c>
      <c r="Y962" t="s">
        <v>857</v>
      </c>
      <c r="Z962" s="2">
        <v>6368</v>
      </c>
      <c r="AA962" s="43" t="s">
        <v>3559</v>
      </c>
    </row>
    <row r="963" spans="1:27" x14ac:dyDescent="0.25">
      <c r="A963">
        <v>26524</v>
      </c>
      <c r="B963" t="str">
        <f>_xlfn.CONCAT(bron[[#This Row],[personeelsnr]]," ",bron[[#This Row],[achternaam]]," ",bron[[#This Row],[voornaam]])</f>
        <v>26524 Bolle Cynthia</v>
      </c>
      <c r="C963" t="str">
        <f>VLOOKUP(bron[[#This Row],[personeelsnr]],'data hastus'!$A:$C,2,0)</f>
        <v>Bolle</v>
      </c>
      <c r="D963" t="str">
        <f>VLOOKUP(bron[[#This Row],[personeelsnr]],'data hastus'!$A:$C,3,0)</f>
        <v>Cynthia</v>
      </c>
      <c r="E963" s="2" t="str">
        <f>VLOOKUP(bron[[#This Row],[personeelsnr]],'data hastus'!A:K,11,FALSE)</f>
        <v>Els Vanhoe</v>
      </c>
      <c r="F963" s="10"/>
      <c r="G963" s="39"/>
      <c r="H963" s="39"/>
      <c r="I963" s="39"/>
      <c r="S963" s="44">
        <f>SUM(bron[[#This Row],[Januari]:[December]])</f>
        <v>0</v>
      </c>
      <c r="T963" s="41">
        <v>45975</v>
      </c>
      <c r="U963" s="5" t="s">
        <v>3809</v>
      </c>
      <c r="V963" s="37"/>
      <c r="W963" s="37"/>
      <c r="X963" t="s">
        <v>3548</v>
      </c>
      <c r="Y963" t="s">
        <v>72</v>
      </c>
      <c r="Z963" s="2">
        <v>6362</v>
      </c>
      <c r="AA963" s="43" t="s">
        <v>3558</v>
      </c>
    </row>
    <row r="964" spans="1:27" x14ac:dyDescent="0.25">
      <c r="B964" t="e">
        <f>_xlfn.CONCAT(bron[[#This Row],[personeelsnr]]," ",bron[[#This Row],[achternaam]]," ",bron[[#This Row],[voornaam]])</f>
        <v>#N/A</v>
      </c>
      <c r="C964" t="e">
        <f>VLOOKUP(bron[[#This Row],[personeelsnr]],'data hastus'!$A:$C,2,0)</f>
        <v>#N/A</v>
      </c>
      <c r="D964" t="e">
        <f>VLOOKUP(bron[[#This Row],[personeelsnr]],'data hastus'!$A:$C,3,0)</f>
        <v>#N/A</v>
      </c>
      <c r="E964" s="2" t="e">
        <f>VLOOKUP(bron[[#This Row],[personeelsnr]],'data hastus'!A:K,11,FALSE)</f>
        <v>#N/A</v>
      </c>
      <c r="F964" s="10"/>
      <c r="G964" s="39"/>
      <c r="H964" s="39"/>
      <c r="I964" s="39"/>
      <c r="S964" s="44">
        <f>SUM(bron[[#This Row],[Januari]:[December]])</f>
        <v>0</v>
      </c>
      <c r="V964" s="37"/>
      <c r="W964" s="37"/>
    </row>
    <row r="965" spans="1:27" x14ac:dyDescent="0.25">
      <c r="B965" t="e">
        <f>_xlfn.CONCAT(bron[[#This Row],[personeelsnr]]," ",bron[[#This Row],[achternaam]]," ",bron[[#This Row],[voornaam]])</f>
        <v>#N/A</v>
      </c>
      <c r="C965" t="e">
        <f>VLOOKUP(bron[[#This Row],[personeelsnr]],'data hastus'!$A:$C,2,0)</f>
        <v>#N/A</v>
      </c>
      <c r="D965" t="e">
        <f>VLOOKUP(bron[[#This Row],[personeelsnr]],'data hastus'!$A:$C,3,0)</f>
        <v>#N/A</v>
      </c>
      <c r="E965" s="2" t="e">
        <f>VLOOKUP(bron[[#This Row],[personeelsnr]],'data hastus'!A:K,11,FALSE)</f>
        <v>#N/A</v>
      </c>
      <c r="F965" s="10"/>
      <c r="G965" s="39"/>
      <c r="H965" s="39"/>
      <c r="I965" s="39"/>
      <c r="S965" s="44">
        <f>SUM(bron[[#This Row],[Januari]:[December]])</f>
        <v>0</v>
      </c>
      <c r="V965" s="37"/>
      <c r="W965" s="37"/>
    </row>
    <row r="966" spans="1:27" x14ac:dyDescent="0.25">
      <c r="B966" t="e">
        <f>_xlfn.CONCAT(bron[[#This Row],[personeelsnr]]," ",bron[[#This Row],[achternaam]]," ",bron[[#This Row],[voornaam]])</f>
        <v>#N/A</v>
      </c>
      <c r="C966" t="e">
        <f>VLOOKUP(bron[[#This Row],[personeelsnr]],'data hastus'!$A:$C,2,0)</f>
        <v>#N/A</v>
      </c>
      <c r="D966" t="e">
        <f>VLOOKUP(bron[[#This Row],[personeelsnr]],'data hastus'!$A:$C,3,0)</f>
        <v>#N/A</v>
      </c>
      <c r="E966" s="2" t="e">
        <f>VLOOKUP(bron[[#This Row],[personeelsnr]],'data hastus'!A:K,11,FALSE)</f>
        <v>#N/A</v>
      </c>
      <c r="F966" s="10"/>
      <c r="G966" s="39"/>
      <c r="H966" s="39"/>
      <c r="I966" s="39"/>
      <c r="S966" s="44">
        <f>SUM(bron[[#This Row],[Januari]:[December]])</f>
        <v>0</v>
      </c>
      <c r="V966" s="37"/>
      <c r="W966" s="37"/>
    </row>
    <row r="967" spans="1:27" x14ac:dyDescent="0.25">
      <c r="B967" t="e">
        <f>_xlfn.CONCAT(bron[[#This Row],[personeelsnr]]," ",bron[[#This Row],[achternaam]]," ",bron[[#This Row],[voornaam]])</f>
        <v>#N/A</v>
      </c>
      <c r="C967" t="e">
        <f>VLOOKUP(bron[[#This Row],[personeelsnr]],'data hastus'!$A:$C,2,0)</f>
        <v>#N/A</v>
      </c>
      <c r="D967" t="e">
        <f>VLOOKUP(bron[[#This Row],[personeelsnr]],'data hastus'!$A:$C,3,0)</f>
        <v>#N/A</v>
      </c>
      <c r="E967" s="2" t="e">
        <f>VLOOKUP(bron[[#This Row],[personeelsnr]],'data hastus'!A:K,11,FALSE)</f>
        <v>#N/A</v>
      </c>
      <c r="F967" s="10"/>
      <c r="G967" s="39"/>
      <c r="H967" s="39"/>
      <c r="I967" s="39"/>
      <c r="S967" s="44">
        <f>SUM(bron[[#This Row],[Januari]:[December]])</f>
        <v>0</v>
      </c>
      <c r="V967" s="37"/>
      <c r="W967" s="37"/>
    </row>
    <row r="968" spans="1:27" x14ac:dyDescent="0.25">
      <c r="B968" t="e">
        <f>_xlfn.CONCAT(bron[[#This Row],[personeelsnr]]," ",bron[[#This Row],[achternaam]]," ",bron[[#This Row],[voornaam]])</f>
        <v>#N/A</v>
      </c>
      <c r="C968" t="e">
        <f>VLOOKUP(bron[[#This Row],[personeelsnr]],'data hastus'!$A:$C,2,0)</f>
        <v>#N/A</v>
      </c>
      <c r="D968" t="e">
        <f>VLOOKUP(bron[[#This Row],[personeelsnr]],'data hastus'!$A:$C,3,0)</f>
        <v>#N/A</v>
      </c>
      <c r="E968" s="2" t="e">
        <f>VLOOKUP(bron[[#This Row],[personeelsnr]],'data hastus'!A:K,11,FALSE)</f>
        <v>#N/A</v>
      </c>
      <c r="F968" s="10"/>
      <c r="G968" s="39"/>
      <c r="H968" s="39"/>
      <c r="I968" s="39"/>
      <c r="S968" s="44">
        <f>SUM(bron[[#This Row],[Januari]:[December]])</f>
        <v>0</v>
      </c>
      <c r="V968" s="37"/>
      <c r="W968" s="37"/>
    </row>
    <row r="969" spans="1:27" x14ac:dyDescent="0.25">
      <c r="B969" t="e">
        <f>_xlfn.CONCAT(bron[[#This Row],[personeelsnr]]," ",bron[[#This Row],[achternaam]]," ",bron[[#This Row],[voornaam]])</f>
        <v>#N/A</v>
      </c>
      <c r="C969" t="e">
        <f>VLOOKUP(bron[[#This Row],[personeelsnr]],'data hastus'!$A:$C,2,0)</f>
        <v>#N/A</v>
      </c>
      <c r="D969" t="e">
        <f>VLOOKUP(bron[[#This Row],[personeelsnr]],'data hastus'!$A:$C,3,0)</f>
        <v>#N/A</v>
      </c>
      <c r="E969" s="2" t="e">
        <f>VLOOKUP(bron[[#This Row],[personeelsnr]],'data hastus'!A:K,11,FALSE)</f>
        <v>#N/A</v>
      </c>
      <c r="F969" s="10"/>
      <c r="G969" s="39"/>
      <c r="H969" s="39"/>
      <c r="I969" s="39"/>
      <c r="S969" s="44">
        <f>SUM(bron[[#This Row],[Januari]:[December]])</f>
        <v>0</v>
      </c>
      <c r="V969" s="37"/>
      <c r="W969" s="37"/>
    </row>
    <row r="970" spans="1:27" x14ac:dyDescent="0.25">
      <c r="B970" t="e">
        <f>_xlfn.CONCAT(bron[[#This Row],[personeelsnr]]," ",bron[[#This Row],[achternaam]]," ",bron[[#This Row],[voornaam]])</f>
        <v>#N/A</v>
      </c>
      <c r="C970" t="e">
        <f>VLOOKUP(bron[[#This Row],[personeelsnr]],'data hastus'!$A:$C,2,0)</f>
        <v>#N/A</v>
      </c>
      <c r="D970" t="e">
        <f>VLOOKUP(bron[[#This Row],[personeelsnr]],'data hastus'!$A:$C,3,0)</f>
        <v>#N/A</v>
      </c>
      <c r="E970" s="2" t="e">
        <f>VLOOKUP(bron[[#This Row],[personeelsnr]],'data hastus'!A:K,11,FALSE)</f>
        <v>#N/A</v>
      </c>
      <c r="F970" s="10"/>
      <c r="G970" s="39"/>
      <c r="H970" s="39"/>
      <c r="I970" s="39"/>
      <c r="S970" s="44">
        <f>SUM(bron[[#This Row],[Januari]:[December]])</f>
        <v>0</v>
      </c>
      <c r="V970" s="37"/>
      <c r="W970" s="37"/>
    </row>
    <row r="971" spans="1:27" x14ac:dyDescent="0.25">
      <c r="B971" t="e">
        <f>_xlfn.CONCAT(bron[[#This Row],[personeelsnr]]," ",bron[[#This Row],[achternaam]]," ",bron[[#This Row],[voornaam]])</f>
        <v>#N/A</v>
      </c>
      <c r="C971" t="e">
        <f>VLOOKUP(bron[[#This Row],[personeelsnr]],'data hastus'!$A:$C,2,0)</f>
        <v>#N/A</v>
      </c>
      <c r="D971" t="e">
        <f>VLOOKUP(bron[[#This Row],[personeelsnr]],'data hastus'!$A:$C,3,0)</f>
        <v>#N/A</v>
      </c>
      <c r="E971" s="2" t="e">
        <f>VLOOKUP(bron[[#This Row],[personeelsnr]],'data hastus'!A:K,11,FALSE)</f>
        <v>#N/A</v>
      </c>
      <c r="F971" s="10"/>
      <c r="G971" s="39"/>
      <c r="H971" s="39"/>
      <c r="I971" s="39"/>
      <c r="S971" s="44">
        <f>SUM(bron[[#This Row],[Januari]:[December]])</f>
        <v>0</v>
      </c>
      <c r="V971" s="37"/>
      <c r="W971" s="37"/>
    </row>
  </sheetData>
  <sheetProtection sort="0" autoFilter="0"/>
  <phoneticPr fontId="1" type="noConversion"/>
  <conditionalFormatting sqref="F2:F971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e7229e5165138ff38703d0bd0252e655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54065dfa763075b64fca7034668eddf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E3478E0-B71A-4456-912A-81FF3A014F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2025-11-19T11:14:08Z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