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44" documentId="13_ncr:1_{10FCACA5-8197-478D-90D3-5F83063FB753}" xr6:coauthVersionLast="47" xr6:coauthVersionMax="47" xr10:uidLastSave="{092D1BA3-D933-42F7-B4B6-393F1A8881F4}"/>
  <bookViews>
    <workbookView xWindow="-14040" yWindow="-163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2" i="1" l="1"/>
  <c r="B972" i="1" s="1"/>
  <c r="D972" i="1"/>
  <c r="E972" i="1"/>
  <c r="S972" i="1"/>
  <c r="C971" i="1"/>
  <c r="B971" i="1" s="1"/>
  <c r="D971" i="1"/>
  <c r="E971" i="1"/>
  <c r="S971" i="1"/>
  <c r="C953" i="1"/>
  <c r="D953" i="1"/>
  <c r="E953" i="1"/>
  <c r="S953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70" i="1"/>
  <c r="B970" i="1" s="1"/>
  <c r="D970" i="1"/>
  <c r="E970" i="1"/>
  <c r="S970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B962" i="1" s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9" i="1"/>
  <c r="B959" i="1" s="1"/>
  <c r="D959" i="1"/>
  <c r="E959" i="1"/>
  <c r="S959" i="1"/>
  <c r="C958" i="1"/>
  <c r="B958" i="1" s="1"/>
  <c r="D958" i="1"/>
  <c r="E958" i="1"/>
  <c r="S958" i="1"/>
  <c r="C957" i="1"/>
  <c r="B957" i="1" s="1"/>
  <c r="D957" i="1"/>
  <c r="E957" i="1"/>
  <c r="S957" i="1"/>
  <c r="C956" i="1"/>
  <c r="B956" i="1" s="1"/>
  <c r="D956" i="1"/>
  <c r="E956" i="1"/>
  <c r="S956" i="1"/>
  <c r="C955" i="1"/>
  <c r="B955" i="1" s="1"/>
  <c r="D955" i="1"/>
  <c r="E955" i="1"/>
  <c r="S955" i="1"/>
  <c r="C954" i="1"/>
  <c r="D954" i="1"/>
  <c r="E954" i="1"/>
  <c r="S954" i="1"/>
  <c r="C949" i="1"/>
  <c r="B949" i="1" s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54" i="1" l="1"/>
  <c r="B947" i="1"/>
  <c r="B953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<sst xmlns="http://schemas.openxmlformats.org/spreadsheetml/2006/main" count="8872" uniqueCount="3802">
  <si>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</si>
  <si>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</si>
  <si>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</si>
  <si>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</si>
  <si>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</si>
  <si>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</si>
  <si>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</si>
  <si>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</si>
  <si>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</si>
  <si>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</si>
  <si>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</si>
  <si>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</si>
  <si>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</si>
  <si>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</si>
  <si>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</si>
  <si>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</si>
  <si>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</si>
  <si>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</si>
  <si>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</si>
  <si>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</si>
  <si>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</si>
  <si>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</si>
  <si>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</si>
  <si>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</si>
  <si>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</si>
  <si>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</si>
  <si>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</si>
  <si>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</si>
  <si>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</si>
  <si>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</si>
  <si>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</si>
  <si>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</si>
  <si>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</si>
  <si>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</si>
  <si>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</si>
  <si>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</si>
  <si>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</si>
  <si>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</si>
  <si>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</si>
  <si>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</si>
  <si>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</si>
  <si>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</si>
  <si>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</si>
  <si>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</si>
  <si>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</si>
  <si>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</si>
  <si>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</si>
  <si>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</si>
  <si>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</si>
  <si>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</si>
  <si>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</si>
  <si>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</si>
  <si>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</si>
  <si>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</si>
  <si>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</si>
  <si>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</si>
  <si>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</si>
  <si>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</si>
  <si>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</si>
  <si>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</si>
  <si>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</si>
  <si>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</si>
  <si>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</si>
  <si>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</si>
  <si>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</si>
  <si>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</si>
  <si>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</si>
  <si>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</si>
  <si>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</si>
  <si>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</si>
  <si>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</si>
  <si>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</si>
  <si>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</si>
  <si>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</si>
  <si>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</si>
  <si>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</si>
  <si>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</si>
  <si>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</si>
  <si>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</si>
  <si>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</si>
  <si>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</si>
  <si>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</si>
  <si>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</si>
  <si>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</si>
  <si>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</si>
  <si>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</si>
  <si>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</si>
  <si>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</si>
  <si>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</si>
  <si>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</si>
  <si>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</si>
  <si>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</si>
  <si>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</si>
  <si>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</si>
  <si>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</si>
  <si>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</si>
  <si>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</si>
  <si>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</si>
  <si>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</si>
  <si>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</si>
  <si>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</si>
  <si>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</si>
  <si>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</si>
  <si>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</si>
  <si>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</si>
  <si>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</si>
  <si>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</si>
  <si>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</si>
  <si>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</si>
  <si>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</si>
  <si>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</si>
  <si>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</si>
  <si>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</si>
  <si>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</si>
  <si>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</si>
  <si>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</si>
  <si>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</si>
  <si>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</si>
  <si>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</si>
  <si>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</si>
  <si>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</si>
  <si>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</si>
  <si>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</si>
  <si>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</si>
  <si>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</si>
  <si>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</si>
  <si>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</si>
  <si>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</si>
  <si>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</si>
  <si>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</si>
  <si>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</si>
  <si>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</si>
  <si>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</si>
  <si>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</si>
  <si>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</si>
  <si>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</si>
  <si>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</si>
  <si>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</si>
  <si>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</si>
  <si>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</si>
  <si>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</si>
  <si>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</si>
  <si>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</si>
  <si>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</si>
  <si>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</si>
  <si>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</si>
  <si>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</si>
  <si>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</si>
  <si>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</si>
  <si>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</si>
  <si>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</si>
  <si>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</si>
  <si>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</si>
  <si>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</si>
  <si>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</si>
  <si>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</si>
  <si>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</si>
  <si>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</si>
  <si>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</si>
  <si>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</si>
  <si>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</si>
  <si>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</si>
  <si>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</si>
  <si>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</si>
  <si>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</si>
  <si>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</si>
  <si>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</si>
  <si>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</si>
  <si>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</si>
  <si>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</si>
  <si>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</si>
  <si>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</si>
  <si>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</si>
  <si>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</si>
  <si>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</si>
  <si>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</si>
  <si>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</si>
  <si>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</si>
  <si>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</si>
  <si>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</si>
  <si>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</si>
  <si>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</si>
  <si>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</si>
  <si>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</si>
  <si>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</si>
  <si>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</si>
  <si>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</si>
  <si>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</si>
  <si>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</si>
  <si>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</si>
  <si>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</si>
  <si>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</si>
  <si>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</si>
  <si>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</si>
  <si>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</si>
  <si>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</si>
  <si>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</si>
  <si>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</si>
  <si>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</si>
  <si>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</si>
  <si>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</si>
  <si>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</si>
  <si>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</si>
  <si>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</si>
  <si>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</si>
  <si>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</si>
  <si>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</si>
  <si>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</si>
  <si>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</si>
  <si>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</si>
  <si>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</si>
  <si>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</si>
  <si>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</si>
  <si>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</si>
  <si>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</si>
  <si>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</si>
  <si>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</si>
  <si>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</si>
  <si>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</si>
  <si>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</si>
  <si>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</si>
  <si>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</si>
  <si>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</si>
  <si>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</si>
  <si>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</si>
  <si>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</si>
  <si>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</si>
  <si>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</si>
  <si>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</si>
  <si>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</si>
  <si>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</si>
  <si>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</si>
  <si>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</si>
  <si>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</si>
  <si>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</si>
  <si>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</si>
  <si>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</si>
  <si>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</si>
  <si>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</si>
  <si>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</si>
  <si>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</si>
  <si>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</si>
  <si>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</si>
  <si>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</si>
  <si>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</si>
  <si>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</si>
  <si>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</si>
  <si>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</si>
  <si>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</si>
  <si>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</si>
  <si>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</si>
  <si>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</si>
  <si>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</si>
  <si>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</si>
  <si>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</si>
  <si>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</si>
  <si>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</si>
  <si>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</si>
  <si>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</si>
  <si>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</si>
  <si>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</si>
  <si>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</si>
  <si>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</si>
  <si>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</si>
  <si>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</si>
  <si>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</si>
  <si>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</si>
  <si>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</si>
  <si>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</si>
  <si>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</si>
  <si>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</si>
  <si>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</si>
  <si>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</si>
  <si>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</si>
  <si>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</si>
  <si>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</si>
  <si>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</si>
  <si>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</si>
  <si>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</si>
  <si>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</si>
  <si>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</si>
  <si>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</si>
  <si>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</si>
  <si>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</si>
  <si>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</si>
  <si>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</si>
  <si>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</si>
  <si>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</si>
  <si>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</si>
  <si>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</si>
  <si>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</si>
  <si>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</si>
  <si>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</si>
  <si>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</si>
  <si>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</si>
  <si>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</si>
  <si>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</si>
  <si>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</si>
  <si>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</si>
  <si>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</si>
  <si>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</si>
  <si>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</si>
  <si>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</si>
  <si>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</si>
  <si>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</si>
  <si>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</si>
  <si>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</si>
  <si>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</si>
  <si>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</si>
  <si>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</si>
  <si>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</si>
  <si>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</si>
  <si>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</si>
  <si>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</si>
  <si>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</si>
  <si>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</si>
  <si>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</si>
  <si>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</si>
  <si>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</si>
  <si>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</si>
  <si>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</si>
  <si>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</si>
  <si>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</si>
  <si>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</si>
  <si>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</si>
  <si>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</si>
  <si>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</si>
  <si>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</si>
  <si>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</si>
  <si>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</si>
  <si>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</si>
  <si>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</si>
  <si>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</si>
  <si>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</si>
  <si>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</si>
  <si>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</si>
  <si>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</si>
  <si>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</si>
  <si>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</si>
  <si>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</si>
  <si>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</si>
  <si>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</si>
  <si>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</si>
  <si>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</si>
  <si>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</si>
  <si>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</si>
  <si>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</si>
  <si>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</si>
  <si>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</si>
  <si>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</si>
  <si>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</si>
  <si>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</si>
  <si>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</si>
  <si>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</si>
  <si>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</si>
  <si>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</si>
  <si>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</si>
  <si>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</si>
  <si>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</si>
  <si>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</si>
  <si>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</si>
  <si>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</si>
  <si>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</si>
  <si>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</si>
  <si>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</si>
  <si>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</si>
  <si>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</si>
  <si>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</si>
  <si>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</si>
  <si>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</si>
  <si>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</si>
  <si>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</si>
  <si>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</si>
  <si>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</si>
  <si>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</si>
  <si>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</si>
  <si>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</si>
  <si>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</si>
  <si>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</si>
  <si>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</si>
  <si>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</si>
  <si>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</si>
  <si>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</si>
  <si>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</si>
  <si>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</si>
  <si>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</si>
  <si>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</si>
  <si>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</si>
  <si>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</si>
  <si>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</si>
  <si>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</si>
  <si>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</si>
  <si>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</si>
  <si>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</si>
  <si>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</si>
  <si>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</si>
  <si>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</si>
  <si>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</si>
  <si>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</si>
  <si>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</si>
  <si>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</si>
  <si>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</si>
  <si>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</si>
  <si>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</si>
  <si>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</si>
  <si>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</si>
  <si>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</si>
  <si>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</si>
  <si>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</si>
  <si>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</si>
  <si>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</si>
  <si>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</si>
  <si>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</si>
  <si>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</si>
  <si>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</si>
  <si>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</si>
  <si>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</si>
  <si>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</si>
  <si>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</si>
  <si>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</si>
  <si>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</si>
  <si>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</si>
  <si>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</si>
  <si>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</si>
  <si>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</si>
  <si>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</si>
  <si>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</si>
  <si>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</si>
  <si>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</si>
  <si>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</si>
  <si>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</si>
  <si>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</si>
  <si>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</si>
  <si>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</si>
  <si>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</si>
  <si>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</si>
  <si>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</si>
  <si>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</si>
  <si>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</si>
  <si>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</si>
  <si>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</si>
  <si>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</si>
  <si>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</si>
  <si>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</si>
  <si>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</si>
  <si>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</si>
  <si>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</si>
  <si>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</si>
  <si>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</si>
  <si>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</si>
  <si>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</si>
  <si>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</si>
  <si>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</si>
  <si>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</si>
  <si>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</si>
  <si>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</si>
  <si>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</si>
  <si>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</si>
  <si>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</si>
  <si>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</si>
  <si>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</si>
  <si>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</si>
  <si>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</si>
  <si>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</si>
  <si>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</si>
  <si>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</si>
  <si>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</si>
  <si>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</si>
  <si>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</si>
  <si>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</si>
  <si>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</si>
  <si>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</si>
  <si>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</si>
  <si>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</si>
  <si>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</si>
  <si>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</si>
  <si>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</si>
  <si>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</si>
  <si>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</si>
  <si>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</si>
  <si>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</si>
  <si>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</si>
  <si>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</si>
  <si>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</si>
  <si>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</si>
  <si>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</si>
  <si>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</si>
  <si>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</si>
  <si>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</si>
  <si>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</si>
  <si>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</si>
  <si>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</si>
  <si>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</si>
  <si>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</si>
  <si>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</si>
  <si>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</si>
  <si>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</si>
  <si>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</si>
  <si>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</si>
  <si>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</si>
  <si>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</si>
  <si>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</si>
  <si>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</si>
  <si>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</si>
  <si>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</si>
  <si>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</si>
  <si>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</si>
  <si>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</si>
  <si>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</si>
  <si>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</si>
  <si>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</si>
  <si>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</si>
  <si>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</si>
  <si>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</si>
  <si>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</si>
  <si>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</si>
  <si>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</si>
  <si>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</si>
  <si>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</si>
  <si>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</si>
  <si>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</si>
  <si>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</si>
  <si>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</si>
  <si>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</si>
  <si>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</si>
  <si>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</si>
  <si>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</si>
  <si>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</si>
  <si>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</si>
  <si>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</si>
  <si>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</si>
  <si>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</si>
  <si>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</si>
  <si>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</si>
  <si>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</si>
  <si>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</si>
  <si>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</si>
  <si>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</si>
  <si>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</si>
  <si>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</si>
  <si>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</si>
  <si>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</si>
  <si>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</si>
  <si>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</si>
  <si>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</si>
  <si>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</si>
  <si>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</si>
  <si>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</si>
  <si>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</si>
  <si>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</si>
  <si>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</si>
  <si>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</si>
  <si>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</si>
  <si>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</si>
  <si>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</si>
  <si>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</si>
  <si>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</si>
  <si>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</si>
  <si>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</si>
  <si>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</si>
  <si>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</si>
  <si>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</si>
  <si>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</si>
  <si>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</si>
  <si>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</si>
  <si>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</si>
  <si>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</si>
  <si>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</si>
  <si>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</si>
  <si>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</si>
  <si>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</si>
  <si>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</si>
  <si>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</si>
  <si>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</si>
  <si>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</si>
  <si>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</si>
  <si>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</si>
  <si>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</si>
  <si>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</si>
  <si>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</si>
  <si>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</si>
  <si>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</si>
  <si>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</si>
  <si>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</si>
  <si>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</si>
  <si>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</si>
  <si>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</si>
  <si>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</si>
  <si>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</si>
  <si>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</si>
  <si>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</si>
  <si>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</si>
  <si>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</si>
  <si>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</si>
  <si>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</si>
  <si>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</si>
  <si>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</si>
  <si>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</si>
  <si>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</si>
  <si>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</si>
  <si>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</si>
  <si>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</si>
  <si>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</si>
  <si>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</si>
  <si>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</si>
  <si>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</si>
  <si>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</si>
  <si>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</si>
  <si>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</si>
  <si>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</si>
  <si>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</si>
  <si>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</si>
  <si>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</si>
  <si>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</si>
  <si>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</si>
  <si>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</si>
  <si>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</si>
  <si>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</si>
  <si>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</si>
  <si>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</si>
  <si>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</si>
  <si>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</si>
  <si>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</si>
  <si>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</si>
  <si>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</si>
  <si>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</si>
  <si>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</si>
  <si>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</si>
  <si>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</si>
  <si>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</si>
  <si>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</si>
  <si>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</si>
  <si>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</si>
  <si>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</si>
  <si>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</si>
  <si>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</si>
  <si>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</si>
  <si>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</si>
  <si>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</si>
  <si>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</si>
  <si>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</si>
  <si>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</si>
  <si>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</si>
  <si>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</si>
  <si>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</si>
  <si>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</si>
  <si>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</si>
  <si>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</si>
  <si>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</si>
  <si>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</si>
  <si>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</si>
  <si>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</si>
  <si>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</si>
  <si>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</si>
  <si>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</si>
  <si>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</si>
  <si>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</si>
  <si>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</si>
  <si>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</si>
  <si>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</si>
  <si>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</si>
  <si>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</si>
  <si>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</si>
  <si>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</si>
  <si>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</si>
  <si>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</si>
  <si>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</si>
  <si>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</si>
  <si>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</si>
  <si>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</si>
  <si>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</si>
  <si>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</si>
  <si>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</si>
  <si>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</si>
  <si>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</si>
  <si>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</si>
  <si>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</si>
  <si>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</si>
  <si>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</si>
  <si>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</si>
  <si>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</si>
  <si>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</si>
  <si>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</si>
  <si>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</si>
  <si>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</si>
  <si>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</si>
  <si>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</si>
  <si>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</si>
  <si>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</si>
  <si>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</si>
  <si>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</si>
  <si>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</si>
  <si>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</si>
  <si>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</si>
  <si>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</si>
  <si>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</si>
  <si>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</si>
  <si>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</si>
  <si>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</si>
  <si>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</si>
  <si>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</si>
  <si>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</si>
  <si>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</si>
  <si>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</si>
  <si>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</si>
  <si>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</si>
  <si>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</si>
  <si>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</si>
  <si>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</si>
  <si>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</si>
  <si>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</si>
  <si>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</si>
  <si>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</si>
  <si>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</si>
  <si>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</si>
  <si>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</si>
  <si>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</si>
  <si>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</si>
  <si>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</si>
  <si>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</si>
  <si>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</si>
  <si>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</si>
  <si>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</si>
  <si>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</si>
  <si>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</si>
  <si>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</si>
  <si>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</si>
  <si>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</si>
  <si>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</si>
  <si>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</si>
  <si>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</si>
  <si>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</si>
  <si>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</si>
  <si>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</si>
  <si>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</si>
  <si>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</si>
  <si>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</si>
  <si>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</si>
  <si>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</si>
  <si>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</si>
  <si>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</si>
  <si>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</si>
  <si>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</si>
  <si>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</si>
  <si>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</si>
  <si>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</si>
  <si>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</si>
  <si>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</si>
  <si>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</si>
  <si>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</si>
  <si>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</si>
  <si>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</si>
  <si>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</si>
  <si>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</si>
  <si>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</si>
  <si>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</si>
  <si>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</si>
  <si>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</si>
  <si>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</si>
  <si>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</si>
  <si>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</si>
  <si>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</si>
  <si>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</si>
  <si>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</si>
  <si>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</si>
  <si>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</si>
  <si>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</si>
  <si>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</si>
  <si>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</si>
  <si>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</si>
  <si>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</si>
  <si>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</si>
  <si>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</si>
  <si>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</si>
  <si>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</si>
  <si>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</si>
  <si>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</si>
  <si>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</si>
  <si>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</si>
  <si>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</si>
  <si>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</si>
  <si>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</si>
  <si>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</si>
  <si>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</si>
  <si>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</si>
  <si>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</si>
  <si>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</si>
  <si>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</si>
  <si>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</si>
  <si>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</si>
  <si>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</si>
  <si>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</si>
  <si>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</si>
  <si>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</si>
  <si>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</si>
  <si>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</si>
  <si>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</si>
  <si>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</si>
  <si>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</si>
  <si>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</si>
  <si>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</si>
  <si>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</si>
  <si>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</si>
  <si>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</si>
  <si>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</si>
  <si>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</si>
  <si>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</si>
  <si>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</si>
  <si>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</si>
  <si>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</si>
  <si>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</si>
  <si>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</si>
  <si>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</si>
  <si>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</si>
  <si>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</si>
  <si>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</si>
  <si>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</si>
  <si>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</si>
  <si>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</si>
  <si>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</si>
  <si>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</si>
  <si>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</si>
  <si>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</si>
  <si>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</si>
  <si>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</si>
  <si>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</si>
  <si>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</si>
  <si>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</si>
  <si>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</si>
  <si>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</si>
  <si>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</si>
  <si>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</si>
  <si>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</si>
  <si>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</si>
  <si>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</si>
  <si>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</si>
  <si>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</si>
  <si>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</si>
  <si>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</si>
  <si>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</si>
  <si>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</si>
  <si>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</si>
  <si>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</si>
  <si>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</si>
  <si>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</si>
  <si>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</si>
  <si>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</si>
  <si>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</si>
  <si>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</si>
  <si>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</si>
  <si>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</si>
  <si>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</si>
  <si>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</si>
  <si>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</si>
  <si>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</si>
  <si>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</si>
  <si>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</si>
  <si>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</si>
  <si>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</si>
  <si>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</si>
  <si>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</si>
  <si>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</si>
  <si>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</si>
  <si>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</si>
  <si>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</si>
  <si>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</si>
  <si>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</si>
  <si>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</si>
  <si>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</si>
  <si>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</si>
  <si>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</si>
  <si>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</si>
  <si>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</si>
  <si>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</si>
  <si>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</si>
  <si>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</si>
  <si>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</si>
  <si>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</si>
  <si>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</si>
  <si>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</si>
  <si>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</si>
  <si>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</si>
  <si>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</si>
  <si>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</si>
  <si>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</si>
  <si>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</si>
  <si>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</si>
  <si>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</si>
  <si>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</si>
  <si>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</si>
  <si>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</si>
  <si>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</si>
  <si>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</si>
  <si>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</si>
  <si>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</si>
  <si>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</si>
  <si>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</si>
  <si>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</si>
  <si>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</si>
  <si>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</si>
  <si>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</si>
  <si>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</si>
  <si>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</si>
  <si>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</si>
  <si>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</si>
  <si>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</si>
  <si>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</si>
  <si>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</si>
  <si>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</si>
  <si>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</si>
  <si>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</si>
  <si>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</si>
  <si>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</si>
  <si>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</si>
  <si>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</si>
  <si>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</si>
  <si>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</si>
  <si>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</si>
  <si>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</si>
  <si>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</si>
  <si>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</si>
  <si>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</si>
  <si>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</si>
  <si>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</si>
  <si>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</si>
  <si>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</si>
  <si>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</si>
  <si>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</si>
  <si>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</si>
  <si>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</si>
  <si>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</si>
  <si>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</si>
  <si>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</si>
  <si>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</si>
  <si>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</si>
  <si>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</si>
  <si>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</si>
  <si>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</si>
  <si>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</si>
  <si>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</si>
  <si>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</si>
  <si>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</si>
  <si>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</si>
  <si>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</si>
  <si>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</si>
  <si>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</si>
  <si>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</si>
  <si>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</si>
  <si>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</si>
  <si>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</si>
  <si>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</si>
  <si>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</si>
  <si>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</si>
  <si>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</si>
  <si>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</si>
  <si>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</si>
  <si>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</si>
  <si>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</si>
  <si>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</si>
  <si>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</si>
  <si>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</si>
  <si>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</si>
  <si>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</si>
  <si>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</si>
  <si>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</si>
  <si>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</si>
  <si>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</si>
  <si>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</si>
  <si>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</si>
  <si>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</si>
  <si>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</si>
  <si>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</si>
  <si>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</si>
  <si>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</si>
  <si>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</si>
  <si>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</si>
  <si>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</si>
  <si>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</si>
  <si>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</si>
  <si>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</si>
  <si>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</si>
  <si>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</si>
  <si>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</si>
  <si>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</si>
  <si>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</si>
  <si>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</si>
  <si>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</si>
  <si>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</si>
  <si>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</si>
  <si>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</si>
  <si>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</si>
  <si>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</si>
  <si>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</si>
  <si>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</si>
  <si>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</si>
  <si>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</si>
  <si>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</si>
  <si>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</si>
  <si>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</si>
  <si>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</si>
  <si>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</si>
  <si>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</si>
  <si>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</si>
  <si>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</si>
  <si>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</si>
  <si>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</si>
  <si>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</si>
  <si>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</si>
  <si>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</si>
  <si>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</si>
  <si>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</si>
  <si>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</si>
  <si>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</si>
  <si>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</si>
  <si>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</si>
  <si>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</si>
  <si>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</si>
  <si>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</si>
  <si>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</si>
  <si>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</si>
  <si>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</si>
  <si>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</si>
  <si>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</si>
  <si>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</si>
  <si>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</si>
  <si>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</si>
  <si>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</si>
  <si>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</si>
  <si>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</si>
  <si>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</si>
  <si>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</si>
  <si>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</si>
  <si>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</si>
  <si>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</si>
  <si>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</si>
  <si>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</si>
  <si>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</si>
  <si>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</si>
  <si>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</si>
  <si>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</si>
  <si>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</si>
  <si>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</si>
  <si>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</si>
  <si>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</si>
  <si>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</si>
  <si>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</si>
  <si>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</si>
  <si>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</si>
  <si>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</si>
  <si>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</si>
  <si>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</si>
  <si>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</si>
  <si>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</si>
  <si>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</si>
  <si>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</si>
  <si>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</si>
  <si>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</si>
  <si>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</si>
  <si>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</si>
  <si>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</si>
  <si>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</si>
  <si>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</si>
  <si>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</si>
  <si>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</si>
  <si>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</si>
  <si>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</si>
  <si>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</si>
  <si>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</si>
  <si>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</si>
  <si>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</si>
  <si>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</si>
  <si>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</si>
  <si>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</si>
  <si>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</si>
  <si>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</si>
  <si>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</si>
  <si>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</si>
  <si>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</si>
  <si>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</si>
  <si>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</si>
  <si>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</si>
  <si>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</si>
  <si>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</si>
  <si>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</si>
  <si>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</si>
  <si>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</si>
  <si>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</si>
  <si>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</si>
  <si>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</si>
  <si>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</si>
  <si>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</si>
  <si>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</si>
  <si>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</si>
  <si>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</si>
  <si>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</si>
  <si>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</si>
  <si>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</si>
  <si>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</si>
  <si>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</si>
  <si>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</si>
  <si>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</si>
  <si>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</si>
  <si>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</si>
  <si>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</si>
  <si>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</si>
  <si>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</si>
  <si>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</si>
  <si>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</si>
  <si>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</si>
  <si>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</si>
  <si>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</si>
  <si>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</si>
  <si>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</si>
  <si>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</si>
  <si>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</si>
  <si>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</si>
  <si>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</si>
  <si>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</si>
  <si>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</si>
  <si>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</si>
  <si>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</si>
  <si>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</si>
  <si>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</si>
  <si>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</si>
  <si>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</si>
  <si>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</si>
  <si>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</si>
  <si>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</si>
  <si>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</si>
  <si>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</si>
  <si>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</si>
  <si>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</si>
  <si>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</si>
  <si>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</si>
  <si>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</si>
  <si>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</si>
  <si>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</si>
  <si>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</si>
  <si>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</si>
  <si>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</si>
  <si>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</si>
  <si>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</si>
  <si>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</si>
  <si>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</si>
  <si>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</si>
  <si>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</si>
  <si>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</si>
  <si>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</si>
  <si>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</si>
  <si>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</si>
  <si>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</si>
  <si>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</si>
  <si>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</si>
  <si>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</si>
  <si>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</si>
  <si>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</si>
  <si>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</si>
  <si>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</si>
  <si>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</si>
  <si>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</si>
  <si>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</si>
  <si>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</si>
  <si>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</si>
  <si>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</si>
  <si>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</si>
  <si>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</si>
  <si>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</si>
  <si>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</si>
  <si>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</si>
  <si>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</si>
  <si>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</si>
  <si>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</si>
  <si>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</si>
  <si>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</si>
  <si>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</si>
  <si>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</si>
  <si>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</si>
  <si>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</si>
  <si>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</si>
  <si>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</si>
  <si>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</si>
  <si>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</si>
  <si>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</si>
  <si>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</si>
  <si>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</si>
  <si>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</si>
  <si>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</si>
  <si>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</si>
  <si>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</si>
  <si>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</si>
  <si>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</si>
  <si>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</si>
  <si>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</si>
  <si>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</si>
  <si>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</si>
  <si>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</si>
  <si>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</si>
  <si>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</si>
  <si>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</si>
  <si>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</si>
  <si>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</si>
  <si>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</si>
  <si>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</si>
  <si>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</si>
  <si>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</si>
  <si>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</si>
  <si>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</si>
  <si>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</si>
  <si>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</si>
  <si>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</si>
  <si>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</si>
  <si>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</si>
  <si>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</si>
  <si>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</si>
  <si>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</si>
  <si>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</si>
  <si>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</si>
  <si>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</si>
  <si>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</si>
  <si>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</si>
  <si>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</si>
  <si>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</si>
  <si>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</si>
  <si>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</si>
  <si>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</si>
  <si>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</si>
  <si>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</si>
  <si>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</si>
  <si>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</si>
  <si>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</si>
  <si>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</si>
  <si>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</si>
  <si>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</si>
  <si>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</si>
  <si>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</si>
  <si>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</si>
  <si>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</si>
  <si>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</si>
  <si>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</si>
  <si>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</si>
  <si>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</si>
  <si>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</si>
  <si>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</si>
  <si>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</si>
  <si>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</si>
  <si>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</si>
  <si>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</si>
  <si>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</si>
  <si>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</si>
  <si>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</si>
  <si>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</si>
  <si>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</si>
  <si>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</si>
  <si>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</si>
  <si>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</si>
  <si>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</si>
  <si>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</si>
  <si>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</si>
  <si>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</si>
  <si>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</si>
  <si>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</si>
  <si>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</si>
  <si>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</si>
  <si>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</si>
  <si>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</si>
  <si>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</si>
  <si>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</si>
  <si>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</si>
  <si>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</si>
  <si>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</si>
  <si>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</si>
  <si>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</si>
  <si>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</si>
  <si>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</si>
  <si>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</si>
  <si>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</si>
  <si>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</si>
  <si>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</si>
  <si>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</si>
  <si>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</si>
  <si>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</si>
  <si>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</si>
  <si>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</si>
  <si>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</si>
  <si>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</si>
  <si>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</si>
  <si>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</si>
  <si>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</si>
  <si>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</si>
  <si>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</si>
  <si>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</si>
  <si>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</si>
  <si>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</si>
  <si>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</si>
  <si>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</si>
  <si>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</si>
  <si>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</si>
  <si>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</si>
  <si>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</si>
  <si>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</si>
  <si>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</si>
  <si>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</si>
  <si>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</si>
  <si>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</si>
  <si>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</si>
  <si>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</si>
  <si>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</si>
  <si>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</si>
  <si>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</si>
  <si>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</si>
  <si>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</si>
  <si>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</si>
  <si>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</si>
  <si>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</si>
  <si>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</si>
  <si>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</si>
  <si>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</si>
  <si>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</si>
  <si>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</si>
  <si>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</si>
  <si>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</si>
  <si>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</si>
  <si>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</si>
  <si>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</si>
  <si>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</si>
  <si>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</si>
  <si>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</si>
  <si>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</si>
  <si>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</si>
  <si>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</si>
  <si>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</si>
  <si>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</si>
  <si>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</si>
  <si>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</si>
  <si>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</si>
  <si>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</si>
  <si>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</si>
  <si>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</si>
  <si>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</si>
  <si>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</si>
  <si>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</si>
  <si>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</si>
  <si>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</si>
  <si>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</si>
  <si>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</si>
  <si>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</si>
  <si>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</si>
  <si>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</si>
  <si>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</si>
  <si>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</si>
  <si>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</si>
  <si>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</si>
  <si>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</si>
  <si>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</si>
  <si>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</si>
  <si>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</si>
  <si>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</si>
  <si>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</si>
  <si>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</si>
  <si>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</si>
  <si>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</si>
  <si>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</si>
  <si>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</si>
  <si>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</si>
  <si>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</si>
  <si>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</si>
  <si>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</si>
  <si>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</si>
  <si>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</si>
  <si>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</si>
  <si>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</si>
  <si>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</si>
  <si>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</si>
  <si>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</si>
  <si>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</si>
  <si>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</si>
  <si>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</si>
  <si>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</si>
  <si>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</si>
  <si>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</si>
  <si>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</si>
  <si>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</si>
  <si>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</si>
  <si>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</si>
  <si>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</si>
  <si>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</si>
  <si>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</si>
  <si>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</si>
  <si>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</si>
  <si>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</si>
  <si>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</si>
  <si>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</si>
  <si>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</si>
  <si>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</si>
  <si>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</si>
  <si>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</si>
  <si>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</si>
  <si>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</si>
  <si>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</si>
  <si>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</si>
  <si>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</si>
  <si>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</si>
  <si>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</si>
  <si>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</si>
  <si>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</si>
  <si>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</si>
  <si>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</si>
  <si>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</si>
  <si>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</si>
  <si>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</si>
  <si>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</si>
  <si>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</si>
  <si>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</si>
  <si>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</si>
  <si>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</si>
  <si>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</si>
  <si>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</si>
  <si>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</si>
  <si>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</si>
  <si>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</si>
  <si>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</si>
  <si>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</si>
  <si>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</si>
  <si>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</si>
  <si>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</si>
  <si>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</si>
  <si>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</si>
  <si>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</si>
  <si>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</si>
  <si>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</si>
  <si>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</si>
  <si>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</si>
  <si>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</si>
  <si>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</si>
  <si>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</si>
  <si>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</si>
  <si>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</si>
  <si>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</si>
  <si>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</si>
  <si>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</si>
  <si>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</si>
  <si>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</si>
  <si>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</si>
  <si>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</si>
  <si>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</si>
  <si>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</si>
  <si>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</si>
  <si>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</si>
  <si>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</si>
  <si>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</si>
  <si>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</si>
  <si>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</si>
  <si>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</si>
  <si>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</si>
  <si>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</si>
  <si>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</si>
  <si>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</si>
  <si>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</si>
  <si>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</si>
  <si>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</si>
  <si>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</si>
  <si>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</si>
  <si>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</si>
  <si>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</si>
  <si>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</si>
  <si>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</si>
  <si>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</si>
  <si>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</si>
  <si>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</si>
  <si>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</si>
  <si>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</si>
  <si>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</si>
  <si>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</si>
  <si>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</si>
  <si>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</si>
  <si>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</si>
  <si>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</si>
  <si>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</si>
  <si>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</si>
  <si>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</si>
  <si>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</si>
  <si>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</si>
  <si>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</si>
  <si>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</si>
  <si>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</si>
  <si>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</si>
  <si>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</si>
  <si>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</si>
  <si>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</si>
  <si>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</si>
  <si>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</si>
  <si>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</si>
  <si>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</si>
  <si>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</si>
  <si>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</si>
  <si>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</si>
  <si>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</si>
  <si>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</si>
  <si>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</si>
  <si>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</si>
  <si>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</si>
  <si>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</si>
  <si>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</si>
  <si>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</si>
  <si>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</si>
  <si>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</si>
  <si>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</si>
  <si>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</si>
  <si>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</si>
  <si>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</si>
  <si>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</si>
  <si>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</si>
  <si>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</si>
  <si>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</si>
  <si>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</si>
  <si>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</si>
  <si>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</si>
  <si>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</si>
  <si>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</si>
  <si>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</si>
  <si>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</si>
  <si>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</si>
  <si>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</si>
  <si>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</si>
  <si>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</si>
  <si>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</si>
  <si>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</si>
  <si>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</si>
  <si>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</si>
  <si>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</si>
  <si>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</si>
  <si>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</si>
  <si>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</si>
  <si>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</si>
  <si>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</si>
  <si>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</si>
  <si>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</si>
  <si>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</si>
  <si>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</si>
  <si>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</si>
  <si>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</si>
  <si>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</si>
  <si>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</si>
  <si>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</si>
  <si>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</si>
  <si>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</si>
  <si>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</si>
  <si>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</si>
  <si>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</si>
  <si>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</si>
  <si>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</si>
  <si>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</si>
  <si>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</si>
  <si>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</si>
  <si>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</si>
  <si>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</si>
  <si>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</si>
  <si>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</si>
  <si>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</si>
  <si>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</si>
  <si>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</si>
  <si>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</si>
  <si>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</si>
  <si>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</si>
  <si>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</si>
  <si>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</si>
  <si>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</si>
  <si>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</si>
  <si>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</si>
  <si>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</si>
  <si>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</si>
  <si>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</si>
  <si>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</si>
  <si>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</si>
  <si>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</si>
  <si>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</si>
  <si>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</si>
  <si>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</si>
  <si>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</si>
  <si>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</si>
  <si>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</si>
  <si>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</si>
  <si>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</si>
  <si>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</si>
  <si>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</si>
  <si>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</si>
  <si>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</si>
  <si>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</si>
  <si>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</si>
  <si>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</si>
  <si>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</si>
  <si>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</si>
  <si>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</si>
  <si>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</si>
  <si>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</si>
  <si>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</si>
  <si>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</si>
  <si>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</si>
  <si>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</si>
  <si>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</si>
  <si>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</si>
  <si>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</si>
  <si>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</si>
  <si>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</si>
  <si>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</si>
  <si>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</si>
  <si>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</si>
  <si>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</si>
  <si>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</si>
  <si>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</si>
  <si>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</si>
  <si>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</si>
  <si>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</si>
  <si>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</si>
  <si>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</si>
  <si>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</si>
  <si>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</si>
  <si>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</si>
  <si>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</si>
  <si>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</si>
  <si>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</si>
  <si>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</si>
  <si>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</si>
  <si>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</si>
  <si>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</si>
  <si>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</si>
  <si>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</si>
  <si>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</si>
  <si>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</si>
  <si>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</si>
  <si>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</si>
  <si>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</si>
  <si>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</si>
  <si>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</si>
  <si>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</si>
  <si>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</si>
  <si>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</si>
  <si>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</si>
  <si>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</si>
  <si>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</si>
  <si>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</si>
  <si>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</si>
  <si>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</si>
  <si>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</si>
  <si>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</si>
  <si>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</si>
  <si>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</si>
  <si>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</si>
  <si>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</si>
  <si>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</si>
  <si>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</si>
  <si>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</si>
  <si>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</si>
  <si>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</si>
  <si>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</si>
  <si>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</si>
  <si>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</si>
  <si>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</si>
  <si>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</si>
  <si>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</si>
  <si>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</si>
  <si>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</si>
  <si>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</si>
  <si>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</si>
  <si>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</si>
  <si>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</si>
  <si>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</si>
  <si>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</si>
  <si>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</si>
  <si>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</si>
  <si>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</si>
  <si>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</si>
  <si>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</si>
  <si>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</si>
  <si>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</si>
  <si>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</si>
  <si>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</si>
  <si>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</si>
  <si>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</si>
  <si>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</si>
  <si>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</si>
  <si>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</si>
  <si>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</si>
  <si>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</si>
  <si>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</si>
  <si>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</si>
  <si>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</si>
  <si>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</si>
  <si>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</si>
  <si>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</si>
  <si>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</si>
  <si>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</si>
  <si>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</si>
  <si>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</si>
  <si>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</si>
  <si>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</si>
  <si>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</si>
  <si>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</si>
  <si>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</si>
  <si>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</si>
  <si>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</si>
  <si>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</si>
  <si>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</si>
  <si>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</si>
  <si>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</si>
  <si>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</si>
  <si>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</si>
  <si>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</si>
  <si>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</si>
  <si>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</si>
  <si>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</si>
  <si>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</si>
  <si>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</si>
  <si>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</si>
  <si>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</si>
  <si>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</si>
  <si>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</si>
  <si>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</si>
  <si>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</si>
  <si>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</si>
  <si>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</si>
  <si>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</si>
  <si>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</si>
  <si>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</si>
  <si>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</si>
  <si>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</si>
  <si>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</si>
  <si>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</si>
  <si>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</si>
  <si>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</si>
  <si>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</si>
  <si>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</si>
  <si>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</si>
  <si>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</si>
  <si>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</si>
  <si>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</si>
  <si>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</si>
  <si>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</si>
  <si>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</si>
  <si>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</si>
  <si>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</si>
  <si>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</si>
  <si>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</si>
  <si>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</si>
  <si>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</si>
  <si>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</si>
  <si>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</si>
  <si>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</si>
  <si>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</si>
  <si>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</si>
  <si>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</si>
  <si>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</si>
  <si>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</si>
  <si>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</si>
  <si>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</si>
  <si>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</si>
  <si>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</si>
  <si>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</si>
  <si>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</si>
  <si>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</si>
  <si>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</si>
  <si>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</si>
  <si>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</si>
  <si>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</si>
  <si>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</si>
  <si>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</si>
  <si>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</si>
  <si>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</si>
  <si>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</si>
  <si>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</si>
  <si>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</si>
  <si>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</si>
  <si>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</si>
  <si>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</si>
  <si>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</si>
  <si>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</si>
  <si>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</si>
  <si>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</si>
  <si>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</si>
  <si>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</si>
  <si>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</si>
  <si>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</si>
  <si>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</si>
  <si>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</si>
  <si>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</si>
  <si>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</si>
  <si>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</si>
  <si>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</si>
  <si>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</si>
  <si>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</si>
  <si>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</si>
  <si>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</si>
  <si>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</si>
  <si>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</si>
  <si>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</si>
  <si>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</si>
  <si>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</si>
  <si>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</si>
  <si>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</si>
  <si>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</si>
  <si>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</si>
  <si>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</si>
  <si>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</si>
  <si>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</si>
  <si>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</si>
  <si>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</si>
  <si>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</si>
  <si>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</si>
  <si>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</si>
  <si>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</si>
  <si>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</si>
  <si>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</si>
  <si>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</si>
  <si>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</si>
  <si>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</si>
  <si>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</si>
  <si>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</si>
  <si>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</si>
  <si>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</si>
  <si>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</si>
  <si>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</si>
  <si>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</si>
  <si>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</si>
  <si>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</si>
  <si>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</si>
  <si>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</si>
  <si>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</si>
  <si>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</si>
  <si>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</si>
  <si>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</si>
  <si>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</si>
  <si>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</si>
  <si>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</si>
  <si>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</si>
  <si>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</si>
  <si>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</si>
  <si>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</si>
  <si>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</si>
  <si>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</si>
  <si>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</si>
  <si>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</si>
  <si>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</si>
  <si>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</si>
  <si>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</si>
  <si>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</si>
  <si>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</si>
  <si>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</si>
  <si>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</si>
  <si>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</si>
  <si>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</si>
  <si>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</si>
  <si>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</si>
  <si>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</si>
  <si>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</si>
  <si>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</si>
  <si>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</si>
  <si>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</si>
  <si>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</si>
  <si>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</si>
  <si>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</si>
  <si>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</si>
  <si>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</si>
  <si>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</si>
  <si>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</si>
  <si>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</si>
  <si>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</si>
  <si>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</si>
  <si>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</si>
  <si>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</si>
  <si>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</si>
  <si>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</si>
  <si>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</si>
  <si>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</si>
  <si>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</si>
  <si>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</si>
  <si>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</si>
  <si>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</si>
  <si>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</si>
  <si>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</si>
  <si>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</si>
  <si>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</si>
  <si>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</si>
  <si>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</si>
  <si>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</si>
  <si>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</si>
  <si>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</si>
  <si>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</si>
  <si>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</si>
  <si>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</si>
  <si>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</si>
  <si>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</si>
  <si>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</si>
  <si>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</si>
  <si>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</si>
  <si>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</si>
  <si>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</si>
  <si>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</si>
  <si>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</si>
  <si>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</si>
  <si>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</si>
  <si>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</si>
  <si>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</si>
  <si>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</si>
  <si>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</si>
  <si>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</si>
  <si>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</si>
  <si>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</si>
  <si>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</si>
  <si>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</si>
  <si>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</si>
  <si>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</si>
  <si>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</si>
  <si>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</si>
  <si>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</si>
  <si>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</si>
  <si>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</si>
  <si>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</si>
  <si>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</si>
  <si>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</si>
  <si>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</si>
  <si>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</si>
  <si>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</si>
  <si>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</si>
  <si>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</si>
  <si>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</si>
  <si>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</si>
  <si>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</si>
  <si>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</si>
  <si>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</si>
  <si>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</si>
  <si>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</si>
  <si>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</si>
  <si>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</si>
  <si>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</si>
  <si>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</si>
  <si>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</si>
  <si>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</si>
  <si>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</si>
  <si>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</si>
  <si>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</si>
  <si>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</si>
  <si>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</si>
  <si>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</si>
  <si>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</si>
  <si>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</si>
  <si>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</si>
  <si>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</si>
  <si>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</si>
  <si>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</si>
  <si>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</si>
  <si>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</si>
  <si>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</si>
  <si>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</si>
  <si>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</si>
  <si>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</si>
  <si>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</si>
  <si>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</si>
  <si>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</si>
  <si>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</si>
  <si>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</si>
  <si>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</si>
  <si>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</si>
  <si>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</si>
  <si>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</si>
  <si>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</si>
  <si>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</si>
  <si>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</si>
  <si>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</si>
  <si>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</si>
  <si>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</si>
  <si>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</si>
  <si>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</si>
  <si>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</si>
  <si>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</si>
  <si>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</si>
  <si>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</si>
  <si>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</si>
  <si>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</si>
  <si>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</si>
  <si>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</si>
  <si>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</si>
  <si>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</si>
  <si>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</si>
  <si>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</si>
  <si>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</si>
  <si>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</si>
  <si>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</si>
  <si>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</si>
  <si>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</si>
  <si>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</si>
  <si>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</si>
  <si>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</si>
  <si>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</si>
  <si>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</si>
  <si>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</si>
  <si>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</si>
  <si>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</si>
  <si>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</si>
  <si>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</si>
  <si>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</si>
  <si>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</si>
  <si>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</si>
  <si>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</si>
  <si>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</si>
  <si>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</si>
  <si>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</si>
  <si>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</si>
  <si>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</si>
  <si>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</si>
  <si>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</si>
  <si>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</si>
  <si>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</si>
  <si>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</si>
  <si>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</si>
  <si>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</si>
  <si>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</si>
  <si>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</si>
  <si>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</si>
  <si>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</si>
  <si>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</si>
  <si>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</si>
  <si>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</si>
  <si>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</si>
  <si>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</si>
  <si>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</si>
  <si>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</si>
  <si>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</si>
  <si>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</si>
  <si>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</si>
  <si>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</si>
  <si>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</si>
  <si>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</si>
  <si>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</si>
  <si>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</si>
  <si>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</si>
  <si>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</si>
  <si>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</si>
  <si>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</si>
  <si>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</si>
  <si>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</si>
  <si>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</si>
  <si>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</si>
  <si>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</si>
  <si>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</si>
  <si>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</si>
  <si>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</si>
  <si>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</si>
  <si>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</si>
  <si>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</si>
  <si>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</si>
  <si>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</si>
  <si>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</si>
  <si>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</si>
  <si>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</si>
  <si>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</si>
  <si>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</si>
  <si>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</si>
  <si>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</si>
  <si>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</si>
  <si>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</si>
  <si>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</si>
  <si>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</si>
  <si>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</si>
  <si>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</si>
  <si>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</si>
  <si>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</si>
  <si>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</si>
  <si>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</si>
  <si>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</si>
  <si>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</si>
  <si>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</si>
  <si>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</si>
  <si>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</si>
  <si>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</si>
  <si>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</si>
  <si>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</si>
  <si>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</si>
  <si>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</si>
  <si>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</si>
  <si>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</si>
  <si>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</si>
  <si>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</si>
  <si>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</si>
  <si>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</si>
  <si>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</si>
  <si>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</si>
  <si>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</si>
  <si>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</si>
  <si>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</si>
  <si>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</si>
  <si>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</si>
  <si>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</si>
  <si>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</si>
  <si>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</si>
  <si>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</si>
  <si>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</si>
  <si>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</si>
  <si>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</si>
  <si>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</si>
  <si>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</si>
  <si>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</si>
  <si>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</si>
  <si>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</si>
  <si>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</si>
  <si>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</si>
  <si>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</si>
  <si>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</si>
  <si>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</si>
  <si>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</si>
  <si>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</si>
  <si>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</si>
  <si>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</si>
  <si>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</si>
  <si>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</si>
  <si>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</si>
  <si>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</si>
  <si>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</si>
  <si>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</si>
  <si>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</si>
  <si>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</si>
  <si>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</si>
  <si>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</si>
  <si>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</si>
  <si>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</si>
  <si>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</si>
  <si>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</si>
  <si>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</si>
  <si>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</si>
  <si>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</si>
  <si>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</si>
  <si>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</si>
  <si>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</si>
  <si>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</si>
  <si>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</si>
  <si>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</si>
  <si>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</si>
  <si>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</si>
  <si>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</si>
  <si>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</si>
  <si>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</si>
  <si>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</si>
  <si>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</si>
  <si>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</si>
  <si>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</si>
  <si>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</si>
  <si>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</si>
  <si>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</si>
  <si>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</si>
  <si>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</si>
  <si>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</si>
  <si>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</si>
  <si>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</si>
  <si>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</si>
  <si>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</si>
  <si>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</si>
  <si>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</si>
  <si>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</si>
  <si>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</si>
  <si>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</si>
  <si>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</si>
  <si>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</si>
  <si>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</si>
  <si>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</si>
  <si>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</si>
  <si>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</si>
  <si>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</si>
  <si>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</si>
  <si>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</si>
  <si>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</si>
  <si>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</si>
  <si>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</si>
  <si>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</si>
  <si>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</si>
  <si>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</si>
  <si>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</si>
  <si>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</si>
  <si>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</si>
  <si>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</si>
  <si>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</si>
  <si>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</si>
  <si>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</si>
  <si>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</si>
  <si>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</si>
  <si>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</si>
  <si>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</si>
  <si>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</si>
  <si>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</si>
  <si>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</si>
  <si>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</si>
  <si>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</si>
  <si>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</si>
  <si>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</si>
  <si>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</si>
  <si>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</si>
  <si>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</si>
  <si>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</si>
  <si>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</si>
  <si>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</si>
  <si>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</si>
  <si>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</si>
  <si>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</si>
  <si>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</si>
  <si>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</si>
  <si>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</si>
  <si>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</si>
  <si>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</si>
  <si>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</si>
  <si>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</si>
  <si>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</si>
  <si>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</si>
  <si>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</si>
  <si>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</si>
  <si>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</si>
  <si>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</si>
  <si>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</si>
  <si>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</si>
  <si>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</si>
  <si>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</si>
  <si>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</si>
  <si>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</si>
  <si>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</si>
  <si>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</si>
  <si>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</si>
  <si>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</si>
  <si>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</si>
  <si>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</si>
  <si>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</si>
  <si>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</si>
  <si>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</si>
  <si>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</si>
  <si>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</si>
  <si>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</si>
  <si>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</si>
  <si>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</si>
  <si>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</si>
  <si>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</si>
  <si>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</si>
  <si>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</si>
  <si>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</si>
  <si>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</si>
  <si>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</si>
  <si>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</si>
  <si>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</si>
  <si>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</si>
  <si>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</si>
  <si>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</si>
  <si>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</si>
  <si>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</si>
  <si>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</si>
  <si>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</si>
  <si>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</si>
  <si>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</si>
  <si>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</si>
  <si>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</si>
  <si>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</si>
  <si>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</si>
  <si>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</si>
  <si>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</si>
  <si>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</si>
  <si>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</si>
  <si>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</si>
  <si>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</si>
  <si>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</si>
  <si>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</si>
  <si>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</si>
  <si>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</si>
  <si>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</si>
  <si>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</si>
  <si>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</si>
  <si>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</si>
  <si>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</si>
  <si>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</si>
  <si>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</si>
  <si>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</si>
  <si>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</si>
  <si>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</si>
  <si>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</si>
  <si>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</si>
  <si>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</si>
  <si>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</si>
  <si>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</si>
  <si>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</si>
  <si>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</si>
  <si>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</si>
  <si>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</si>
  <si>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</si>
  <si>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</si>
  <si>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</si>
  <si>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</si>
  <si>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</si>
  <si>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</si>
  <si>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</si>
  <si>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</si>
  <si>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</si>
  <si>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</si>
  <si>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</si>
  <si>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</si>
  <si>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</si>
  <si>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</si>
  <si>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</si>
  <si>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</si>
  <si>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</si>
  <si>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</si>
  <si>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</si>
  <si>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</si>
  <si>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</si>
  <si>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</si>
  <si>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</si>
  <si>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</si>
  <si>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</si>
  <si>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</si>
  <si>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</si>
  <si>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</si>
  <si>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</si>
  <si>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</si>
  <si>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</si>
  <si>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</si>
  <si>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</si>
  <si>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</si>
  <si>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</si>
  <si>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</si>
  <si>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</si>
  <si>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</si>
  <si>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</si>
  <si>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</si>
  <si>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</si>
  <si>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</si>
  <si>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</si>
  <si>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</si>
  <si>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</si>
  <si>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</si>
  <si>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</si>
  <si>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</si>
  <si>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</si>
  <si>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</si>
  <si>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</si>
  <si>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</si>
  <si>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</si>
  <si>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</si>
  <si>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</si>
  <si>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</si>
  <si>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</si>
  <si>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</si>
  <si>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</si>
  <si>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</si>
  <si>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</si>
  <si>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</si>
  <si>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</si>
  <si>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</si>
  <si>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</si>
  <si>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</si>
  <si>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</si>
  <si>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</si>
  <si>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</si>
  <si>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</si>
  <si>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</si>
  <si>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</si>
  <si>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</si>
  <si>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</si>
  <si>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</si>
  <si>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</si>
  <si>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</si>
  <si>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</si>
  <si>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</si>
  <si>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</si>
  <si>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</si>
  <si>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</si>
  <si>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</si>
  <si>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</si>
  <si>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</si>
  <si>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</si>
  <si>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</si>
  <si>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</si>
  <si>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</si>
  <si>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</si>
  <si>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</si>
  <si>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</si>
  <si>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</si>
  <si>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</si>
  <si>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</si>
  <si>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</si>
  <si>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</si>
  <si>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</si>
  <si>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</si>
  <si>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</si>
  <si>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</si>
  <si>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</si>
  <si>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</si>
  <si>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</si>
  <si>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</si>
  <si>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</si>
  <si>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</si>
  <si>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</si>
  <si>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</si>
  <si>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</si>
  <si>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</si>
  <si>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</si>
  <si>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</si>
  <si>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</si>
  <si>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</si>
  <si>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</si>
  <si>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</si>
  <si>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</si>
  <si>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</si>
  <si>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</si>
  <si>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</si>
  <si>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</si>
  <si>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</si>
  <si>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</si>
  <si>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</si>
  <si>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</si>
  <si>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</si>
  <si>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</si>
  <si>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</si>
  <si>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</si>
  <si>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</si>
  <si>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</si>
  <si>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</si>
  <si>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</si>
  <si>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</si>
  <si>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</si>
  <si>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</si>
  <si>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</si>
  <si>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</si>
  <si>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</si>
  <si>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</si>
  <si>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</si>
  <si>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</si>
  <si>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</si>
  <si>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</si>
  <si>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</si>
  <si>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</si>
  <si>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</si>
  <si>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</si>
  <si>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</si>
  <si>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</si>
  <si>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</si>
  <si>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</si>
  <si>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</si>
  <si>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</si>
  <si>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</si>
  <si>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</si>
  <si>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</si>
  <si>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</si>
  <si>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</si>
  <si>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</si>
  <si>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</si>
  <si>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</si>
  <si>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</si>
  <si>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</si>
  <si>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</si>
  <si>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</si>
  <si>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</si>
  <si>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</si>
  <si>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</si>
  <si>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</si>
  <si>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</si>
  <si>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</si>
  <si>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</si>
  <si>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</si>
  <si>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</si>
  <si>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</si>
  <si>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</si>
  <si>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</si>
  <si>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</si>
  <si>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</si>
  <si>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</si>
  <si>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</si>
  <si>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</si>
  <si>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</si>
  <si>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</si>
  <si>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</si>
  <si>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</si>
  <si>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</si>
  <si>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</si>
  <si>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</si>
  <si>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</si>
  <si>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</si>
  <si>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</si>
  <si>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</si>
  <si>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</si>
  <si>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</si>
  <si>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</si>
  <si>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</si>
  <si>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</si>
  <si>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</si>
  <si>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</si>
  <si>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</si>
  <si>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</si>
  <si>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</si>
  <si>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</si>
  <si>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</si>
  <si>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</si>
  <si>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</si>
  <si>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</si>
  <si>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</si>
  <si>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</si>
  <si>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</si>
  <si>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</si>
  <si>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</si>
  <si>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</si>
  <si>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</si>
  <si>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</si>
  <si>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</si>
  <si>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</si>
  <si>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</si>
  <si>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</si>
  <si>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</si>
  <si>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</si>
  <si>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</si>
  <si>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</si>
  <si>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</si>
  <si>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</si>
  <si>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</si>
  <si>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</si>
  <si>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</si>
  <si>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</si>
  <si>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</si>
  <si>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</si>
  <si>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</si>
  <si>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</si>
  <si>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</si>
  <si>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</si>
  <si>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</si>
  <si>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</si>
  <si>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</si>
  <si>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</si>
  <si>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</si>
  <si>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</si>
  <si>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</si>
  <si>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</si>
  <si>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</si>
  <si>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</si>
  <si>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</si>
  <si>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</si>
  <si>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</si>
  <si>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</si>
  <si>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</si>
  <si>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</si>
  <si>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</si>
  <si>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</si>
  <si>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</si>
  <si>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</si>
  <si>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</si>
  <si>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</si>
  <si>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</si>
  <si>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</si>
  <si>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</si>
  <si>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</si>
  <si>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</si>
  <si>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</si>
  <si>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</si>
  <si>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</si>
  <si>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</si>
  <si>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</si>
  <si>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</si>
  <si>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</si>
  <si>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</si>
  <si>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</si>
  <si>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</si>
  <si>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</si>
  <si>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</si>
  <si>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</si>
  <si>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</si>
  <si>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</si>
  <si>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</si>
  <si>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</si>
  <si>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</si>
  <si>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</si>
  <si>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</si>
  <si>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</si>
  <si>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</si>
  <si>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</si>
  <si>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</si>
  <si>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</si>
  <si>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</si>
  <si>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</si>
  <si>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</si>
  <si>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</si>
  <si>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</si>
  <si>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</si>
  <si>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</si>
  <si>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</si>
  <si>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</si>
  <si>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</si>
  <si>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</si>
  <si>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</si>
  <si>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</si>
  <si>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</si>
  <si>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</si>
  <si>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</si>
  <si>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</si>
  <si>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</si>
  <si>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</si>
  <si>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</si>
  <si>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</si>
  <si>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</si>
  <si>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</si>
  <si>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</si>
  <si>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</si>
  <si>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</si>
  <si>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</si>
  <si>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</si>
  <si>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</si>
  <si>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</si>
  <si>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</si>
  <si>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</si>
  <si>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</si>
  <si>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</si>
  <si>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</si>
  <si>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</si>
  <si>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</si>
  <si>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</si>
  <si>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</si>
  <si>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</si>
  <si>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</si>
  <si>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</si>
  <si>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</si>
  <si>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</si>
  <si>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</si>
  <si>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</si>
  <si>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</si>
  <si>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</si>
  <si>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</si>
  <si>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</si>
  <si>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</si>
  <si>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</si>
  <si>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</si>
  <si>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</si>
  <si>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</si>
  <si>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</si>
  <si>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</si>
  <si>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</si>
  <si>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</si>
  <si>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</si>
  <si>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</si>
  <si>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</si>
  <si>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</si>
  <si>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</si>
  <si>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</si>
  <si>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</si>
  <si>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</si>
  <si>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</si>
  <si>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</si>
  <si>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</si>
  <si>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</si>
  <si>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</si>
  <si>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</si>
  <si>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</si>
  <si>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</si>
  <si>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</si>
  <si>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</si>
  <si>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</si>
  <si>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</si>
  <si>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</si>
  <si>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</si>
  <si>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</si>
  <si>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</si>
  <si>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</si>
  <si>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</si>
  <si>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</si>
  <si>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</si>
  <si>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</si>
  <si>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</si>
  <si>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</si>
  <si>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</si>
  <si>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</si>
  <si>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</si>
  <si>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</si>
  <si>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</si>
  <si>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</si>
  <si>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</si>
  <si>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</si>
  <si>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</si>
  <si>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</si>
  <si>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</si>
  <si>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</si>
  <si>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</si>
  <si>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</si>
  <si>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</si>
  <si>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</si>
  <si>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</si>
  <si>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</si>
  <si>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</si>
  <si>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</si>
  <si>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</si>
  <si>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</si>
  <si>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</si>
  <si>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</si>
  <si>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</si>
  <si>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</si>
  <si>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</si>
  <si>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</si>
  <si>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</si>
  <si>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</si>
  <si>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</si>
  <si>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</si>
  <si>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</si>
  <si>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</si>
  <si>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</si>
  <si>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</si>
  <si>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</si>
  <si>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</si>
  <si>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</si>
  <si>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</si>
  <si>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</si>
  <si>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</si>
  <si>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</si>
  <si>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</si>
  <si>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</si>
  <si>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</si>
  <si>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</si>
  <si>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</si>
  <si>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</si>
  <si>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</si>
  <si>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</si>
  <si>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</si>
  <si>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</si>
  <si>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</si>
  <si>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</si>
  <si>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</si>
  <si>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</si>
  <si>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</si>
  <si>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</si>
  <si>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</si>
  <si>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</si>
  <si>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</si>
  <si>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</si>
  <si>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</si>
  <si>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</si>
  <si>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</si>
  <si>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</si>
  <si>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</si>
  <si>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</si>
  <si>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</si>
  <si>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</si>
  <si>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</si>
  <si>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</si>
  <si>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</si>
  <si>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</si>
  <si>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</si>
  <si>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</si>
  <si>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</si>
  <si>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</si>
  <si>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</si>
  <si>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</si>
  <si>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</si>
  <si>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</si>
  <si>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</si>
  <si>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</si>
  <si>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</si>
  <si>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</si>
  <si>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</si>
  <si>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</si>
  <si>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</si>
  <si>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</si>
  <si>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</si>
  <si>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</si>
  <si>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</si>
  <si>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</si>
  <si>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</si>
  <si>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</si>
  <si>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</si>
  <si>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</si>
  <si>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</si>
  <si>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</si>
  <si>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</si>
  <si>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</si>
  <si>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</si>
  <si>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</si>
  <si>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</si>
  <si>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</si>
  <si>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</si>
  <si>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</si>
  <si>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</si>
  <si>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</si>
  <si>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</si>
  <si>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</si>
  <si>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</si>
  <si>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</si>
  <si>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</si>
  <si>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</si>
  <si>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</si>
  <si>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</si>
  <si>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</si>
  <si>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</si>
  <si>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</si>
  <si>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</si>
  <si>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</si>
  <si>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</si>
  <si>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</si>
  <si>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</si>
  <si>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</si>
  <si>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</si>
  <si>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</si>
  <si>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</si>
  <si>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</si>
  <si>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</si>
  <si>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</si>
  <si>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</si>
  <si>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</si>
  <si>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</si>
  <si>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</si>
  <si>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</si>
  <si>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</si>
  <si>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</si>
  <si>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</si>
  <si>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</si>
  <si>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</si>
  <si>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</si>
  <si>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</si>
  <si>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</si>
  <si>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</si>
  <si>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</si>
  <si>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</si>
  <si>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</si>
  <si>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</si>
  <si>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</si>
  <si>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</si>
  <si>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</si>
  <si>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</si>
  <si>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</si>
  <si>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</si>
  <si>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</si>
  <si>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</si>
  <si>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</si>
  <si>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</si>
  <si>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</si>
  <si>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</si>
  <si>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</si>
  <si>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</si>
  <si>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</si>
  <si>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</si>
  <si>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</si>
  <si>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</si>
  <si>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</si>
  <si>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</si>
  <si>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</si>
  <si>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</si>
  <si>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</si>
  <si>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</si>
  <si>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</si>
  <si>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</si>
  <si>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</si>
  <si>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</si>
  <si>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</si>
  <si>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</si>
  <si>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</si>
  <si>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</si>
  <si>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</si>
  <si>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</si>
  <si>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</si>
  <si>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</si>
  <si>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</si>
  <si>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</si>
  <si>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</si>
  <si>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</si>
  <si>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</si>
  <si>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</si>
  <si>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</si>
  <si>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</si>
  <si>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</si>
  <si>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</si>
  <si>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</si>
  <si>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</si>
  <si>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</si>
  <si>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</si>
  <si>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</si>
  <si>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</si>
  <si>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</si>
  <si>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</si>
  <si>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</si>
  <si>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</si>
  <si>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</si>
  <si>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</si>
  <si>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</si>
  <si>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</si>
  <si>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</si>
  <si>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</si>
  <si>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</si>
  <si>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</si>
  <si>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</si>
  <si>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</si>
  <si>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</si>
  <si>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</si>
  <si>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</si>
  <si>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</si>
  <si>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</si>
  <si>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</si>
  <si>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</si>
  <si>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</si>
  <si>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</si>
  <si>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</si>
  <si>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</si>
  <si>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</si>
  <si>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</si>
  <si>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</si>
  <si>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</si>
  <si>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</si>
  <si>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</si>
  <si>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</si>
  <si>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</si>
  <si>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</si>
  <si>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</si>
  <si>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</si>
  <si>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</si>
  <si>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</si>
  <si>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</si>
  <si>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</si>
  <si>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</si>
  <si>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</si>
  <si>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</si>
  <si>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</si>
  <si>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</si>
  <si>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</si>
  <si>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</si>
  <si>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</si>
  <si>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</si>
  <si>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</si>
  <si>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</si>
  <si>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</si>
  <si>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</si>
  <si>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</si>
  <si>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</si>
  <si>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</si>
  <si>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</si>
  <si>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</si>
  <si>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</si>
  <si>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</si>
  <si>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</si>
  <si>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</si>
  <si>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</si>
  <si>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</si>
  <si>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</si>
  <si>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</si>
  <si>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</si>
  <si>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</si>
  <si>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</si>
  <si>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</si>
  <si>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</si>
  <si>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</si>
  <si>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</si>
  <si>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</si>
  <si>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</si>
  <si>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</si>
  <si>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</si>
  <si>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</si>
  <si>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</si>
  <si>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</si>
  <si>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</si>
  <si>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</si>
  <si>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</si>
  <si>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</si>
  <si>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</si>
  <si>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</si>
  <si>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</si>
  <si>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</si>
  <si>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</si>
  <si>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</si>
  <si>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</si>
  <si>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</si>
  <si>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</si>
  <si>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</si>
  <si>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</si>
  <si>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</si>
  <si>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</si>
  <si>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</si>
  <si>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</si>
  <si>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</si>
  <si>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</si>
  <si>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</si>
  <si>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</si>
  <si>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</si>
  <si>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</si>
  <si>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</si>
  <si>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</si>
  <si>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</si>
  <si>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</si>
  <si>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</si>
  <si>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</si>
  <si>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</si>
  <si>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</si>
  <si>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</si>
  <si>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</si>
  <si>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</si>
  <si>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</si>
  <si>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</si>
  <si>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</si>
  <si>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</si>
  <si>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</si>
  <si>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</si>
  <si>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</si>
  <si>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</si>
  <si>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</si>
  <si>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</si>
  <si>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</si>
  <si>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</si>
  <si>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</si>
  <si>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</si>
  <si>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</si>
  <si>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</si>
  <si>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</si>
  <si>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</si>
  <si>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</si>
  <si>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</si>
  <si>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</si>
  <si>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</si>
  <si>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</si>
  <si>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</si>
  <si>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</si>
  <si>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</si>
  <si>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</si>
  <si>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</si>
  <si>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</si>
  <si>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</si>
  <si>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</si>
  <si>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</si>
  <si>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</si>
  <si>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</si>
  <si>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</si>
  <si>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</si>
  <si>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</si>
  <si>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</si>
  <si>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</si>
  <si>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</si>
  <si>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</si>
  <si>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</si>
  <si>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</si>
  <si>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</si>
  <si>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</si>
  <si>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</si>
  <si>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</si>
  <si>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</si>
  <si>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</si>
  <si>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</si>
  <si>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</si>
  <si>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</si>
  <si>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</si>
  <si>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</si>
  <si>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</si>
  <si>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</si>
  <si>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</si>
  <si>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</si>
  <si>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</si>
  <si>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</si>
  <si>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</si>
  <si>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</si>
  <si>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</si>
  <si>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</si>
  <si>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</si>
  <si>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</si>
  <si>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</si>
  <si>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</si>
  <si>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</si>
  <si>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</si>
  <si>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</si>
  <si>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</si>
  <si>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</si>
  <si>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</si>
  <si>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</si>
  <si>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</si>
  <si>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</si>
  <si>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</si>
  <si>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</si>
  <si>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</si>
  <si>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</si>
  <si>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</si>
  <si>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</si>
  <si>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</si>
  <si>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</si>
  <si>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</si>
  <si>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</si>
  <si>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</si>
  <si>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</si>
  <si>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</si>
  <si>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</si>
  <si>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</si>
  <si>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</si>
  <si>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</si>
  <si>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</si>
  <si>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</si>
  <si>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</si>
  <si>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</si>
  <si>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</si>
  <si>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</si>
  <si>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</si>
  <si>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</si>
  <si>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</si>
  <si>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</si>
  <si>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</si>
  <si>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</si>
  <si>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</si>
  <si>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</si>
  <si>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</si>
  <si>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</si>
  <si>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</si>
  <si>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</si>
  <si>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</si>
  <si>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</si>
  <si>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</si>
  <si>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</si>
  <si>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</si>
  <si>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</si>
  <si>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</si>
  <si>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</si>
  <si>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</si>
  <si>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</si>
  <si>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</si>
  <si>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</si>
  <si>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</si>
  <si>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</si>
  <si>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</si>
  <si>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</si>
  <si>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</si>
  <si>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</si>
  <si>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</si>
  <si>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</si>
  <si>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</si>
  <si>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</si>
  <si>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</si>
  <si>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</si>
  <si>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</si>
  <si>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</si>
  <si>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</si>
  <si>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</si>
  <si>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</si>
  <si>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</si>
  <si>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</si>
  <si>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</si>
  <si>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</si>
  <si>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</si>
  <si>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</si>
  <si>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</si>
  <si>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</si>
  <si>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</si>
  <si>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</si>
  <si>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</si>
  <si>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</si>
  <si>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</si>
  <si>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</si>
  <si>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</si>
  <si>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</si>
  <si>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</si>
  <si>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</si>
  <si>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</si>
  <si>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</si>
  <si>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</si>
  <si>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</si>
  <si>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</si>
  <si>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</si>
  <si>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</si>
  <si>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</si>
  <si>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</si>
  <si>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</si>
  <si>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</si>
  <si>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</si>
  <si>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</si>
  <si>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</si>
  <si>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</si>
  <si>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</si>
  <si>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</si>
  <si>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</si>
  <si>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</si>
  <si>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</si>
  <si>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</si>
  <si>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</si>
  <si>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</si>
  <si>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</si>
  <si>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</si>
  <si>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</si>
  <si>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</si>
  <si>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</si>
  <si>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</si>
  <si>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</si>
  <si>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</si>
  <si>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</si>
  <si>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</si>
  <si>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</si>
  <si>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</si>
  <si>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</si>
  <si>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</si>
  <si>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</si>
  <si>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</si>
  <si>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</si>
  <si>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</si>
  <si>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</si>
  <si>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</si>
  <si>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</si>
  <si>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</si>
  <si>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</si>
  <si>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</si>
  <si>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</si>
  <si>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</si>
  <si>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</si>
  <si>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</si>
  <si>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</si>
  <si>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</si>
  <si>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</si>
  <si>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</si>
  <si>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</si>
  <si>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</si>
  <si>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</si>
  <si>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</si>
  <si>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</si>
  <si>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</si>
  <si>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</si>
  <si>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</si>
  <si>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</si>
  <si>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</si>
  <si>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</si>
  <si>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</si>
  <si>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</si>
  <si>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</si>
  <si>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</si>
  <si>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</si>
  <si>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</si>
  <si>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</si>
  <si>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</si>
  <si>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</si>
  <si>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</si>
  <si>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</si>
  <si>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</si>
  <si>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</si>
  <si>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</si>
  <si>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</si>
  <si>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</si>
  <si>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</si>
  <si>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</si>
  <si>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</si>
  <si>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</si>
  <si>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</si>
  <si>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</si>
  <si>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</si>
  <si>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</si>
  <si>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</si>
  <si>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</si>
  <si>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</si>
  <si>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</si>
  <si>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</si>
  <si>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</si>
  <si>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</si>
  <si>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</si>
  <si>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</si>
  <si>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</si>
  <si>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</si>
  <si>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</si>
  <si>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</si>
  <si>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</si>
  <si>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</si>
  <si>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</si>
  <si>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</si>
  <si>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</si>
  <si>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</si>
  <si>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</si>
  <si>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</si>
  <si>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</si>
  <si>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</si>
  <si>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</si>
  <si>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</si>
  <si>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</si>
  <si>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</si>
  <si>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</si>
  <si>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</si>
  <si>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</si>
  <si>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</si>
  <si>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</si>
  <si>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</si>
  <si>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</si>
  <si>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</si>
  <si>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</si>
  <si>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</si>
  <si>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</si>
  <si>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</si>
  <si>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</si>
  <si>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</si>
  <si>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</si>
  <si>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</si>
  <si>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</si>
  <si>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</si>
  <si>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</si>
  <si>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</si>
  <si>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</si>
  <si>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</si>
  <si>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</si>
  <si>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</si>
  <si>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</si>
  <si>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</si>
  <si>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</si>
  <si>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</si>
  <si>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</si>
  <si>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</si>
  <si>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</si>
  <si>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</si>
  <si>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</si>
  <si>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</si>
  <si>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</si>
  <si>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</si>
  <si>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</si>
  <si>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</si>
  <si>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</si>
  <si>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</si>
  <si>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</si>
  <si>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</si>
  <si>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</si>
  <si>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</si>
  <si>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</si>
  <si>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</si>
  <si>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</si>
  <si>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</si>
  <si>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</si>
  <si>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</si>
  <si>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</si>
  <si>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</si>
  <si>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</si>
  <si>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</si>
  <si>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</si>
  <si>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</si>
  <si>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</si>
  <si>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</si>
  <si>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</si>
  <si>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</si>
  <si>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</si>
  <si>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</si>
  <si>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</si>
  <si>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</si>
  <si>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</si>
  <si>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</si>
  <si>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</si>
  <si>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</si>
  <si>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</si>
  <si>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</si>
  <si>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</si>
  <si>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</si>
  <si>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</si>
  <si>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</si>
  <si>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</si>
  <si>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</si>
  <si>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</si>
  <si>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</si>
  <si>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</si>
  <si>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</si>
  <si>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</si>
  <si>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</si>
  <si>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</si>
  <si>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</si>
  <si>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</si>
  <si>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</si>
  <si>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</si>
  <si>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</si>
  <si>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</si>
  <si>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</si>
  <si>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</si>
  <si>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</si>
  <si>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</si>
  <si>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</si>
  <si>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</si>
  <si>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</si>
  <si>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</si>
  <si>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</si>
  <si>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</si>
  <si>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</si>
  <si>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</si>
  <si>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</si>
  <si>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</si>
  <si>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</si>
  <si>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</si>
  <si>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</si>
  <si>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</si>
  <si>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</si>
  <si>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</si>
  <si>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</si>
  <si>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</si>
  <si>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</si>
  <si>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</si>
  <si>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</si>
  <si>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</si>
  <si>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</si>
  <si>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</si>
  <si>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</si>
  <si>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</si>
  <si>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</si>
  <si>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</si>
  <si>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</si>
  <si>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</si>
  <si>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</si>
  <si>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</si>
  <si>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</si>
  <si>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</si>
  <si>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</si>
  <si>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</si>
  <si>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</si>
  <si>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</si>
  <si>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</si>
  <si>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</si>
  <si>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</si>
  <si>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</si>
  <si>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</si>
  <si>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</si>
  <si>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</si>
  <si>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</si>
  <si>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</si>
  <si>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</si>
  <si>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</si>
  <si>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</si>
  <si>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</si>
  <si>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</si>
  <si>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</si>
  <si>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</si>
  <si>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</si>
  <si>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</si>
  <si>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</si>
  <si>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</si>
  <si>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</si>
  <si>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</si>
  <si>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</si>
  <si>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</si>
  <si>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</si>
  <si>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</si>
  <si>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</si>
  <si>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</si>
  <si>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</si>
  <si>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</si>
  <si>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</si>
  <si>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</si>
  <si>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</si>
  <si>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</si>
  <si>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</si>
  <si>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</si>
  <si>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</si>
  <si>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</si>
  <si>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</si>
  <si>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</si>
  <si>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</si>
  <si>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</si>
  <si>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</si>
  <si>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</si>
  <si>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</si>
  <si>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</si>
  <si>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</si>
  <si>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</si>
  <si>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</si>
  <si>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</si>
  <si>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</si>
  <si>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</si>
  <si>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</si>
  <si>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</si>
  <si>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</si>
  <si>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</si>
  <si>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</si>
  <si>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</si>
  <si>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</si>
  <si>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</si>
  <si>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</si>
  <si>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</si>
  <si>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</si>
  <si>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</si>
  <si>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</si>
  <si>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</si>
  <si>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</si>
  <si>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</si>
  <si>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</si>
  <si>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</si>
  <si>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</si>
  <si>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</si>
  <si>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</si>
  <si>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</si>
  <si>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</si>
  <si>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</si>
  <si>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</si>
  <si>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</si>
  <si>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</si>
  <si>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</si>
  <si>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</si>
  <si>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</si>
  <si>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</si>
  <si>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</si>
  <si>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</si>
  <si>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</si>
  <si>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</si>
  <si>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</si>
  <si>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</si>
  <si>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</si>
  <si>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</si>
  <si>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</si>
  <si>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</si>
  <si>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</si>
  <si>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</si>
  <si>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</si>
  <si>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</si>
  <si>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</si>
  <si>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</si>
  <si>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</si>
  <si>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</si>
  <si>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</si>
  <si>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</si>
  <si>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</si>
  <si>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</si>
  <si>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</si>
  <si>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</si>
  <si>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</si>
  <si>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</si>
  <si>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</si>
  <si>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</si>
  <si>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</si>
  <si>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</si>
  <si>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</si>
  <si>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</si>
  <si>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</si>
  <si>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</si>
  <si>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</si>
  <si>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</si>
  <si>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</si>
  <si>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</si>
  <si>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</si>
  <si>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</si>
  <si>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</si>
  <si>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</si>
  <si>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</si>
  <si>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</si>
  <si>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</si>
  <si>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</si>
  <si>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</si>
  <si>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</si>
  <si>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</si>
  <si>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</si>
  <si>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</si>
  <si>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</si>
  <si>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</si>
  <si>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</si>
  <si>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</si>
  <si>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</si>
  <si>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</si>
  <si>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</si>
  <si>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</si>
  <si>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</si>
  <si>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</si>
  <si>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</si>
  <si>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</si>
  <si>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</si>
  <si>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</si>
  <si>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</si>
  <si>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</si>
  <si>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</si>
  <si>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</si>
  <si>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</si>
  <si>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</si>
  <si>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</si>
  <si>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</si>
  <si>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</si>
  <si>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</si>
  <si>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</si>
  <si>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</si>
  <si>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</si>
  <si>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</si>
  <si>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</si>
  <si>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</si>
  <si>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</si>
  <si>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</si>
  <si>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</si>
  <si>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</si>
  <si>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</si>
  <si>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</si>
  <si>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</si>
  <si>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</si>
  <si>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</si>
  <si>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</si>
  <si>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</si>
  <si>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</si>
  <si>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</si>
  <si>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</si>
  <si>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</si>
  <si>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</si>
  <si>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</si>
  <si>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</si>
  <si>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</si>
  <si>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</si>
  <si>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</si>
  <si>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</si>
  <si>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</si>
  <si>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</si>
  <si>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</si>
  <si>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</si>
  <si>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</si>
  <si>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</si>
  <si>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</si>
  <si>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</si>
  <si>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</si>
  <si>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</si>
  <si>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</si>
  <si>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</si>
  <si>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</si>
  <si>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</si>
  <si>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</si>
  <si>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</si>
  <si>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</si>
  <si>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</si>
  <si>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</si>
  <si>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</si>
  <si>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</si>
  <si>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</si>
  <si>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</si>
  <si>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</si>
  <si>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</si>
  <si>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</si>
  <si>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</si>
  <si>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</si>
  <si>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</si>
  <si>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</si>
  <si>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</si>
  <si>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</si>
  <si>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</si>
  <si>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</si>
  <si>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</si>
  <si>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</si>
  <si>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</si>
  <si>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</si>
  <si>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</si>
  <si>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</si>
  <si>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</si>
  <si>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</si>
  <si>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</si>
  <si>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</si>
  <si>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</si>
  <si>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</si>
  <si>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</si>
  <si>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</si>
  <si>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</si>
  <si>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</si>
  <si>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</si>
  <si>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</si>
  <si>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</si>
  <si>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</si>
  <si>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</si>
  <si>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</si>
  <si>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</si>
  <si>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</si>
  <si>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</si>
  <si>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</si>
  <si>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</si>
  <si>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</si>
  <si>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</si>
  <si>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</si>
  <si>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</si>
  <si>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</si>
  <si>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</si>
  <si>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</si>
  <si>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</si>
  <si>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</si>
  <si>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</si>
  <si>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</si>
  <si>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</si>
  <si>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</si>
  <si>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</si>
  <si>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</si>
  <si>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</si>
  <si>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</si>
  <si>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</si>
  <si>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</si>
  <si>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</si>
  <si>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</si>
  <si>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</si>
  <si>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</si>
  <si>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</si>
  <si>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</si>
  <si>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</si>
  <si>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</si>
  <si>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</si>
  <si>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</si>
  <si>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</si>
  <si>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</si>
  <si>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</si>
  <si>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</si>
  <si>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</si>
  <si>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</si>
  <si>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</si>
  <si>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</si>
  <si>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</si>
  <si>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</si>
  <si>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</si>
  <si>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</si>
  <si>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</si>
  <si>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</si>
  <si>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</si>
  <si>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</si>
  <si>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</si>
  <si>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</si>
  <si>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</si>
  <si>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</si>
  <si>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</si>
  <si>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</si>
  <si>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</si>
  <si>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</si>
  <si>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</si>
  <si>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</si>
  <si>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</si>
  <si>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</si>
  <si>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</si>
  <si>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</si>
  <si>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</si>
  <si>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</si>
  <si>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</si>
  <si>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</si>
  <si>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</si>
  <si>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</si>
  <si>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</si>
  <si>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</si>
  <si>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</si>
  <si>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</si>
  <si>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</si>
  <si>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</si>
  <si>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</si>
  <si>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</si>
  <si>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</si>
  <si>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</si>
  <si>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</si>
  <si>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</si>
  <si>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</si>
  <si>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</si>
  <si>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</si>
  <si>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</si>
  <si>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</si>
  <si>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</si>
  <si>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</si>
  <si>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</si>
  <si>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</si>
  <si>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</si>
  <si>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</si>
  <si>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</si>
  <si>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</si>
  <si>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</si>
  <si>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</si>
  <si>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</si>
  <si>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</si>
  <si>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</si>
  <si>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</si>
  <si>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</si>
  <si>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</si>
  <si>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</si>
  <si>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</si>
  <si>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</si>
  <si>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</si>
  <si>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</si>
  <si>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</si>
  <si>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</si>
  <si>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</si>
  <si>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</si>
  <si>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</si>
  <si>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</si>
  <si>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</si>
  <si>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</si>
  <si>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</si>
  <si>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</si>
  <si>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</si>
  <si>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</si>
  <si>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</si>
  <si>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</si>
  <si>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</si>
  <si>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</si>
  <si>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</si>
  <si>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</si>
  <si>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</si>
  <si>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</si>
  <si>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</si>
  <si>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</si>
  <si>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</si>
  <si>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</si>
  <si>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</si>
  <si>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</si>
  <si>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</si>
  <si>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</si>
  <si>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</si>
  <si>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</si>
  <si>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</si>
  <si>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</si>
  <si>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</si>
  <si>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</si>
  <si>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</si>
  <si>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</si>
  <si>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</si>
  <si>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</si>
  <si>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</si>
  <si>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</si>
  <si>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</si>
  <si>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</si>
  <si>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</si>
  <si>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</si>
  <si>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</si>
  <si>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</si>
  <si>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</si>
  <si>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</si>
  <si>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</si>
  <si>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</si>
  <si>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</si>
  <si>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</si>
  <si>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</si>
  <si>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</si>
  <si>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</si>
  <si>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</si>
  <si>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</si>
  <si>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</si>
  <si>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https://delijn.sharepoint.com/:b:/r/teams/CTM-OTGentStad/Shared%20Documents/General/EAF/CSI(nieuwe%20sharepoint)%202025/11.%20November/EAF%205047%20Gent%2032620%2012112025.pdf?csf=1&amp;web=1&amp;e=Luepe0</t>
  </si>
  <si>
    <t xml:space="preserve"> https://delijn.sharepoint.com/:b:/r/teams/CTM-OTGentStad/Shared%20Documents/General/EAF/CSI(nieuwe%20sharepoint)%202025/11.%20November/Scan_29076_1564_001.pdf?csf=1&amp;web=1&amp;e=dSQbGb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</si>
</sst>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left"/>
    </xf>
    <xf numFmtId="14" fontId="9" fillId="11" borderId="0" xfId="0" applyNumberFormat="1" applyFon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right" vertic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33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2" totalsRowShown="0" headerRowDxfId="10">
  <autoFilter ref="A1:AA97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2">
    <sortCondition ref="T1:T972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33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77</v>
      </c>
      <c r="J50" s="14" t="s">
        <v>109</v>
      </c>
      <c r="K50" s="14"/>
      <c r="L50" s="25"/>
      <c r="M50" s="14">
        <f>SUM(M42:M49)</f>
        <v>234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2"/>
  <sheetViews>
    <sheetView tabSelected="1" zoomScale="85" zoomScaleNormal="85" workbookViewId="0">
      <pane ySplit="1" topLeftCell="A943" activePane="bottomLeft" state="frozen"/>
      <selection activeCell="F1" sqref="F1"/>
      <selection pane="bottomLeft" activeCell="X956" sqref="X956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40403</v>
      </c>
      <c r="B953" t="str">
        <f>_xlfn.CONCAT(bron[[#This Row],[personeelsnr]]," ",bron[[#This Row],[achternaam]]," ",bron[[#This Row],[voornaam]])</f>
        <v>40403 Prové Michaël</v>
      </c>
      <c r="C953" t="str">
        <f>VLOOKUP(bron[[#This Row],[personeelsnr]],'data hastus'!$A:$C,2,0)</f>
        <v>Prové</v>
      </c>
      <c r="D953" t="str">
        <f>VLOOKUP(bron[[#This Row],[personeelsnr]],'data hastus'!$A:$C,3,0)</f>
        <v>Michaël</v>
      </c>
      <c r="E953" s="2" t="str">
        <f>VLOOKUP(bron[[#This Row],[personeelsnr]],'data hastus'!A:K,11,FALSE)</f>
        <v>Dominique De Clercq</v>
      </c>
      <c r="F953" s="10"/>
      <c r="G953" s="39"/>
      <c r="H953" s="39"/>
      <c r="I953" s="39"/>
      <c r="S953" s="44">
        <f>SUM(bron[[#This Row],[Januari]:[December]])</f>
        <v>0</v>
      </c>
      <c r="T953" s="41">
        <v>45974</v>
      </c>
      <c r="U953" s="5" t="s">
        <v>3795</v>
      </c>
      <c r="V953" s="37"/>
      <c r="W953" s="37"/>
      <c r="X953" t="s">
        <v>3513</v>
      </c>
      <c r="Y953" t="s">
        <v>106</v>
      </c>
      <c r="Z953" s="2">
        <v>5233</v>
      </c>
      <c r="AA953" s="43" t="s">
        <v>3558</v>
      </c>
    </row>
    <row r="954" spans="1:27" x14ac:dyDescent="0.25">
      <c r="A954">
        <v>42249</v>
      </c>
      <c r="B954" t="str">
        <f>_xlfn.CONCAT(bron[[#This Row],[personeelsnr]]," ",bron[[#This Row],[achternaam]]," ",bron[[#This Row],[voornaam]])</f>
        <v>42249 Bontinck Stephan</v>
      </c>
      <c r="C954" t="str">
        <f>VLOOKUP(bron[[#This Row],[personeelsnr]],'data hastus'!$A:$C,2,0)</f>
        <v>Bontinck</v>
      </c>
      <c r="D954" t="str">
        <f>VLOOKUP(bron[[#This Row],[personeelsnr]],'data hastus'!$A:$C,3,0)</f>
        <v>Stephan</v>
      </c>
      <c r="E954" s="2" t="str">
        <f>VLOOKUP(bron[[#This Row],[personeelsnr]],'data hastus'!A:K,11,FALSE)</f>
        <v>Kenneth De Rick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3797</v>
      </c>
      <c r="V954" s="37"/>
      <c r="W954" s="37"/>
      <c r="X954" t="s">
        <v>3513</v>
      </c>
      <c r="Y954" t="s">
        <v>3798</v>
      </c>
      <c r="Z954" s="2" t="s">
        <v>3799</v>
      </c>
      <c r="AA954" s="43" t="s">
        <v>3631</v>
      </c>
    </row>
    <row r="955" spans="1:27" s="47" customFormat="1" x14ac:dyDescent="0.25">
      <c r="A955" s="47">
        <v>32620</v>
      </c>
      <c r="B955" s="47" t="str">
        <f>_xlfn.CONCAT(bron[[#This Row],[personeelsnr]]," ",bron[[#This Row],[achternaam]]," ",bron[[#This Row],[voornaam]])</f>
        <v>32620 Saey Elias</v>
      </c>
      <c r="C955" s="47" t="str">
        <f>VLOOKUP(bron[[#This Row],[personeelsnr]],'data hastus'!$A:$C,2,0)</f>
        <v>Saey</v>
      </c>
      <c r="D955" s="47" t="str">
        <f>VLOOKUP(bron[[#This Row],[personeelsnr]],'data hastus'!$A:$C,3,0)</f>
        <v>Elias</v>
      </c>
      <c r="E955" s="48" t="str">
        <f>VLOOKUP(bron[[#This Row],[personeelsnr]],'data hastus'!A:K,11,FALSE)</f>
        <v>Els Vanhoe</v>
      </c>
      <c r="F955" s="10"/>
      <c r="G955" s="39"/>
      <c r="H955" s="39"/>
      <c r="I955" s="39"/>
      <c r="J955" s="36"/>
      <c r="K955" s="36"/>
      <c r="L955" s="36"/>
      <c r="M955" s="36"/>
      <c r="N955" s="36"/>
      <c r="O955" s="36"/>
      <c r="P955" s="36"/>
      <c r="Q955" s="36"/>
      <c r="R955" s="36"/>
      <c r="S955" s="44">
        <f>SUM(bron[[#This Row],[Januari]:[December]])</f>
        <v>0</v>
      </c>
      <c r="T955" s="49">
        <v>45973</v>
      </c>
      <c r="U955" s="50" t="s">
        <v>3800</v>
      </c>
      <c r="V955" s="37"/>
      <c r="W955" s="37"/>
      <c r="X955" s="47" t="s">
        <v>3513</v>
      </c>
      <c r="Y955" s="47" t="s">
        <v>3770</v>
      </c>
      <c r="Z955" s="48">
        <v>5047</v>
      </c>
      <c r="AA955" s="51" t="s">
        <v>3558</v>
      </c>
    </row>
    <row r="956" spans="1:27" x14ac:dyDescent="0.25">
      <c r="A956">
        <v>13089</v>
      </c>
      <c r="B956" t="str">
        <f>_xlfn.CONCAT(bron[[#This Row],[personeelsnr]]," ",bron[[#This Row],[achternaam]]," ",bron[[#This Row],[voornaam]])</f>
        <v>13089 Oosterlinck Jan</v>
      </c>
      <c r="C956" t="str">
        <f>VLOOKUP(bron[[#This Row],[personeelsnr]],'data hastus'!$A:$C,2,0)</f>
        <v>Oosterlinck</v>
      </c>
      <c r="D956" t="str">
        <f>VLOOKUP(bron[[#This Row],[personeelsnr]],'data hastus'!$A:$C,3,0)</f>
        <v>Jan</v>
      </c>
      <c r="E956" s="2" t="str">
        <f>VLOOKUP(bron[[#This Row],[personeelsnr]],'data hastus'!A:K,11,FALSE)</f>
        <v>Christoff Rotty</v>
      </c>
      <c r="F956" s="10"/>
      <c r="G956" s="39"/>
      <c r="H956" s="39"/>
      <c r="I956" s="39"/>
      <c r="S956" s="44">
        <f>SUM(bron[[#This Row],[Januari]:[December]])</f>
        <v>0</v>
      </c>
      <c r="T956" s="41">
        <v>45973</v>
      </c>
      <c r="U956" s="5" t="s">
        <v>3801</v>
      </c>
      <c r="V956" s="37"/>
      <c r="W956" s="37"/>
      <c r="X956" t="s">
        <v>3512</v>
      </c>
      <c r="Y956" t="s">
        <v>48</v>
      </c>
      <c r="Z956" s="2">
        <v>5929</v>
      </c>
      <c r="AA956" s="43" t="s">
        <v>3559</v>
      </c>
    </row>
    <row r="957" spans="1:27" x14ac:dyDescent="0.25">
      <c r="B957" t="e">
        <f>_xlfn.CONCAT(bron[[#This Row],[personeelsnr]]," ",bron[[#This Row],[achternaam]]," ",bron[[#This Row],[voornaam]])</f>
        <v>#N/A</v>
      </c>
      <c r="C957" t="e">
        <f>VLOOKUP(bron[[#This Row],[personeelsnr]],'data hastus'!$A:$C,2,0)</f>
        <v>#N/A</v>
      </c>
      <c r="D957" t="e">
        <f>VLOOKUP(bron[[#This Row],[personeelsnr]],'data hastus'!$A:$C,3,0)</f>
        <v>#N/A</v>
      </c>
      <c r="E957" s="2" t="e">
        <f>VLOOKUP(bron[[#This Row],[personeelsnr]],'data hastus'!A:K,11,FALSE)</f>
        <v>#N/A</v>
      </c>
      <c r="F957" s="10"/>
      <c r="G957" s="39"/>
      <c r="H957" s="39"/>
      <c r="I957" s="39"/>
      <c r="S957" s="44">
        <f>SUM(bron[[#This Row],[Januari]:[December]])</f>
        <v>0</v>
      </c>
      <c r="V957" s="37"/>
      <c r="W957" s="37"/>
    </row>
    <row r="958" spans="1:27" x14ac:dyDescent="0.25">
      <c r="B958" t="e">
        <f>_xlfn.CONCAT(bron[[#This Row],[personeelsnr]]," ",bron[[#This Row],[achternaam]]," ",bron[[#This Row],[voornaam]])</f>
        <v>#N/A</v>
      </c>
      <c r="C958" t="e">
        <f>VLOOKUP(bron[[#This Row],[personeelsnr]],'data hastus'!$A:$C,2,0)</f>
        <v>#N/A</v>
      </c>
      <c r="D958" t="e">
        <f>VLOOKUP(bron[[#This Row],[personeelsnr]],'data hastus'!$A:$C,3,0)</f>
        <v>#N/A</v>
      </c>
      <c r="E958" s="2" t="e">
        <f>VLOOKUP(bron[[#This Row],[personeelsnr]],'data hastus'!A:K,11,FALSE)</f>
        <v>#N/A</v>
      </c>
      <c r="F958" s="10"/>
      <c r="G958" s="39"/>
      <c r="H958" s="39"/>
      <c r="I958" s="39"/>
      <c r="S958" s="44">
        <f>SUM(bron[[#This Row],[Januari]:[December]])</f>
        <v>0</v>
      </c>
      <c r="V958" s="37"/>
      <c r="W958" s="37"/>
    </row>
    <row r="959" spans="1:27" x14ac:dyDescent="0.25">
      <c r="B959" t="e">
        <f>_xlfn.CONCAT(bron[[#This Row],[personeelsnr]]," ",bron[[#This Row],[achternaam]]," ",bron[[#This Row],[voornaam]])</f>
        <v>#N/A</v>
      </c>
      <c r="C959" t="e">
        <f>VLOOKUP(bron[[#This Row],[personeelsnr]],'data hastus'!$A:$C,2,0)</f>
        <v>#N/A</v>
      </c>
      <c r="D959" t="e">
        <f>VLOOKUP(bron[[#This Row],[personeelsnr]],'data hastus'!$A:$C,3,0)</f>
        <v>#N/A</v>
      </c>
      <c r="E959" s="2" t="e">
        <f>VLOOKUP(bron[[#This Row],[personeelsnr]],'data hastus'!A:K,11,FALSE)</f>
        <v>#N/A</v>
      </c>
      <c r="F959" s="10"/>
      <c r="G959" s="39"/>
      <c r="H959" s="39"/>
      <c r="I959" s="39"/>
      <c r="S959" s="44">
        <f>SUM(bron[[#This Row],[Januari]:[December]])</f>
        <v>0</v>
      </c>
      <c r="V959" s="37"/>
      <c r="W959" s="37"/>
    </row>
    <row r="960" spans="1:27" x14ac:dyDescent="0.25">
      <c r="B960" t="e">
        <f>_xlfn.CONCAT(bron[[#This Row],[personeelsnr]]," ",bron[[#This Row],[achternaam]]," ",bron[[#This Row],[voornaam]])</f>
        <v>#N/A</v>
      </c>
      <c r="C960" t="e">
        <f>VLOOKUP(bron[[#This Row],[personeelsnr]],'data hastus'!$A:$C,2,0)</f>
        <v>#N/A</v>
      </c>
      <c r="D960" t="e">
        <f>VLOOKUP(bron[[#This Row],[personeelsnr]],'data hastus'!$A:$C,3,0)</f>
        <v>#N/A</v>
      </c>
      <c r="E960" s="2" t="e">
        <f>VLOOKUP(bron[[#This Row],[personeelsnr]],'data hastus'!A:K,11,FALSE)</f>
        <v>#N/A</v>
      </c>
      <c r="F960" s="10"/>
      <c r="G960" s="39"/>
      <c r="H960" s="39"/>
      <c r="I960" s="39"/>
      <c r="S960" s="44">
        <f>SUM(bron[[#This Row],[Januari]:[December]])</f>
        <v>0</v>
      </c>
      <c r="V960" s="37"/>
      <c r="W960" s="37"/>
    </row>
    <row r="961" spans="2:23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2:23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2:23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2:23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2:23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2:23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  <row r="967" spans="2:23" x14ac:dyDescent="0.25">
      <c r="B967" t="e">
        <f>_xlfn.CONCAT(bron[[#This Row],[personeelsnr]]," ",bron[[#This Row],[achternaam]]," ",bron[[#This Row],[voornaam]])</f>
        <v>#N/A</v>
      </c>
      <c r="C967" t="e">
        <f>VLOOKUP(bron[[#This Row],[personeelsnr]],'data hastus'!$A:$C,2,0)</f>
        <v>#N/A</v>
      </c>
      <c r="D967" t="e">
        <f>VLOOKUP(bron[[#This Row],[personeelsnr]],'data hastus'!$A:$C,3,0)</f>
        <v>#N/A</v>
      </c>
      <c r="E967" s="2" t="e">
        <f>VLOOKUP(bron[[#This Row],[personeelsnr]],'data hastus'!A:K,11,FALSE)</f>
        <v>#N/A</v>
      </c>
      <c r="F967" s="10"/>
      <c r="G967" s="39"/>
      <c r="H967" s="39"/>
      <c r="I967" s="39"/>
      <c r="S967" s="44">
        <f>SUM(bron[[#This Row],[Januari]:[December]])</f>
        <v>0</v>
      </c>
      <c r="V967" s="37"/>
      <c r="W967" s="37"/>
    </row>
    <row r="968" spans="2:23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2:23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2:23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2:23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  <row r="972" spans="2:23" x14ac:dyDescent="0.25">
      <c r="B972" t="e">
        <f>_xlfn.CONCAT(bron[[#This Row],[personeelsnr]]," ",bron[[#This Row],[achternaam]]," ",bron[[#This Row],[voornaam]])</f>
        <v>#N/A</v>
      </c>
      <c r="C972" t="e">
        <f>VLOOKUP(bron[[#This Row],[personeelsnr]],'data hastus'!$A:$C,2,0)</f>
        <v>#N/A</v>
      </c>
      <c r="D972" t="e">
        <f>VLOOKUP(bron[[#This Row],[personeelsnr]],'data hastus'!$A:$C,3,0)</f>
        <v>#N/A</v>
      </c>
      <c r="E972" s="2" t="e">
        <f>VLOOKUP(bron[[#This Row],[personeelsnr]],'data hastus'!A:K,11,FALSE)</f>
        <v>#N/A</v>
      </c>
      <c r="F972" s="10"/>
      <c r="G972" s="39"/>
      <c r="H972" s="39"/>
      <c r="I972" s="39"/>
      <c r="S972" s="44">
        <f>SUM(bron[[#This Row],[Januari]:[December]])</f>
        <v>0</v>
      </c>
      <c r="V972" s="37"/>
      <c r="W972" s="37"/>
    </row>
  </sheetData>
  <sheetProtection sort="0" autoFilter="0"/>
  <phoneticPr fontId="1" type="noConversion"/>
  <conditionalFormatting sqref="F2:F972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2025-11-17T08:00:39Z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