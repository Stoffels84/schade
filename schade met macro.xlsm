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31" documentId="13_ncr:1_{BC833B0D-2F54-40DF-A6AF-902741D0EBA0}" xr6:coauthVersionLast="47" xr6:coauthVersionMax="47" xr10:uidLastSave="{85C904A8-C731-4E69-BE39-8DBB69CCDB5A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76" i="1" l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C872" i="1"/>
  <c r="D872" i="1"/>
  <c r="E872" i="1"/>
  <c r="S872" i="1"/>
  <c r="C871" i="1"/>
  <c r="B871" i="1" s="1"/>
  <c r="D871" i="1"/>
  <c r="E871" i="1"/>
  <c r="S871" i="1"/>
  <c r="C870" i="1"/>
  <c r="B870" i="1" s="1"/>
  <c r="D870" i="1"/>
  <c r="E870" i="1"/>
  <c r="S870" i="1"/>
  <c r="C869" i="1"/>
  <c r="B869" i="1" s="1"/>
  <c r="D869" i="1"/>
  <c r="E869" i="1"/>
  <c r="S869" i="1"/>
  <c r="C868" i="1"/>
  <c r="B868" i="1" s="1"/>
  <c r="D868" i="1"/>
  <c r="E868" i="1"/>
  <c r="S868" i="1"/>
  <c r="C867" i="1"/>
  <c r="B867" i="1" s="1"/>
  <c r="D867" i="1"/>
  <c r="E867" i="1"/>
  <c r="S867" i="1"/>
  <c r="C866" i="1"/>
  <c r="B866" i="1" s="1"/>
  <c r="D866" i="1"/>
  <c r="E866" i="1"/>
  <c r="S866" i="1"/>
  <c r="E864" i="1"/>
  <c r="E865" i="1"/>
  <c r="C865" i="1"/>
  <c r="D865" i="1"/>
  <c r="S865" i="1"/>
  <c r="C864" i="1"/>
  <c r="D864" i="1"/>
  <c r="S864" i="1"/>
  <c r="C863" i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75" i="1" l="1"/>
  <c r="B872" i="1"/>
  <c r="B873" i="1"/>
  <c r="B874" i="1"/>
  <c r="B865" i="1"/>
  <c r="B863" i="1"/>
  <c r="B864" i="1"/>
  <c r="B862" i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681" i="1" l="1"/>
  <c r="B857" i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<sst xmlns="http://schemas.openxmlformats.org/spreadsheetml/2006/main" count="7893" uniqueCount="3636">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</sst>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18</v>
          </cell>
        </row>
        <row r="6">
          <cell r="A6">
            <v>13</v>
          </cell>
          <cell r="B6" t="str">
            <v>Dominique De Clercq</v>
          </cell>
          <cell r="D6">
            <v>28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76" totalsRowShown="0" headerRowDxfId="13">
  <autoFilter ref="A1:AA876" xr:uid="{2FDE3AF6-1CE1-4F38-BD72-1F03CD30F4FC}">
    <filterColumn colId="19">
      <filters blank="1">
        <dateGroupItem year="2025" dateTimeGrouping="year"/>
      </filters>
    </filterColumn>
    <filterColumn colId="25">
      <filters>
        <filter val="5263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1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SUM(bron[[#This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1" t="s">
        <v>89</v>
      </c>
      <c r="J41" s="41"/>
      <c r="K41" s="41"/>
      <c r="L41" s="25"/>
      <c r="M41" s="41" t="s">
        <v>90</v>
      </c>
      <c r="N41" s="41"/>
      <c r="O41" s="41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18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28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163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76"/>
  <sheetViews>
    <sheetView tabSelected="1" zoomScale="85" zoomScaleNormal="85" workbookViewId="0">
      <pane ySplit="1" topLeftCell="A538" activePane="bottomLeft" state="frozen"/>
      <selection activeCell="F1" sqref="F1"/>
      <selection pane="bottomLeft" activeCell="A876" sqref="A876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hidden="1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idden="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idden="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idden="1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idden="1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idden="1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idden="1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idden="1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idden="1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idden="1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idden="1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idden="1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10"/>
      <c r="G864" s="7"/>
      <c r="H864" s="7"/>
      <c r="I864" s="7"/>
      <c r="S864" s="5">
        <f>SUM(bron[[#This Row],[Januari]:[December]])</f>
        <v>0</v>
      </c>
      <c r="T864" s="9">
        <v>45917</v>
      </c>
      <c r="U864" s="5" t="s">
        <v>3627</v>
      </c>
      <c r="V864" s="24"/>
      <c r="W864" s="24"/>
      <c r="X864" t="s">
        <v>3514</v>
      </c>
      <c r="Y864" t="s">
        <v>28</v>
      </c>
      <c r="Z864">
        <v>5488</v>
      </c>
      <c r="AA864" s="39" t="s">
        <v>3561</v>
      </c>
    </row>
    <row r="865" spans="1:27" hidden="1" x14ac:dyDescent="0.25">
      <c r="A865">
        <v>42252</v>
      </c>
      <c r="B865" t="str">
        <f>_xlfn.CONCAT(bron[[#This Row],[personeelsnr]]," ",bron[[#This Row],[achternaam]]," ",bron[[#This Row],[voornaam]])</f>
        <v>42252 Sular Abdullah</v>
      </c>
      <c r="C865" t="str">
        <f>VLOOKUP(bron[[#This Row],[personeelsnr]],'data hastus'!$A:$C,2,0)</f>
        <v>Sular</v>
      </c>
      <c r="D865" t="str">
        <f>VLOOKUP(bron[[#This Row],[personeelsnr]],'data hastus'!$A:$C,3,0)</f>
        <v>Abdullah</v>
      </c>
      <c r="E865" t="str">
        <f>VLOOKUP(bron[[#This Row],[personeelsnr]],'data hastus'!A:K,11,FALSE)</f>
        <v>Christoff Rotty</v>
      </c>
      <c r="F865" s="10"/>
      <c r="G865" s="7"/>
      <c r="H865" s="7"/>
      <c r="I865" s="7"/>
      <c r="S865" s="5">
        <f>SUM(bron[[#This Row],[Januari]:[December]])</f>
        <v>0</v>
      </c>
      <c r="T865" s="9">
        <v>45922</v>
      </c>
      <c r="U865" s="5" t="s">
        <v>3628</v>
      </c>
      <c r="V865" s="24"/>
      <c r="W865" s="24"/>
      <c r="X865" t="s">
        <v>3514</v>
      </c>
      <c r="Y865" t="s">
        <v>3629</v>
      </c>
      <c r="Z865">
        <v>2047</v>
      </c>
      <c r="AA865" s="39" t="s">
        <v>3561</v>
      </c>
    </row>
    <row r="866" spans="1:27" hidden="1" x14ac:dyDescent="0.25">
      <c r="B866" t="e">
        <f>_xlfn.CONCAT(bron[[#This Row],[personeelsnr]]," ",bron[[#This Row],[achternaam]]," ",bron[[#This Row],[voornaam]])</f>
        <v>#N/A</v>
      </c>
      <c r="C866" t="e">
        <f>VLOOKUP(bron[[#This Row],[personeelsnr]],'data hastus'!$A:$C,2,0)</f>
        <v>#N/A</v>
      </c>
      <c r="D866" t="e">
        <f>VLOOKUP(bron[[#This Row],[personeelsnr]],'data hastus'!$A:$C,3,0)</f>
        <v>#N/A</v>
      </c>
      <c r="E866" t="e">
        <f>VLOOKUP(bron[[#This Row],[personeelsnr]],'data hastus'!A:K,11,FALSE)</f>
        <v>#N/A</v>
      </c>
      <c r="F866" s="10"/>
      <c r="G866" s="7"/>
      <c r="H866" s="7"/>
      <c r="I866" s="7"/>
      <c r="S866" s="5">
        <f>SUM(bron[[#This Row],[Januari]:[December]])</f>
        <v>0</v>
      </c>
      <c r="V866" s="24"/>
      <c r="W866" s="24"/>
    </row>
    <row r="867" spans="1:27" hidden="1" x14ac:dyDescent="0.25">
      <c r="B867" t="e">
        <f>_xlfn.CONCAT(bron[[#This Row],[personeelsnr]]," ",bron[[#This Row],[achternaam]]," ",bron[[#This Row],[voornaam]])</f>
        <v>#N/A</v>
      </c>
      <c r="C867" t="e">
        <f>VLOOKUP(bron[[#This Row],[personeelsnr]],'data hastus'!$A:$C,2,0)</f>
        <v>#N/A</v>
      </c>
      <c r="D867" t="e">
        <f>VLOOKUP(bron[[#This Row],[personeelsnr]],'data hastus'!$A:$C,3,0)</f>
        <v>#N/A</v>
      </c>
      <c r="E867" t="e">
        <f>VLOOKUP(bron[[#This Row],[personeelsnr]],'data hastus'!A:K,11,FALSE)</f>
        <v>#N/A</v>
      </c>
      <c r="F867" s="10"/>
      <c r="G867" s="7"/>
      <c r="H867" s="7"/>
      <c r="I867" s="7"/>
      <c r="S867" s="5">
        <f>SUM(bron[[#This Row],[Januari]:[December]])</f>
        <v>0</v>
      </c>
      <c r="V867" s="24"/>
      <c r="W867" s="24"/>
    </row>
    <row r="868" spans="1:27" hidden="1" x14ac:dyDescent="0.25">
      <c r="B868" t="e">
        <f>_xlfn.CONCAT(bron[[#This Row],[personeelsnr]]," ",bron[[#This Row],[achternaam]]," ",bron[[#This Row],[voornaam]])</f>
        <v>#N/A</v>
      </c>
      <c r="C868" t="e">
        <f>VLOOKUP(bron[[#This Row],[personeelsnr]],'data hastus'!$A:$C,2,0)</f>
        <v>#N/A</v>
      </c>
      <c r="D868" t="e">
        <f>VLOOKUP(bron[[#This Row],[personeelsnr]],'data hastus'!$A:$C,3,0)</f>
        <v>#N/A</v>
      </c>
      <c r="E868" t="e">
        <f>VLOOKUP(bron[[#This Row],[personeelsnr]],'data hastus'!A:K,11,FALSE)</f>
        <v>#N/A</v>
      </c>
      <c r="F868" s="10"/>
      <c r="G868" s="7"/>
      <c r="H868" s="7"/>
      <c r="I868" s="7"/>
      <c r="S868" s="5">
        <f>SUM(bron[[#This Row],[Januari]:[December]])</f>
        <v>0</v>
      </c>
      <c r="V868" s="24"/>
      <c r="W868" s="24"/>
    </row>
    <row r="869" spans="1:27" hidden="1" x14ac:dyDescent="0.25">
      <c r="B869" t="e">
        <f>_xlfn.CONCAT(bron[[#This Row],[personeelsnr]]," ",bron[[#This Row],[achternaam]]," ",bron[[#This Row],[voornaam]])</f>
        <v>#N/A</v>
      </c>
      <c r="C869" t="e">
        <f>VLOOKUP(bron[[#This Row],[personeelsnr]],'data hastus'!$A:$C,2,0)</f>
        <v>#N/A</v>
      </c>
      <c r="D869" t="e">
        <f>VLOOKUP(bron[[#This Row],[personeelsnr]],'data hastus'!$A:$C,3,0)</f>
        <v>#N/A</v>
      </c>
      <c r="E869" t="e">
        <f>VLOOKUP(bron[[#This Row],[personeelsnr]],'data hastus'!A:K,11,FALSE)</f>
        <v>#N/A</v>
      </c>
      <c r="F869" s="10"/>
      <c r="G869" s="7"/>
      <c r="H869" s="7"/>
      <c r="I869" s="7"/>
      <c r="S869" s="5">
        <f>SUM(bron[[#This Row],[Januari]:[December]])</f>
        <v>0</v>
      </c>
      <c r="V869" s="24"/>
      <c r="W869" s="24"/>
    </row>
    <row r="870" spans="1:27" hidden="1" x14ac:dyDescent="0.25">
      <c r="B870" t="e">
        <f>_xlfn.CONCAT(bron[[#This Row],[personeelsnr]]," ",bron[[#This Row],[achternaam]]," ",bron[[#This Row],[voornaam]])</f>
        <v>#N/A</v>
      </c>
      <c r="C870" t="e">
        <f>VLOOKUP(bron[[#This Row],[personeelsnr]],'data hastus'!$A:$C,2,0)</f>
        <v>#N/A</v>
      </c>
      <c r="D870" t="e">
        <f>VLOOKUP(bron[[#This Row],[personeelsnr]],'data hastus'!$A:$C,3,0)</f>
        <v>#N/A</v>
      </c>
      <c r="E870" t="e">
        <f>VLOOKUP(bron[[#This Row],[personeelsnr]],'data hastus'!A:K,11,FALSE)</f>
        <v>#N/A</v>
      </c>
      <c r="F870" s="10"/>
      <c r="G870" s="7"/>
      <c r="H870" s="7"/>
      <c r="I870" s="7"/>
      <c r="S870" s="5">
        <f>SUM(bron[[#This Row],[Januari]:[December]])</f>
        <v>0</v>
      </c>
      <c r="V870" s="24"/>
      <c r="W870" s="24"/>
    </row>
    <row r="871" spans="1:27" hidden="1" x14ac:dyDescent="0.25">
      <c r="B871" t="e">
        <f>_xlfn.CONCAT(bron[[#This Row],[personeelsnr]]," ",bron[[#This Row],[achternaam]]," ",bron[[#This Row],[voornaam]])</f>
        <v>#N/A</v>
      </c>
      <c r="C871" t="e">
        <f>VLOOKUP(bron[[#This Row],[personeelsnr]],'data hastus'!$A:$C,2,0)</f>
        <v>#N/A</v>
      </c>
      <c r="D871" t="e">
        <f>VLOOKUP(bron[[#This Row],[personeelsnr]],'data hastus'!$A:$C,3,0)</f>
        <v>#N/A</v>
      </c>
      <c r="E871" t="e">
        <f>VLOOKUP(bron[[#This Row],[personeelsnr]],'data hastus'!A:K,11,FALSE)</f>
        <v>#N/A</v>
      </c>
      <c r="F871" s="10"/>
      <c r="G871" s="7"/>
      <c r="H871" s="7"/>
      <c r="I871" s="7"/>
      <c r="S871" s="5">
        <f>SUM(bron[[#This Row],[Januari]:[December]])</f>
        <v>0</v>
      </c>
      <c r="V871" s="24"/>
      <c r="W871" s="24"/>
    </row>
    <row r="872" spans="1:27" x14ac:dyDescent="0.25">
      <c r="A872">
        <v>31360</v>
      </c>
      <c r="B872" t="str">
        <f>_xlfn.CONCAT(bron[[#This Row],[personeelsnr]]," ",bron[[#This Row],[achternaam]]," ",bron[[#This Row],[voornaam]])</f>
        <v>31360 Simsek Fatih</v>
      </c>
      <c r="C872" t="str">
        <f>VLOOKUP(bron[[#This Row],[personeelsnr]],'data hastus'!$A:$C,2,0)</f>
        <v>Simsek</v>
      </c>
      <c r="D872" t="str">
        <f>VLOOKUP(bron[[#This Row],[personeelsnr]],'data hastus'!$A:$C,3,0)</f>
        <v>Fatih</v>
      </c>
      <c r="E872" t="str">
        <f>VLOOKUP(bron[[#This Row],[personeelsnr]],'data hastus'!A:K,11,FALSE)</f>
        <v>Dominique De Clercq</v>
      </c>
      <c r="F872" s="10"/>
      <c r="G872" s="7"/>
      <c r="H872" s="7"/>
      <c r="I872" s="7"/>
      <c r="S872" s="5">
        <f>SUM(bron[[#This Row],[Januari]:[December]])</f>
        <v>0</v>
      </c>
      <c r="T872" s="9">
        <v>45922</v>
      </c>
      <c r="U872" s="5" t="s">
        <v>3630</v>
      </c>
      <c r="V872" s="24"/>
      <c r="W872" s="24"/>
      <c r="X872" t="s">
        <v>3550</v>
      </c>
      <c r="Y872" t="s">
        <v>5</v>
      </c>
      <c r="Z872">
        <v>6375</v>
      </c>
      <c r="AA872" s="39" t="s">
        <v>3561</v>
      </c>
    </row>
    <row r="873" spans="1:27" x14ac:dyDescent="0.25">
      <c r="A873">
        <v>40856</v>
      </c>
      <c r="B873" t="str">
        <f>_xlfn.CONCAT(bron[[#This Row],[personeelsnr]]," ",bron[[#This Row],[achternaam]]," ",bron[[#This Row],[voornaam]])</f>
        <v>40856 Neissi Sadegh</v>
      </c>
      <c r="C873" t="str">
        <f>VLOOKUP(bron[[#This Row],[personeelsnr]],'data hastus'!$A:$C,2,0)</f>
        <v>Neissi</v>
      </c>
      <c r="D873" t="str">
        <f>VLOOKUP(bron[[#This Row],[personeelsnr]],'data hastus'!$A:$C,3,0)</f>
        <v>Sadegh</v>
      </c>
      <c r="E873" t="str">
        <f>VLOOKUP(bron[[#This Row],[personeelsnr]],'data hastus'!A:K,11,FALSE)</f>
        <v>Kenneth De Rick</v>
      </c>
      <c r="F873" s="10"/>
      <c r="G873" s="7"/>
      <c r="H873" s="7"/>
      <c r="I873" s="7"/>
      <c r="S873" s="5">
        <f>SUM(bron[[#This Row],[Januari]:[December]])</f>
        <v>0</v>
      </c>
      <c r="T873" s="9">
        <v>45919</v>
      </c>
      <c r="U873" s="5" t="s">
        <v>3631</v>
      </c>
      <c r="V873" s="24"/>
      <c r="W873" s="24"/>
      <c r="X873" t="s">
        <v>3514</v>
      </c>
      <c r="Y873" t="s">
        <v>84</v>
      </c>
      <c r="Z873">
        <v>5923</v>
      </c>
      <c r="AA873" s="39" t="s">
        <v>3561</v>
      </c>
    </row>
    <row r="874" spans="1:27" x14ac:dyDescent="0.25">
      <c r="A874">
        <v>39850</v>
      </c>
      <c r="B874" t="str">
        <f>_xlfn.CONCAT(bron[[#This Row],[personeelsnr]]," ",bron[[#This Row],[achternaam]]," ",bron[[#This Row],[voornaam]])</f>
        <v>39850 Helleputte William</v>
      </c>
      <c r="C874" t="str">
        <f>VLOOKUP(bron[[#This Row],[personeelsnr]],'data hastus'!$A:$C,2,0)</f>
        <v>Helleputte</v>
      </c>
      <c r="D874" t="str">
        <f>VLOOKUP(bron[[#This Row],[personeelsnr]],'data hastus'!$A:$C,3,0)</f>
        <v>William</v>
      </c>
      <c r="E874" t="str">
        <f>VLOOKUP(bron[[#This Row],[personeelsnr]],'data hastus'!A:K,11,FALSE)</f>
        <v>Dominique De Clercq</v>
      </c>
      <c r="F874" s="10"/>
      <c r="G874" s="7"/>
      <c r="H874" s="7"/>
      <c r="I874" s="7"/>
      <c r="S874" s="5">
        <f>SUM(bron[[#This Row],[Januari]:[December]])</f>
        <v>0</v>
      </c>
      <c r="T874" s="9">
        <v>45922</v>
      </c>
      <c r="U874" s="5" t="s">
        <v>3632</v>
      </c>
      <c r="V874" s="24"/>
      <c r="W874" s="24"/>
      <c r="X874" t="s">
        <v>3515</v>
      </c>
      <c r="Y874" t="s">
        <v>3633</v>
      </c>
      <c r="Z874">
        <v>5225</v>
      </c>
      <c r="AA874" s="39" t="s">
        <v>3634</v>
      </c>
    </row>
    <row r="875" spans="1:27" x14ac:dyDescent="0.25">
      <c r="A875">
        <v>42252</v>
      </c>
      <c r="B875" t="str">
        <f>_xlfn.CONCAT(bron[[#This Row],[personeelsnr]]," ",bron[[#This Row],[achternaam]]," ",bron[[#This Row],[voornaam]])</f>
        <v>42252 Sular Abdullah</v>
      </c>
      <c r="C875" t="str">
        <f>VLOOKUP(bron[[#This Row],[personeelsnr]],'data hastus'!$A:$C,2,0)</f>
        <v>Sular</v>
      </c>
      <c r="D875" t="str">
        <f>VLOOKUP(bron[[#This Row],[personeelsnr]],'data hastus'!$A:$C,3,0)</f>
        <v>Abdullah</v>
      </c>
      <c r="E875" t="str">
        <f>VLOOKUP(bron[[#This Row],[personeelsnr]],'data hastus'!A:K,11,FALSE)</f>
        <v>Christoff Rotty</v>
      </c>
      <c r="F875" s="10"/>
      <c r="G875" s="7"/>
      <c r="H875" s="7"/>
      <c r="I875" s="7"/>
      <c r="S875" s="40">
        <f>SUM(bron[[#This Row],[Januari]:[December]])</f>
        <v>0</v>
      </c>
      <c r="T875" s="9">
        <v>45923</v>
      </c>
      <c r="U875" s="5" t="s">
        <v>3635</v>
      </c>
      <c r="V875" s="24"/>
      <c r="W875" s="24"/>
      <c r="X875" t="s">
        <v>3514</v>
      </c>
      <c r="Y875" t="s">
        <v>40</v>
      </c>
      <c r="Z875">
        <v>2047</v>
      </c>
      <c r="AA875" s="39" t="s">
        <v>3561</v>
      </c>
    </row>
    <row r="876" spans="1:27" x14ac:dyDescent="0.25">
      <c r="B876" s="42"/>
      <c r="C876" t="e">
        <f>VLOOKUP(bron[[#This Row],[personeelsnr]],'data hastus'!$A:$C,2,0)</f>
        <v>#N/A</v>
      </c>
      <c r="D876" t="e">
        <f>VLOOKUP(bron[[#This Row],[personeelsnr]],'data hastus'!$A:$C,3,0)</f>
        <v>#N/A</v>
      </c>
      <c r="E876" t="e">
        <f>VLOOKUP(bron[[#This Row],[personeelsnr]],'data hastus'!A:K,11,FALSE)</f>
        <v>#N/A</v>
      </c>
      <c r="F876" s="10"/>
      <c r="G876" s="7"/>
      <c r="H876" s="7"/>
      <c r="I876" s="7"/>
      <c r="S876" s="40">
        <f>SUM(bron[[#This Row],[Januari]:[December]])</f>
        <v>0</v>
      </c>
      <c r="V876" s="24"/>
      <c r="W876" s="24"/>
    </row>
  </sheetData>
  <sheetProtection sort="0" autoFilter="0"/>
  <phoneticPr fontId="1" type="noConversion"/>
  <conditionalFormatting sqref="F2:F876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2025-09-25T05:59:14Z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