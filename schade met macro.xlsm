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" documentId="8_{21511603-A870-4D4C-809B-4C28D285AF8F}" xr6:coauthVersionLast="47" xr6:coauthVersionMax="47" xr10:uidLastSave="{84983BD4-3AAB-4636-BBDD-12671EFB34D4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B877" i="1" s="1"/>
  <c r="D877" i="1"/>
  <c r="E877" i="1"/>
  <c r="S877" i="1"/>
  <c r="C876" i="1"/>
  <c r="B876" i="1" s="1"/>
  <c r="D876" i="1"/>
  <c r="E876" i="1"/>
  <c r="S876" i="1"/>
  <c r="C875" i="1"/>
  <c r="B875" i="1" s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4" i="1" l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<sst xmlns="http://schemas.openxmlformats.org/spreadsheetml/2006/main" count="8425" uniqueCount="3641">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</sst>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4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14" activePane="bottomLeft" state="frozen"/>
      <selection activeCell="F1" sqref="F1"/>
      <selection pane="bottomLeft" activeCell="AE44" sqref="AE44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t="s">
        <v>3633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 t="s">
        <v>3633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 t="s">
        <v>3633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 t="s">
        <v>3633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 t="s">
        <v>3633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 t="s">
        <v>3633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 t="s">
        <v>3633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 t="s">
        <v>3633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 t="s">
        <v>3633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 t="s">
        <v>3633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 t="s">
        <v>3633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 t="s">
        <v>3633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 t="s">
        <v>3633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 t="s">
        <v>3633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 t="s">
        <v>3633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 t="s">
        <v>3633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 t="s">
        <v>3633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 t="s">
        <v>3633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 t="s">
        <v>3633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 t="s">
        <v>3633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 t="s">
        <v>3633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 t="s">
        <v>3633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 t="s">
        <v>3633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 t="s">
        <v>3633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 t="s">
        <v>3633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 t="s">
        <v>3633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 t="s">
        <v>3633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 t="s">
        <v>3633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 t="s">
        <v>3633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 t="s">
        <v>3633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 t="s">
        <v>3633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 t="s">
        <v>3633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 t="s">
        <v>3633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 t="s">
        <v>3633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 t="s">
        <v>3633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 t="s">
        <v>3633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 t="s">
        <v>3633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 t="s">
        <v>3633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 t="s">
        <v>3633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 t="s">
        <v>3633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 t="s">
        <v>3633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 t="s">
        <v>3633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 t="s">
        <v>3633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 t="s">
        <v>3633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 t="s">
        <v>3633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 t="s">
        <v>3633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 t="s">
        <v>3633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 t="s">
        <v>3633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 t="s">
        <v>3633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 t="s">
        <v>3633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 t="s">
        <v>3633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 t="s">
        <v>3633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 t="s">
        <v>3633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 t="s">
        <v>3633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 t="s">
        <v>3633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 t="s">
        <v>3633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 t="s">
        <v>3633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 t="s">
        <v>3633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 t="s">
        <v>3633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 t="s">
        <v>3633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 t="s">
        <v>3633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 t="s">
        <v>3633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 t="s">
        <v>3633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 t="s">
        <v>3633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 t="s">
        <v>3633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 t="s">
        <v>3633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 t="s">
        <v>3633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 t="s">
        <v>3633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 t="s">
        <v>3633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 t="s">
        <v>3633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 t="s">
        <v>3633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 t="s">
        <v>3633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 t="s">
        <v>3633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 t="s">
        <v>3633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 t="s">
        <v>3633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 t="s">
        <v>3633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 t="s">
        <v>3633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 t="s">
        <v>3633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 t="s">
        <v>3633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 t="s">
        <v>3633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 t="s">
        <v>3633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 t="s">
        <v>3633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 t="s">
        <v>3633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 t="s">
        <v>3633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 t="s">
        <v>3633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 t="s">
        <v>3633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 t="s">
        <v>3633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 t="s">
        <v>3633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 t="s">
        <v>3633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 t="s">
        <v>3633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 t="s">
        <v>3633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 t="s">
        <v>3633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 t="s">
        <v>3633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 t="s">
        <v>3633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 t="s">
        <v>3633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 t="s">
        <v>3633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 t="s">
        <v>3633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 t="s">
        <v>3633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 t="s">
        <v>3633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 t="s">
        <v>3633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 t="s">
        <v>3633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 t="s">
        <v>3633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 t="s">
        <v>3633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 t="s">
        <v>3633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 t="s">
        <v>3633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 t="s">
        <v>3633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 t="s">
        <v>3633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 t="s">
        <v>3633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 t="s">
        <v>3633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 t="s">
        <v>3633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 t="s">
        <v>3633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 t="s">
        <v>3633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 t="s">
        <v>3633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 t="s">
        <v>3633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 t="s">
        <v>3633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 t="s">
        <v>3633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 t="s">
        <v>3633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 t="s">
        <v>3633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 t="s">
        <v>3633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 t="s">
        <v>3633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 t="s">
        <v>3633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 t="s">
        <v>3633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 t="s">
        <v>3633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 t="s">
        <v>3633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 t="s">
        <v>3633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 t="s">
        <v>3633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 t="s">
        <v>3633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 t="s">
        <v>3633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 t="s">
        <v>3633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 t="s">
        <v>3633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 t="s">
        <v>3633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 t="s">
        <v>3633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 t="s">
        <v>3633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 t="s">
        <v>3633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 t="s">
        <v>3633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 t="s">
        <v>3633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 t="s">
        <v>3633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 t="s">
        <v>3633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 t="s">
        <v>3633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 t="s">
        <v>3633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 t="s">
        <v>3633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 t="s">
        <v>3633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 t="s">
        <v>3633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 t="s">
        <v>3633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 t="s">
        <v>3633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 t="s">
        <v>3633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 t="s">
        <v>3633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 t="s">
        <v>3633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 t="s">
        <v>3633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 t="s">
        <v>3633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 t="s">
        <v>3633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 t="s">
        <v>3633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 t="s">
        <v>3633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 t="s">
        <v>3633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 t="s">
        <v>3633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 t="s">
        <v>3633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 t="s">
        <v>3633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 t="s">
        <v>3633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 t="s">
        <v>3633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 t="s">
        <v>3633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 t="s">
        <v>3633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 t="s">
        <v>3633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 t="s">
        <v>3633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 t="s">
        <v>3633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 t="s">
        <v>3633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 t="s">
        <v>3633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 t="s">
        <v>3633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 t="s">
        <v>3633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 t="s">
        <v>3633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 t="s">
        <v>3633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 t="s">
        <v>3633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 t="s">
        <v>3633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 t="s">
        <v>3633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 t="s">
        <v>3633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 t="s">
        <v>3633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 t="s">
        <v>3633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 t="s">
        <v>3633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 t="s">
        <v>3633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 t="s">
        <v>3633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 t="s">
        <v>3633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 t="s">
        <v>3633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 t="s">
        <v>3633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 t="s">
        <v>3633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 t="s">
        <v>3633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 t="s">
        <v>3633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 t="s">
        <v>3633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 t="s">
        <v>3633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 t="s">
        <v>3633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 t="s">
        <v>3633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 t="s">
        <v>3633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 t="s">
        <v>3633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 t="s">
        <v>3633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 t="s">
        <v>3633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 t="s">
        <v>3633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 t="s">
        <v>3633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 t="s">
        <v>3633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 t="s">
        <v>3633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 t="s">
        <v>3633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 t="s">
        <v>3633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 t="s">
        <v>3633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 t="s">
        <v>3633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 t="s">
        <v>3633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 t="s">
        <v>3633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 t="s">
        <v>3633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 t="s">
        <v>3633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 t="s">
        <v>3633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 t="s">
        <v>3633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 t="s">
        <v>3633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 t="s">
        <v>3633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 t="s">
        <v>3633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 t="s">
        <v>3633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 t="s">
        <v>3633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 t="s">
        <v>3633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 t="s">
        <v>3633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 t="s">
        <v>3633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 t="s">
        <v>3633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 t="s">
        <v>3633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 t="s">
        <v>3633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 t="s">
        <v>3633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 t="s">
        <v>3633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 t="s">
        <v>3633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 t="s">
        <v>3633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 t="s">
        <v>3633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 t="s">
        <v>3633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 t="s">
        <v>3633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 t="s">
        <v>3633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 t="s">
        <v>3633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 t="s">
        <v>3633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 t="s">
        <v>3633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 t="s">
        <v>3633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 t="s">
        <v>3633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 t="s">
        <v>3633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 t="s">
        <v>3633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 t="s">
        <v>3633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 t="s">
        <v>3633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 t="s">
        <v>3633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 t="s">
        <v>3633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 t="s">
        <v>3633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 t="s">
        <v>3633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 t="s">
        <v>3633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 t="s">
        <v>3633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 t="s">
        <v>3633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 t="s">
        <v>3633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 t="s">
        <v>3633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 t="s">
        <v>3633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 t="s">
        <v>3633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 t="s">
        <v>3633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 t="s">
        <v>3633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 t="s">
        <v>3633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 t="s">
        <v>3633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 t="s">
        <v>3633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 t="s">
        <v>3633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 t="s">
        <v>3633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 t="s">
        <v>3633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 t="s">
        <v>3633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 t="s">
        <v>3633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 t="s">
        <v>3633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 t="s">
        <v>3633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 t="s">
        <v>3633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 t="s">
        <v>3633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 t="s">
        <v>3633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 t="s">
        <v>3633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 t="s">
        <v>3633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 t="s">
        <v>3633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 t="s">
        <v>3633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 t="s">
        <v>3633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 t="s">
        <v>3633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 t="s">
        <v>3633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 t="s">
        <v>3633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 t="s">
        <v>3633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 t="s">
        <v>3633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 t="s">
        <v>3633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 t="s">
        <v>3633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 t="s">
        <v>3633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 t="s">
        <v>3633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 t="s">
        <v>3633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 t="s">
        <v>3633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 t="s">
        <v>3633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 t="s">
        <v>3633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 t="s">
        <v>3633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 t="s">
        <v>3633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 t="s">
        <v>3633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 t="s">
        <v>3633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 t="s">
        <v>3633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 t="s">
        <v>3633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 t="s">
        <v>3633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 t="s">
        <v>3633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 t="s">
        <v>3633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 t="s">
        <v>3633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 t="s">
        <v>3633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 t="s">
        <v>3633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 t="s">
        <v>3633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 t="s">
        <v>3633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 t="s">
        <v>3633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 t="s">
        <v>3633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 t="s">
        <v>3633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 t="s">
        <v>3633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 t="s">
        <v>3633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 t="s">
        <v>3633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 t="s">
        <v>3633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 t="s">
        <v>3633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 t="s">
        <v>3633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 t="s">
        <v>3633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 t="s">
        <v>3633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 t="s">
        <v>3633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 t="s">
        <v>3633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 t="s">
        <v>3633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 t="s">
        <v>3633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 t="s">
        <v>3633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 t="s">
        <v>3633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 t="s">
        <v>3633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 t="s">
        <v>3633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 t="s">
        <v>3633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 t="s">
        <v>3633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 t="s">
        <v>3633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 t="s">
        <v>3633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 t="s">
        <v>3633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 t="s">
        <v>3633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 t="s">
        <v>3633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 t="s">
        <v>3633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 t="s">
        <v>3633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 t="s">
        <v>3633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 t="s">
        <v>3633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 t="s">
        <v>3633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 t="s">
        <v>3633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 t="s">
        <v>3633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 t="s">
        <v>3633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 t="s">
        <v>3633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 t="s">
        <v>3633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 t="s">
        <v>3633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 t="s">
        <v>3633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 t="s">
        <v>3633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 t="s">
        <v>3633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 t="s">
        <v>3633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 t="s">
        <v>3633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 t="s">
        <v>3633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 t="s">
        <v>3633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 t="s">
        <v>3633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 t="s">
        <v>3633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 t="s">
        <v>3633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 t="s">
        <v>3633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 t="s">
        <v>3633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 t="s">
        <v>3633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 t="s">
        <v>3633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 t="s">
        <v>3633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 t="s">
        <v>3633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 t="s">
        <v>3633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 t="s">
        <v>3633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 t="s">
        <v>3633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 t="s">
        <v>3633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 t="s">
        <v>3633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 t="s">
        <v>3633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 t="s">
        <v>3633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 t="s">
        <v>3633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 t="s">
        <v>3633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 t="s">
        <v>3633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 t="s">
        <v>3633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 t="s">
        <v>3633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 t="s">
        <v>3633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 t="s">
        <v>3633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 t="s">
        <v>3633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 t="s">
        <v>3633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 t="s">
        <v>3633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 t="s">
        <v>3633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 t="s">
        <v>3633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 t="s">
        <v>3633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 t="s">
        <v>3633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 t="s">
        <v>3633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 t="s">
        <v>3633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 t="s">
        <v>3633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 t="s">
        <v>3633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 t="s">
        <v>3633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 t="s">
        <v>3633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 t="s">
        <v>3633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 t="s">
        <v>3633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 t="s">
        <v>3633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 t="s">
        <v>3633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 t="s">
        <v>3633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 t="s">
        <v>3633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 t="s">
        <v>3633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 t="s">
        <v>3633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 t="s">
        <v>3633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 t="s">
        <v>3633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 t="s">
        <v>3633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 t="s">
        <v>3633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 t="s">
        <v>3633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 t="s">
        <v>3633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 t="s">
        <v>3633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 t="s">
        <v>3633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 t="s">
        <v>3633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 t="s">
        <v>3633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 t="s">
        <v>3633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 t="s">
        <v>3633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 t="s">
        <v>3633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 t="s">
        <v>3633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 t="s">
        <v>3633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 t="s">
        <v>3633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 t="s">
        <v>3633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 t="s">
        <v>3633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 t="s">
        <v>3633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 t="s">
        <v>3633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 t="s">
        <v>3633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 t="s">
        <v>3633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 t="s">
        <v>3633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 t="s">
        <v>3633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 t="s">
        <v>3633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 t="s">
        <v>3633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 t="s">
        <v>3633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 t="s">
        <v>3633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 t="s">
        <v>3633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 t="s">
        <v>3633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 t="s">
        <v>3633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 t="s">
        <v>3633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 t="s">
        <v>3633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 t="s">
        <v>3633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 t="s">
        <v>3633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 t="s">
        <v>3633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 t="s">
        <v>3633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 t="s">
        <v>3633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 t="s">
        <v>3633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 t="s">
        <v>3633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 t="s">
        <v>3633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 t="s">
        <v>3633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 t="s">
        <v>3633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 t="s">
        <v>3633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 t="s">
        <v>3633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 t="s">
        <v>3633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 t="s">
        <v>3633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 t="s">
        <v>3633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 t="s">
        <v>3633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 t="s">
        <v>3633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 t="s">
        <v>3633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 t="s">
        <v>3633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 t="s">
        <v>3633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 t="s">
        <v>3633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 t="s">
        <v>3633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 t="s">
        <v>3633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 t="s">
        <v>3633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 t="s">
        <v>3633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 t="s">
        <v>3633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 t="s">
        <v>3633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 t="s">
        <v>3633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 t="s">
        <v>3633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 t="s">
        <v>3633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 t="s">
        <v>3633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 t="s">
        <v>3633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 t="s">
        <v>3633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 t="s">
        <v>3633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 t="s">
        <v>3633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 t="s">
        <v>3633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 t="s">
        <v>3633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 t="s">
        <v>3633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 t="s">
        <v>3633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 t="s">
        <v>3633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 t="s">
        <v>3633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 t="s">
        <v>3633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 t="s">
        <v>3633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 t="s">
        <v>3633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 t="s">
        <v>3633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 t="s">
        <v>3633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 t="s">
        <v>3633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 t="s">
        <v>3633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 t="s">
        <v>3633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 t="s">
        <v>3633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 t="s">
        <v>3633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 t="s">
        <v>3633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 t="s">
        <v>3633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 t="s">
        <v>3633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 t="s">
        <v>3633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 t="s">
        <v>3633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 t="s">
        <v>3633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 t="s">
        <v>3633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 t="s">
        <v>3633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 t="s">
        <v>3633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 t="s">
        <v>3633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 t="s">
        <v>3633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 t="s">
        <v>3633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AA481" t="s">
        <v>3633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AA482" t="s">
        <v>3633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AA483" t="s">
        <v>3633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AA484" t="s">
        <v>3633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AA485" t="s">
        <v>3633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AA486" t="s">
        <v>3633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AA487" t="s">
        <v>3633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AA488" t="s">
        <v>3633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AA489" t="s">
        <v>3633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AA490" t="s">
        <v>3633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AA491" t="s">
        <v>3633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AA492" t="s">
        <v>3633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AA493" t="s">
        <v>3633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AA494" t="s">
        <v>3633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AA495" t="s">
        <v>3633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AA496" t="s">
        <v>3633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AA497" t="s">
        <v>3633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AA498" t="s">
        <v>3633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AA499" t="s">
        <v>3633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AA500" t="s">
        <v>3633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AA501" t="s">
        <v>3633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AA502" t="s">
        <v>3633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AA503" t="s">
        <v>3633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AA504" t="s">
        <v>3633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AA505" t="s">
        <v>3633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AA506" t="s">
        <v>3633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AA507" t="s">
        <v>3633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AA508" t="s">
        <v>3633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AA509" t="s">
        <v>3633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AA510" t="s">
        <v>3633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AA511" t="s">
        <v>3633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AA512" t="s">
        <v>3633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AA513" t="s">
        <v>3633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9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9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9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9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9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9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9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9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9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9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9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9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9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9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9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9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9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9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9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9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9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9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9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9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9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9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9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9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9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9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9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9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9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9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9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9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9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9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9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9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9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9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9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9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9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9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9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9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9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9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9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9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9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9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9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9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9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9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9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9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9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9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9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9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9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9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9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9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9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9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9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9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9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9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9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9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9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9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9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9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9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9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9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9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9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G600" s="7"/>
      <c r="H600" s="7">
        <v>1</v>
      </c>
      <c r="I600" s="7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9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9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9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9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9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9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9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9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9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9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9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9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9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9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9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9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9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9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9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9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9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9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9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9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9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9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9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9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9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9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9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9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9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9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9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9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9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9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9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9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9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9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9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9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9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9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9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9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9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9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9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9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9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9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9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9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9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9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9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9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9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9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9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9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9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9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9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9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9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9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9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9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9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9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9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9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9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9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9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9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9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9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9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9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9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9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9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9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9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9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9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9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9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9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9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K696" s="12">
        <v>1</v>
      </c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9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9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9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9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12">
        <v>1</v>
      </c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9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9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9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9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9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9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9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9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9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9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9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K711" s="5">
        <v>1</v>
      </c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9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K712" s="5">
        <v>1</v>
      </c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9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O713" s="5">
        <v>1</v>
      </c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9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K714" s="5">
        <v>1</v>
      </c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9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9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9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9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9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9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X720" t="s">
        <v>3515</v>
      </c>
      <c r="Y720" t="s">
        <v>37</v>
      </c>
      <c r="Z720">
        <v>0</v>
      </c>
      <c r="AA720" s="39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9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9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9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9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9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9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9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9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9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9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9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9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9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9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9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9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9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9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9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9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9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9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9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9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9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9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9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9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9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9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9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9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9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9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9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9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9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9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9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9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9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9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9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9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9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9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9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9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9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9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9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9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9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9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9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9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9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9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9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9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9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9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9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9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9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9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9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9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9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9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9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9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9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9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9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9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9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9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9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9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9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9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9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9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9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9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9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9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9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9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9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9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N813" s="5">
        <v>1</v>
      </c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9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9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9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9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9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9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9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9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9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9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9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9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N827" s="5">
        <v>1</v>
      </c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9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9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M830" s="5">
        <v>1</v>
      </c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N832" s="5">
        <v>1</v>
      </c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9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N835" s="5">
        <v>1</v>
      </c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9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N839" s="5">
        <v>1</v>
      </c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45901</v>
      </c>
      <c r="U840" s="5" t="s">
        <v>1339</v>
      </c>
      <c r="V840" s="24">
        <v>1</v>
      </c>
      <c r="W840" s="24"/>
      <c r="X840" t="s">
        <v>3514</v>
      </c>
      <c r="Y840" t="s">
        <v>1340</v>
      </c>
      <c r="Z840">
        <v>5938</v>
      </c>
      <c r="AA840" t="s">
        <v>3560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3501</v>
      </c>
      <c r="V841" s="24">
        <v>1</v>
      </c>
      <c r="W841" s="24"/>
      <c r="X841" t="s">
        <v>3515</v>
      </c>
      <c r="Y841" t="s">
        <v>100</v>
      </c>
      <c r="Z841">
        <v>5263</v>
      </c>
      <c r="AA841" t="s">
        <v>3560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3501</v>
      </c>
      <c r="V842" s="24">
        <v>1</v>
      </c>
      <c r="W842" s="24"/>
      <c r="X842" t="s">
        <v>3515</v>
      </c>
      <c r="Y842" t="s">
        <v>100</v>
      </c>
      <c r="Z842">
        <v>5263</v>
      </c>
      <c r="AA842" s="39" t="s">
        <v>3561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45902</v>
      </c>
      <c r="U843" s="5" t="s">
        <v>1341</v>
      </c>
      <c r="V843" s="24">
        <v>1</v>
      </c>
      <c r="W843" s="24"/>
      <c r="X843" t="s">
        <v>3515</v>
      </c>
      <c r="Y843" t="s">
        <v>399</v>
      </c>
      <c r="Z843">
        <v>5233</v>
      </c>
      <c r="AA843" t="s">
        <v>3560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45902</v>
      </c>
      <c r="U844" s="5" t="s">
        <v>3505</v>
      </c>
      <c r="V844" s="24">
        <v>1</v>
      </c>
      <c r="W844" s="24"/>
      <c r="X844" t="s">
        <v>3514</v>
      </c>
      <c r="Y844" t="s">
        <v>3506</v>
      </c>
      <c r="Z844">
        <v>550311</v>
      </c>
      <c r="AA844" t="s">
        <v>3560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45903</v>
      </c>
      <c r="U845" s="5" t="s">
        <v>3498</v>
      </c>
      <c r="V845" s="24">
        <v>1</v>
      </c>
      <c r="W845" s="24"/>
      <c r="X845" t="s">
        <v>3513</v>
      </c>
      <c r="Y845" t="s">
        <v>3499</v>
      </c>
      <c r="Z845">
        <v>5324</v>
      </c>
      <c r="AA845" t="s">
        <v>3560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45903</v>
      </c>
      <c r="U846" s="5" t="s">
        <v>3511</v>
      </c>
      <c r="V846" s="24"/>
      <c r="W846" s="24">
        <v>1</v>
      </c>
      <c r="X846" t="s">
        <v>3549</v>
      </c>
      <c r="Y846" t="s">
        <v>3512</v>
      </c>
      <c r="Z846">
        <v>6319</v>
      </c>
      <c r="AA846" s="39" t="s">
        <v>3560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45904</v>
      </c>
      <c r="U847" s="5" t="s">
        <v>3500</v>
      </c>
      <c r="V847" s="24"/>
      <c r="W847" s="24">
        <v>1</v>
      </c>
      <c r="X847" t="s">
        <v>3549</v>
      </c>
      <c r="Y847" t="s">
        <v>5</v>
      </c>
      <c r="Z847">
        <v>6316</v>
      </c>
      <c r="AA847" s="39" t="s">
        <v>3560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45904</v>
      </c>
      <c r="U848" s="5" t="s">
        <v>3502</v>
      </c>
      <c r="V848" s="24">
        <v>1</v>
      </c>
      <c r="W848" s="24"/>
      <c r="X848" t="s">
        <v>3514</v>
      </c>
      <c r="Y848" t="s">
        <v>10</v>
      </c>
      <c r="Z848">
        <v>2548</v>
      </c>
      <c r="AA848" t="s">
        <v>3560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45905</v>
      </c>
      <c r="U849" s="5" t="s">
        <v>3503</v>
      </c>
      <c r="V849" s="24">
        <v>1</v>
      </c>
      <c r="W849" s="24"/>
      <c r="X849" t="s">
        <v>3514</v>
      </c>
      <c r="Y849" t="s">
        <v>3504</v>
      </c>
      <c r="Z849">
        <v>5931</v>
      </c>
      <c r="AA849" t="s">
        <v>3560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10"/>
      <c r="G850" s="7"/>
      <c r="H850" s="7"/>
      <c r="I850" s="7"/>
      <c r="O850" s="5">
        <v>1</v>
      </c>
      <c r="S850" s="5">
        <f>SUM(bron[[#This Row],[Januari]:[December]])</f>
        <v>1</v>
      </c>
      <c r="T850" s="9">
        <v>45907</v>
      </c>
      <c r="U850" s="8" t="s">
        <v>3548</v>
      </c>
      <c r="V850" s="24">
        <v>1</v>
      </c>
      <c r="W850" s="24"/>
      <c r="X850" t="s">
        <v>3515</v>
      </c>
      <c r="Y850" t="s">
        <v>13</v>
      </c>
      <c r="Z850">
        <v>5259</v>
      </c>
      <c r="AA850" t="s">
        <v>3560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3507</v>
      </c>
      <c r="V851" s="24"/>
      <c r="W851" s="24">
        <v>1</v>
      </c>
      <c r="X851" t="s">
        <v>3549</v>
      </c>
      <c r="Y851" t="s">
        <v>75</v>
      </c>
      <c r="Z851">
        <v>6331</v>
      </c>
      <c r="AA851" s="39" t="s">
        <v>3560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45909</v>
      </c>
      <c r="U852" s="5" t="s">
        <v>3508</v>
      </c>
      <c r="V852" s="24">
        <v>1</v>
      </c>
      <c r="W852" s="24"/>
      <c r="X852" t="s">
        <v>3513</v>
      </c>
      <c r="Y852" t="s">
        <v>119</v>
      </c>
      <c r="Z852">
        <v>5042</v>
      </c>
      <c r="AA852" t="s">
        <v>3560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10"/>
      <c r="G853" s="7"/>
      <c r="H853" s="7"/>
      <c r="I853" s="7"/>
      <c r="O853" s="5">
        <v>1</v>
      </c>
      <c r="S853" s="5">
        <f>SUM(bron[[#This Row],[Januari]:[December]])</f>
        <v>1</v>
      </c>
      <c r="T853" s="9">
        <v>45909</v>
      </c>
      <c r="U853" s="5" t="s">
        <v>3558</v>
      </c>
      <c r="V853" s="24">
        <v>1</v>
      </c>
      <c r="W853" s="24"/>
      <c r="X853" t="s">
        <v>3514</v>
      </c>
      <c r="Y853" t="s">
        <v>3559</v>
      </c>
      <c r="Z853">
        <v>4678</v>
      </c>
      <c r="AA853" s="39" t="s">
        <v>3560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10"/>
      <c r="G854" s="7"/>
      <c r="H854" s="7"/>
      <c r="I854" s="7"/>
      <c r="S854" s="5">
        <f>SUM(bron[[#This Row],[Januari]:[December]])</f>
        <v>0</v>
      </c>
      <c r="T854" s="9">
        <v>45910</v>
      </c>
      <c r="U854" s="24" t="s">
        <v>3509</v>
      </c>
      <c r="V854" s="24"/>
      <c r="W854" s="24">
        <v>1</v>
      </c>
      <c r="X854" t="s">
        <v>3550</v>
      </c>
      <c r="Y854" t="s">
        <v>3510</v>
      </c>
      <c r="Z854">
        <v>6369</v>
      </c>
      <c r="AA854" s="39" t="s">
        <v>3560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10"/>
      <c r="G855" s="7"/>
      <c r="H855" s="7"/>
      <c r="I855" s="7"/>
      <c r="S855" s="5">
        <f>SUM(bron[[#This Row],[Januari]:[December]])</f>
        <v>0</v>
      </c>
      <c r="T855" s="9">
        <v>45912</v>
      </c>
      <c r="U855" s="5" t="s">
        <v>3563</v>
      </c>
      <c r="V855" s="24">
        <v>1</v>
      </c>
      <c r="W855" s="24"/>
      <c r="X855" t="s">
        <v>3515</v>
      </c>
      <c r="Y855" t="s">
        <v>48</v>
      </c>
      <c r="Z855">
        <v>5265</v>
      </c>
      <c r="AA855" s="39" t="s">
        <v>3560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10"/>
      <c r="G856" s="7"/>
      <c r="H856" s="7"/>
      <c r="I856" s="7"/>
      <c r="S856" s="5">
        <f>SUM(bron[[#This Row],[Januari]:[December]])</f>
        <v>0</v>
      </c>
      <c r="T856" s="9">
        <v>45912</v>
      </c>
      <c r="U856" s="5" t="s">
        <v>3568</v>
      </c>
      <c r="V856" s="24">
        <v>1</v>
      </c>
      <c r="W856" s="24"/>
      <c r="X856" t="s">
        <v>3515</v>
      </c>
      <c r="Y856" t="s">
        <v>100</v>
      </c>
      <c r="Z856">
        <v>2193</v>
      </c>
      <c r="AA856" s="39" t="s">
        <v>3560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45914</v>
      </c>
      <c r="U857" s="5" t="s">
        <v>3551</v>
      </c>
      <c r="V857" s="24"/>
      <c r="W857" s="24">
        <v>1</v>
      </c>
      <c r="X857" t="s">
        <v>3550</v>
      </c>
      <c r="Y857" t="s">
        <v>3552</v>
      </c>
      <c r="Z857">
        <v>6374</v>
      </c>
      <c r="AA857" s="39" t="s">
        <v>3561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45915</v>
      </c>
      <c r="U858" s="5" t="s">
        <v>3553</v>
      </c>
      <c r="V858" s="24">
        <v>1</v>
      </c>
      <c r="W858" s="24"/>
      <c r="X858" t="s">
        <v>3513</v>
      </c>
      <c r="Y858" t="s">
        <v>25</v>
      </c>
      <c r="Z858">
        <v>5237</v>
      </c>
      <c r="AA858" t="s">
        <v>3560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10"/>
      <c r="G859" s="7"/>
      <c r="H859" s="7"/>
      <c r="I859" s="7"/>
      <c r="O859" s="5">
        <v>1</v>
      </c>
      <c r="S859" s="5">
        <f>SUM(bron[[#This Row],[Januari]:[December]])</f>
        <v>1</v>
      </c>
      <c r="T859" s="9">
        <v>45915</v>
      </c>
      <c r="U859" s="5" t="s">
        <v>3555</v>
      </c>
      <c r="V859" s="24">
        <v>1</v>
      </c>
      <c r="W859" s="24"/>
      <c r="X859" t="s">
        <v>3514</v>
      </c>
      <c r="Y859" t="s">
        <v>51</v>
      </c>
      <c r="Z859">
        <v>5763</v>
      </c>
      <c r="AA859" t="s">
        <v>3560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10"/>
      <c r="G860" s="7"/>
      <c r="H860" s="7"/>
      <c r="I860" s="7"/>
      <c r="O860" s="5">
        <v>1</v>
      </c>
      <c r="S860" s="5">
        <f>SUM(bron[[#This Row],[Januari]:[December]])</f>
        <v>1</v>
      </c>
      <c r="T860" s="9">
        <v>45915</v>
      </c>
      <c r="U860" s="5" t="s">
        <v>3554</v>
      </c>
      <c r="V860" s="24">
        <v>1</v>
      </c>
      <c r="W860" s="24"/>
      <c r="X860" t="s">
        <v>3514</v>
      </c>
      <c r="Y860" t="s">
        <v>3552</v>
      </c>
      <c r="Z860">
        <v>5488</v>
      </c>
      <c r="AA860" t="s">
        <v>3560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10"/>
      <c r="G861" s="7"/>
      <c r="H861" s="7"/>
      <c r="I861" s="7"/>
      <c r="O861" s="5">
        <v>1</v>
      </c>
      <c r="S861" s="5">
        <f>SUM(bron[[#This Row],[Januari]:[December]])</f>
        <v>1</v>
      </c>
      <c r="T861" s="9">
        <v>45916</v>
      </c>
      <c r="U861" s="5" t="s">
        <v>3557</v>
      </c>
      <c r="V861" s="24"/>
      <c r="W861" s="24">
        <v>1</v>
      </c>
      <c r="X861" t="s">
        <v>3549</v>
      </c>
      <c r="Y861" t="s">
        <v>1314</v>
      </c>
      <c r="Z861">
        <v>6334</v>
      </c>
      <c r="AA861" t="s">
        <v>3561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10"/>
      <c r="G862" s="7"/>
      <c r="H862" s="7"/>
      <c r="I862" s="7"/>
      <c r="S862" s="5">
        <f>SUM(bron[[#This Row],[Januari]:[December]])</f>
        <v>0</v>
      </c>
      <c r="T862" s="9">
        <v>45917</v>
      </c>
      <c r="U862" s="5" t="s">
        <v>3564</v>
      </c>
      <c r="V862" s="24"/>
      <c r="W862" s="24"/>
      <c r="X862" t="s">
        <v>3514</v>
      </c>
      <c r="Y862" t="s">
        <v>3565</v>
      </c>
      <c r="Z862">
        <v>5913</v>
      </c>
      <c r="AA862" s="39" t="s">
        <v>3560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10"/>
      <c r="G863" s="7"/>
      <c r="H863" s="7"/>
      <c r="I863" s="7"/>
      <c r="S863" s="5">
        <f>SUM(bron[[#This Row],[Januari]:[December]])</f>
        <v>0</v>
      </c>
      <c r="T863" s="9">
        <v>45917</v>
      </c>
      <c r="U863" s="5" t="s">
        <v>3626</v>
      </c>
      <c r="V863" s="24"/>
      <c r="W863" s="24"/>
      <c r="X863" t="s">
        <v>3514</v>
      </c>
      <c r="Y863" t="s">
        <v>28</v>
      </c>
      <c r="Z863">
        <v>5488</v>
      </c>
      <c r="AA863" s="39" t="s">
        <v>3560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10"/>
      <c r="G864" s="7"/>
      <c r="H864" s="7"/>
      <c r="I864" s="7"/>
      <c r="S864" s="5">
        <f>SUM(bron[[#This Row],[Januari]:[December]])</f>
        <v>0</v>
      </c>
      <c r="T864" s="9">
        <v>45919</v>
      </c>
      <c r="U864" s="5" t="s">
        <v>3625</v>
      </c>
      <c r="V864" s="24">
        <v>1</v>
      </c>
      <c r="W864" s="24"/>
      <c r="X864" t="s">
        <v>3514</v>
      </c>
      <c r="Y864" t="s">
        <v>535</v>
      </c>
      <c r="Z864">
        <v>5488</v>
      </c>
      <c r="AA864" s="39" t="s">
        <v>3561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10"/>
      <c r="G865" s="7"/>
      <c r="H865" s="7"/>
      <c r="I865" s="7"/>
      <c r="S865" s="5">
        <f>SUM(bron[[#This Row],[Januari]:[December]])</f>
        <v>0</v>
      </c>
      <c r="T865" s="9">
        <v>45919</v>
      </c>
      <c r="U865" s="5" t="s">
        <v>3630</v>
      </c>
      <c r="V865" s="24"/>
      <c r="W865" s="24"/>
      <c r="X865" t="s">
        <v>3514</v>
      </c>
      <c r="Y865" t="s">
        <v>84</v>
      </c>
      <c r="Z865">
        <v>5923</v>
      </c>
      <c r="AA865" s="39" t="s">
        <v>3560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10"/>
      <c r="G866" s="7"/>
      <c r="H866" s="7"/>
      <c r="I866" s="7"/>
      <c r="S866" s="5">
        <f>SUM(bron[[#This Row],[Januari]:[December]])</f>
        <v>0</v>
      </c>
      <c r="T866" s="9">
        <v>45922</v>
      </c>
      <c r="U866" s="5" t="s">
        <v>3627</v>
      </c>
      <c r="V866" s="24"/>
      <c r="W866" s="24"/>
      <c r="X866" t="s">
        <v>3514</v>
      </c>
      <c r="Y866" t="s">
        <v>3628</v>
      </c>
      <c r="Z866">
        <v>2047</v>
      </c>
      <c r="AA866" s="39" t="s">
        <v>3560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10"/>
      <c r="G867" s="7"/>
      <c r="H867" s="7"/>
      <c r="I867" s="7"/>
      <c r="S867" s="5">
        <f>SUM(bron[[#This Row],[Januari]:[December]])</f>
        <v>0</v>
      </c>
      <c r="T867" s="9">
        <v>45922</v>
      </c>
      <c r="U867" s="5" t="s">
        <v>3629</v>
      </c>
      <c r="V867" s="24"/>
      <c r="W867" s="24"/>
      <c r="X867" t="s">
        <v>3550</v>
      </c>
      <c r="Y867" t="s">
        <v>5</v>
      </c>
      <c r="Z867">
        <v>6375</v>
      </c>
      <c r="AA867" s="39" t="s">
        <v>3560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10"/>
      <c r="G868" s="7"/>
      <c r="H868" s="7"/>
      <c r="I868" s="7"/>
      <c r="S868" s="5">
        <f>SUM(bron[[#This Row],[Januari]:[December]])</f>
        <v>0</v>
      </c>
      <c r="T868" s="9">
        <v>45922</v>
      </c>
      <c r="U868" s="5" t="s">
        <v>3631</v>
      </c>
      <c r="V868" s="24"/>
      <c r="W868" s="24"/>
      <c r="X868" t="s">
        <v>3515</v>
      </c>
      <c r="Y868" t="s">
        <v>3632</v>
      </c>
      <c r="Z868">
        <v>5225</v>
      </c>
      <c r="AA868" s="39" t="s">
        <v>3633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10"/>
      <c r="G869" s="7"/>
      <c r="H869" s="7"/>
      <c r="I869" s="7"/>
      <c r="S869" s="40">
        <f>SUM(bron[[#This Row],[Januari]:[December]])</f>
        <v>0</v>
      </c>
      <c r="T869" s="9">
        <v>45923</v>
      </c>
      <c r="U869" s="5" t="s">
        <v>3634</v>
      </c>
      <c r="V869" s="24"/>
      <c r="W869" s="24"/>
      <c r="X869" t="s">
        <v>3514</v>
      </c>
      <c r="Y869" t="s">
        <v>40</v>
      </c>
      <c r="Z869">
        <v>2047</v>
      </c>
      <c r="AA869" s="39" t="s">
        <v>3560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10"/>
      <c r="G870" s="7"/>
      <c r="H870" s="7"/>
      <c r="I870" s="7"/>
      <c r="S870" s="40">
        <f>SUM(bron[[#This Row],[Januari]:[December]])</f>
        <v>0</v>
      </c>
      <c r="T870" s="9">
        <v>45923</v>
      </c>
      <c r="U870" s="5" t="s">
        <v>3636</v>
      </c>
      <c r="V870" s="24"/>
      <c r="W870" s="24"/>
      <c r="X870" t="s">
        <v>3549</v>
      </c>
      <c r="Y870" t="s">
        <v>75</v>
      </c>
      <c r="Z870">
        <v>6328</v>
      </c>
      <c r="AA870" s="39" t="s">
        <v>3561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10"/>
      <c r="G871" s="7"/>
      <c r="H871" s="7"/>
      <c r="I871" s="7"/>
      <c r="S871" s="40">
        <f>SUM(bron[[#This Row],[Januari]:[December]])</f>
        <v>0</v>
      </c>
      <c r="T871" s="9">
        <v>45924</v>
      </c>
      <c r="U871" s="5" t="s">
        <v>3635</v>
      </c>
      <c r="V871" s="24"/>
      <c r="W871" s="24"/>
      <c r="X871" t="s">
        <v>3514</v>
      </c>
      <c r="Y871" t="s">
        <v>3628</v>
      </c>
      <c r="Z871">
        <v>2085</v>
      </c>
      <c r="AA871" s="39" t="s">
        <v>3560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10"/>
      <c r="G872" s="7"/>
      <c r="H872" s="7"/>
      <c r="I872" s="7"/>
      <c r="S872" s="40">
        <f>SUM(bron[[#This Row],[Januari]:[December]])</f>
        <v>0</v>
      </c>
      <c r="T872" s="9">
        <v>45924</v>
      </c>
      <c r="U872" s="5" t="s">
        <v>3637</v>
      </c>
      <c r="V872" s="24"/>
      <c r="W872" s="24"/>
      <c r="X872" t="s">
        <v>3514</v>
      </c>
      <c r="Y872" t="s">
        <v>3638</v>
      </c>
      <c r="Z872">
        <v>5922</v>
      </c>
      <c r="AA872" s="39" t="s">
        <v>3561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10"/>
      <c r="G873" s="7"/>
      <c r="H873" s="7"/>
      <c r="I873" s="7"/>
      <c r="S873" s="5">
        <f>SUM(bron[[#This Row],[Januari]:[December]])</f>
        <v>0</v>
      </c>
      <c r="T873" s="9">
        <v>45925</v>
      </c>
      <c r="U873" s="5" t="s">
        <v>3639</v>
      </c>
      <c r="V873" s="24"/>
      <c r="W873" s="24"/>
      <c r="X873" t="s">
        <v>3514</v>
      </c>
      <c r="Y873" t="s">
        <v>1325</v>
      </c>
      <c r="Z873">
        <v>5938</v>
      </c>
      <c r="AA873" s="39" t="s">
        <v>3561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45926</v>
      </c>
      <c r="U874" s="5" t="s">
        <v>3640</v>
      </c>
      <c r="V874" s="24"/>
      <c r="W874" s="24"/>
      <c r="X874" t="s">
        <v>3514</v>
      </c>
      <c r="Y874" t="s">
        <v>16</v>
      </c>
      <c r="Z874">
        <v>5773</v>
      </c>
      <c r="AA874" s="39" t="s">
        <v>3560</v>
      </c>
    </row>
    <row r="875" spans="1:27" x14ac:dyDescent="0.25">
      <c r="B875" t="e">
        <f>_xlfn.CONCAT(bron[[#This Row],[personeelsnr]]," ",bron[[#This Row],[achternaam]]," ",bron[[#This Row],[voornaam]])</f>
        <v>#N/A</v>
      </c>
      <c r="C875" t="e">
        <f>VLOOKUP(bron[[#This Row],[personeelsnr]],'data hastus'!$A:$C,2,0)</f>
        <v>#N/A</v>
      </c>
      <c r="D875" t="e">
        <f>VLOOKUP(bron[[#This Row],[personeelsnr]],'data hastus'!$A:$C,3,0)</f>
        <v>#N/A</v>
      </c>
      <c r="E875" t="e">
        <f>VLOOKUP(bron[[#This Row],[personeelsnr]],'data hastus'!A:K,11,FALSE)</f>
        <v>#N/A</v>
      </c>
      <c r="F875" s="10"/>
      <c r="G875" s="7"/>
      <c r="H875" s="7"/>
      <c r="I875" s="7"/>
      <c r="S875" s="5">
        <f>SUM(bron[[#This Row],[Januari]:[December]])</f>
        <v>0</v>
      </c>
      <c r="V875" s="24"/>
      <c r="W875" s="24"/>
    </row>
    <row r="876" spans="1:27" x14ac:dyDescent="0.25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  <c r="F876" s="10"/>
      <c r="G876" s="7"/>
      <c r="H876" s="7"/>
      <c r="I876" s="7"/>
      <c r="S876" s="5">
        <f>SUM(bron[[#This Row],[Januari]:[December]])</f>
        <v>0</v>
      </c>
      <c r="V876" s="24"/>
      <c r="W876" s="24"/>
    </row>
    <row r="877" spans="1:27" x14ac:dyDescent="0.25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t="e">
        <f>VLOOKUP(bron[[#This Row],[personeelsnr]],'data hastus'!A:K,11,FALSE)</f>
        <v>#N/A</v>
      </c>
      <c r="F877" s="10"/>
      <c r="G877" s="7"/>
      <c r="H877" s="7"/>
      <c r="I877" s="7"/>
      <c r="S877" s="5">
        <f>SUM(bron[[#This Row],[Januari]:[December]])</f>
        <v>0</v>
      </c>
      <c r="V877" s="24"/>
      <c r="W877" s="24"/>
    </row>
    <row r="878" spans="1:27" x14ac:dyDescent="0.25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t="e">
        <f>VLOOKUP(bron[[#This Row],[personeelsnr]],'data hastus'!A:K,11,FALSE)</f>
        <v>#N/A</v>
      </c>
      <c r="F878" s="10"/>
      <c r="G878" s="7"/>
      <c r="H878" s="7"/>
      <c r="I878" s="7"/>
      <c r="S878" s="5">
        <f>SUM(bron[[#This Row],[Januari]:[December]])</f>
        <v>0</v>
      </c>
      <c r="V878" s="24"/>
      <c r="W878" s="24"/>
    </row>
    <row r="879" spans="1:27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  <c r="F879" s="10"/>
      <c r="G879" s="7"/>
      <c r="H879" s="7"/>
      <c r="I879" s="7"/>
      <c r="S879" s="40">
        <f>SUM(bron[[#This Row],[Januari]:[December]])</f>
        <v>0</v>
      </c>
      <c r="V879" s="24"/>
      <c r="W879" s="24"/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  <c r="F880" s="10"/>
      <c r="G880" s="7"/>
      <c r="H880" s="7"/>
      <c r="I880" s="7"/>
      <c r="S880" s="40">
        <f>SUM(bron[[#This Row],[Januari]:[December]])</f>
        <v>0</v>
      </c>
      <c r="V880" s="24"/>
      <c r="W880" s="24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  <c r="F881" s="10"/>
      <c r="G881" s="7"/>
      <c r="H881" s="7"/>
      <c r="I881" s="7"/>
      <c r="S881" s="40">
        <f>SUM(bron[[#This Row],[Januari]:[December]])</f>
        <v>0</v>
      </c>
      <c r="V881" s="24"/>
      <c r="W881" s="24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  <c r="F882" s="10"/>
      <c r="G882" s="7"/>
      <c r="H882" s="7"/>
      <c r="I882" s="7"/>
      <c r="S882" s="40">
        <f>SUM(bron[[#This Row],[Januari]:[December]])</f>
        <v>0</v>
      </c>
      <c r="V882" s="24"/>
      <c r="W882" s="24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  <c r="F883" s="10"/>
      <c r="G883" s="7"/>
      <c r="H883" s="7"/>
      <c r="I883" s="7"/>
      <c r="S883" s="40">
        <f>SUM(bron[[#This Row],[Januari]:[December]])</f>
        <v>0</v>
      </c>
      <c r="V883" s="24"/>
      <c r="W883" s="24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  <c r="F884" s="10"/>
      <c r="G884" s="7"/>
      <c r="H884" s="7"/>
      <c r="I884" s="7"/>
      <c r="S884" s="40">
        <f>SUM(bron[[#This Row],[Januari]:[December]])</f>
        <v>0</v>
      </c>
      <c r="V884" s="24"/>
      <c r="W884" s="24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  <c r="F885" s="10"/>
      <c r="G885" s="7"/>
      <c r="H885" s="7"/>
      <c r="I885" s="7"/>
      <c r="S885" s="40">
        <f>SUM(bron[[#This Row],[Januari]:[December]])</f>
        <v>0</v>
      </c>
      <c r="V885" s="24"/>
      <c r="W885" s="24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  <c r="F886" s="10"/>
      <c r="G886" s="7"/>
      <c r="H886" s="7"/>
      <c r="I886" s="7"/>
      <c r="S886" s="40">
        <f>SUM(bron[[#This Row],[Januari]:[December]])</f>
        <v>0</v>
      </c>
      <c r="V886" s="24"/>
      <c r="W886" s="24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  <c r="F887" s="10"/>
      <c r="G887" s="7"/>
      <c r="H887" s="7"/>
      <c r="I887" s="7"/>
      <c r="S887" s="40">
        <f>SUM(bron[[#This Row],[Januari]:[December]])</f>
        <v>0</v>
      </c>
      <c r="V887" s="24"/>
      <c r="W887" s="24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  <c r="F888" s="10"/>
      <c r="G888" s="7"/>
      <c r="H888" s="7"/>
      <c r="I888" s="7"/>
      <c r="S888" s="40">
        <f>SUM(bron[[#This Row],[Januari]:[December]])</f>
        <v>0</v>
      </c>
      <c r="V888" s="24"/>
      <c r="W888" s="24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  <c r="F889" s="10"/>
      <c r="G889" s="7"/>
      <c r="H889" s="7"/>
      <c r="I889" s="7"/>
      <c r="S889" s="40">
        <f>SUM(bron[[#This Row],[Januari]:[December]])</f>
        <v>0</v>
      </c>
      <c r="V889" s="24"/>
      <c r="W889" s="24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  <c r="F890" s="10"/>
      <c r="G890" s="7"/>
      <c r="H890" s="7"/>
      <c r="I890" s="7"/>
      <c r="S890" s="40">
        <f>SUM(bron[[#This Row],[Januari]:[December]])</f>
        <v>0</v>
      </c>
      <c r="V890" s="24"/>
      <c r="W890" s="24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  <c r="F891" s="10"/>
      <c r="G891" s="7"/>
      <c r="H891" s="7"/>
      <c r="I891" s="7"/>
      <c r="S891" s="40">
        <f>SUM(bron[[#This Row],[Januari]:[December]])</f>
        <v>0</v>
      </c>
      <c r="V891" s="24"/>
      <c r="W891" s="24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  <c r="F892" s="10"/>
      <c r="G892" s="7"/>
      <c r="H892" s="7"/>
      <c r="I892" s="7"/>
      <c r="S892" s="40">
        <f>SUM(bron[[#This Row],[Januari]:[December]])</f>
        <v>0</v>
      </c>
      <c r="V892" s="24"/>
      <c r="W892" s="24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  <c r="F893" s="10"/>
      <c r="G893" s="7"/>
      <c r="H893" s="7"/>
      <c r="I893" s="7"/>
      <c r="S893" s="40">
        <f>SUM(bron[[#This Row],[Januari]:[December]])</f>
        <v>0</v>
      </c>
      <c r="V893" s="24"/>
      <c r="W893" s="24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  <c r="F894" s="10"/>
      <c r="G894" s="7"/>
      <c r="H894" s="7"/>
      <c r="I894" s="7"/>
      <c r="S894" s="40">
        <f>SUM(bron[[#This Row],[Januari]:[December]])</f>
        <v>0</v>
      </c>
      <c r="V894" s="24"/>
      <c r="W894" s="24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  <c r="F895" s="10"/>
      <c r="G895" s="7"/>
      <c r="H895" s="7"/>
      <c r="I895" s="7"/>
      <c r="S895" s="40">
        <f>SUM(bron[[#This Row],[Januari]:[December]])</f>
        <v>0</v>
      </c>
      <c r="V895" s="24"/>
      <c r="W895" s="24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  <c r="F896" s="10"/>
      <c r="G896" s="7"/>
      <c r="H896" s="7"/>
      <c r="I896" s="7"/>
      <c r="S896" s="40">
        <f>SUM(bron[[#This Row],[Januari]:[December]])</f>
        <v>0</v>
      </c>
      <c r="V896" s="24"/>
      <c r="W896" s="24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  <c r="F897" s="10"/>
      <c r="G897" s="7"/>
      <c r="H897" s="7"/>
      <c r="I897" s="7"/>
      <c r="S897" s="40">
        <f>SUM(bron[[#This Row],[Januari]:[December]])</f>
        <v>0</v>
      </c>
      <c r="V897" s="24"/>
      <c r="W897" s="24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  <c r="F898" s="10"/>
      <c r="G898" s="7"/>
      <c r="H898" s="7"/>
      <c r="I898" s="7"/>
      <c r="S898" s="40">
        <f>SUM(bron[[#This Row],[Januari]:[December]])</f>
        <v>0</v>
      </c>
      <c r="V898" s="24"/>
      <c r="W898" s="24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  <c r="F899" s="10"/>
      <c r="G899" s="7"/>
      <c r="H899" s="7"/>
      <c r="I899" s="7"/>
      <c r="S899" s="40">
        <f>SUM(bron[[#This Row],[Januari]:[December]])</f>
        <v>0</v>
      </c>
      <c r="V899" s="24"/>
      <c r="W899" s="24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  <c r="F900" s="10"/>
      <c r="G900" s="7"/>
      <c r="H900" s="7"/>
      <c r="I900" s="7"/>
      <c r="S900" s="40">
        <f>SUM(bron[[#This Row],[Januari]:[December]])</f>
        <v>0</v>
      </c>
      <c r="V900" s="24"/>
      <c r="W900" s="24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  <c r="F901" s="10"/>
      <c r="G901" s="7"/>
      <c r="H901" s="7"/>
      <c r="I901" s="7"/>
      <c r="S901" s="40">
        <f>SUM(bron[[#This Row],[Januari]:[December]])</f>
        <v>0</v>
      </c>
      <c r="V901" s="24"/>
      <c r="W901" s="24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  <c r="F902" s="10"/>
      <c r="G902" s="7"/>
      <c r="H902" s="7"/>
      <c r="I902" s="7"/>
      <c r="S902" s="40">
        <f>SUM(bron[[#This Row],[Januari]:[December]])</f>
        <v>0</v>
      </c>
      <c r="V902" s="24"/>
      <c r="W902" s="24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  <c r="F903" s="10"/>
      <c r="G903" s="7"/>
      <c r="H903" s="7"/>
      <c r="I903" s="7"/>
      <c r="S903" s="40">
        <f>SUM(bron[[#This Row],[Januari]:[December]])</f>
        <v>0</v>
      </c>
      <c r="V903" s="24"/>
      <c r="W903" s="24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  <c r="F904" s="10"/>
      <c r="G904" s="7"/>
      <c r="H904" s="7"/>
      <c r="I904" s="7"/>
      <c r="S904" s="40">
        <f>SUM(bron[[#This Row],[Januari]:[December]])</f>
        <v>0</v>
      </c>
      <c r="V904" s="24"/>
      <c r="W904" s="24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  <c r="F905" s="10"/>
      <c r="G905" s="7"/>
      <c r="H905" s="7"/>
      <c r="I905" s="7"/>
      <c r="S905" s="40">
        <f>SUM(bron[[#This Row],[Januari]:[December]])</f>
        <v>0</v>
      </c>
      <c r="V905" s="24"/>
      <c r="W905" s="24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  <c r="F906" s="10"/>
      <c r="G906" s="7"/>
      <c r="H906" s="7"/>
      <c r="I906" s="7"/>
      <c r="S906" s="40">
        <f>SUM(bron[[#This Row],[Januari]:[December]])</f>
        <v>0</v>
      </c>
      <c r="V906" s="24"/>
      <c r="W906" s="24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  <c r="F907" s="10"/>
      <c r="G907" s="7"/>
      <c r="H907" s="7"/>
      <c r="I907" s="7"/>
      <c r="S907" s="40">
        <f>SUM(bron[[#This Row],[Januari]:[December]])</f>
        <v>0</v>
      </c>
      <c r="V907" s="24"/>
      <c r="W907" s="24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  <c r="F908" s="10"/>
      <c r="G908" s="7"/>
      <c r="H908" s="7"/>
      <c r="I908" s="7"/>
      <c r="S908" s="40">
        <f>SUM(bron[[#This Row],[Januari]:[December]])</f>
        <v>0</v>
      </c>
      <c r="V908" s="24"/>
      <c r="W908" s="24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  <c r="F909" s="10"/>
      <c r="G909" s="7"/>
      <c r="H909" s="7"/>
      <c r="I909" s="7"/>
      <c r="S909" s="40">
        <f>SUM(bron[[#This Row],[Januari]:[December]])</f>
        <v>0</v>
      </c>
      <c r="V909" s="24"/>
      <c r="W909" s="24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  <c r="F910" s="10"/>
      <c r="G910" s="7"/>
      <c r="H910" s="7"/>
      <c r="I910" s="7"/>
      <c r="S910" s="40">
        <f>SUM(bron[[#This Row],[Januari]:[December]])</f>
        <v>0</v>
      </c>
      <c r="V910" s="24"/>
      <c r="W910" s="24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2025-09-26T10:40:10Z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