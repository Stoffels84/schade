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3" documentId="8_{21511603-A870-4D4C-809B-4C28D285AF8F}" xr6:coauthVersionLast="47" xr6:coauthVersionMax="47" xr10:uidLastSave="{4CA1F2C3-8557-4F2C-9308-731D854F10F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<sst xmlns="http://schemas.openxmlformats.org/spreadsheetml/2006/main" count="8630" uniqueCount="3716">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</sst>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22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12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188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2" activePane="bottomLeft" state="frozen"/>
      <selection activeCell="F1" sqref="F1"/>
      <selection pane="bottomLeft" activeCell="A905" sqref="A90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15219</v>
      </c>
      <c r="B904" t="str">
        <f>_xlfn.CONCAT(bron[[#This Row],[personeelsnr]]," ",bron[[#This Row],[achternaam]]," ",bron[[#This Row],[voornaam]])</f>
        <v>15219 De Mey Peter</v>
      </c>
      <c r="C904" t="str">
        <f>VLOOKUP(bron[[#This Row],[personeelsnr]],'data hastus'!$A:$C,2,0)</f>
        <v>De Mey</v>
      </c>
      <c r="D904" t="str">
        <f>VLOOKUP(bron[[#This Row],[personeelsnr]],'data hastus'!$A:$C,3,0)</f>
        <v>Peter</v>
      </c>
      <c r="E904" s="2" t="str">
        <f>VLOOKUP(bron[[#This Row],[personeelsnr]],'data hastus'!A:K,11,FALSE)</f>
        <v>Bart Van Der Beken</v>
      </c>
      <c r="G904" s="39"/>
      <c r="H904" s="39"/>
      <c r="I904" s="39"/>
      <c r="S904" s="36">
        <f>SUM(bron[[#This Row],[Januari]:[December]])</f>
        <v>0</v>
      </c>
      <c r="T904" s="41">
        <v>45942</v>
      </c>
      <c r="U904" s="5" t="s">
        <v>3715</v>
      </c>
      <c r="V904" s="37"/>
      <c r="W904" s="37"/>
      <c r="X904" t="s">
        <v>3548</v>
      </c>
      <c r="Y904" t="s">
        <v>487</v>
      </c>
      <c r="Z904" s="2">
        <v>6362</v>
      </c>
      <c r="AA904" s="43" t="s">
        <v>3558</v>
      </c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2025-10-15T12:21:20Z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