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28" documentId="13_ncr:1_{10FCACA5-8197-478D-90D3-5F83063FB753}" xr6:coauthVersionLast="47" xr6:coauthVersionMax="47" xr10:uidLastSave="{79E539F3-2189-42A5-AC49-3B354509E13C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<sst xmlns="http://schemas.openxmlformats.org/spreadsheetml/2006/main" count="8940" uniqueCount="3822">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</sst>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36" activePane="bottomLeft" state="frozen"/>
      <selection activeCell="F1" sqref="F1"/>
      <selection pane="bottomLeft" activeCell="A974" sqref="A97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B974" t="e">
        <f>_xlfn.CONCAT(bron[[#This Row],[personeelsnr]]," ",bron[[#This Row],[achternaam]]," ",bron[[#This Row],[voornaam]])</f>
        <v>#N/A</v>
      </c>
      <c r="C974" t="e">
        <f>VLOOKUP(bron[[#This Row],[personeelsnr]],'data hastus'!$A:$C,2,0)</f>
        <v>#N/A</v>
      </c>
      <c r="D974" t="e">
        <f>VLOOKUP(bron[[#This Row],[personeelsnr]],'data hastus'!$A:$C,3,0)</f>
        <v>#N/A</v>
      </c>
      <c r="E974" s="2" t="e">
        <f>VLOOKUP(bron[[#This Row],[personeelsnr]],'data hastus'!A:K,11,FALSE)</f>
        <v>#N/A</v>
      </c>
      <c r="F974" s="10"/>
      <c r="G974" s="39"/>
      <c r="H974" s="39"/>
      <c r="I974" s="39"/>
      <c r="S974" s="44">
        <f>SUM(bron[[#This Row],[Januari]:[December]])</f>
        <v>0</v>
      </c>
      <c r="V974" s="37"/>
      <c r="W974" s="37"/>
    </row>
    <row r="975" spans="1:27" x14ac:dyDescent="0.25">
      <c r="B975" t="e">
        <f>_xlfn.CONCAT(bron[[#This Row],[personeelsnr]]," ",bron[[#This Row],[achternaam]]," ",bron[[#This Row],[voornaam]])</f>
        <v>#N/A</v>
      </c>
      <c r="C975" t="e">
        <f>VLOOKUP(bron[[#This Row],[personeelsnr]],'data hastus'!$A:$C,2,0)</f>
        <v>#N/A</v>
      </c>
      <c r="D975" t="e">
        <f>VLOOKUP(bron[[#This Row],[personeelsnr]],'data hastus'!$A:$C,3,0)</f>
        <v>#N/A</v>
      </c>
      <c r="E975" s="2" t="e">
        <f>VLOOKUP(bron[[#This Row],[personeelsnr]],'data hastus'!A:K,11,FALSE)</f>
        <v>#N/A</v>
      </c>
      <c r="F975" s="10"/>
      <c r="G975" s="39"/>
      <c r="H975" s="39"/>
      <c r="I975" s="39"/>
      <c r="S975" s="44">
        <f>SUM(bron[[#This Row],[Januari]:[December]])</f>
        <v>0</v>
      </c>
      <c r="V975" s="37"/>
      <c r="W975" s="37"/>
    </row>
    <row r="976" spans="1:27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2025-11-25T08:36:06Z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