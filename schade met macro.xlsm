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85" documentId="13_ncr:1_{10FCACA5-8197-478D-90D3-5F83063FB753}" xr6:coauthVersionLast="47" xr6:coauthVersionMax="47" xr10:uidLastSave="{A7FE6E7B-D062-48F6-8659-7323FEB937C3}"/>
  <bookViews>
    <workbookView minimized="1" xWindow="-10935" yWindow="-1423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<sst xmlns="http://schemas.openxmlformats.org/spreadsheetml/2006/main" count="8928" uniqueCount="3818">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</sst>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24" activePane="bottomLeft" state="frozen"/>
      <selection activeCell="F1" sqref="F1"/>
      <selection pane="bottomLeft" activeCell="A971" sqref="A97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39"/>
      <c r="H969" s="39"/>
      <c r="I969" s="39"/>
      <c r="S969" s="44">
        <f>SUM(bron[[#This Row],[Januari]:[December]])</f>
        <v>0</v>
      </c>
      <c r="T969" s="41">
        <v>45979</v>
      </c>
      <c r="U969" s="5" t="s">
        <v>3816</v>
      </c>
      <c r="V969" s="37"/>
      <c r="W969" s="37"/>
      <c r="X969" t="s">
        <v>3512</v>
      </c>
      <c r="Y969" t="s">
        <v>218</v>
      </c>
      <c r="Z969" s="2">
        <v>5936</v>
      </c>
      <c r="AA969" s="43" t="s">
        <v>3558</v>
      </c>
    </row>
    <row r="970" spans="1:27" x14ac:dyDescent="0.25">
      <c r="A970">
        <v>39558</v>
      </c>
      <c r="B970" t="str">
        <f>_xlfn.CONCAT(bron[[#This Row],[personeelsnr]]," ",bron[[#This Row],[achternaam]]," ",bron[[#This Row],[voornaam]])</f>
        <v>39558 De Groote Cedric</v>
      </c>
      <c r="C970" t="str">
        <f>VLOOKUP(bron[[#This Row],[personeelsnr]],'data hastus'!$A:$C,2,0)</f>
        <v>De Groote</v>
      </c>
      <c r="D970" t="str">
        <f>VLOOKUP(bron[[#This Row],[personeelsnr]],'data hastus'!$A:$C,3,0)</f>
        <v>Cedric</v>
      </c>
      <c r="E970" s="2" t="str">
        <f>VLOOKUP(bron[[#This Row],[personeelsnr]],'data hastus'!A:K,11,FALSE)</f>
        <v>Steven Storm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3817</v>
      </c>
      <c r="V970" s="37"/>
      <c r="W970" s="37"/>
      <c r="X970" t="s">
        <v>3513</v>
      </c>
      <c r="Y970" t="s">
        <v>285</v>
      </c>
      <c r="Z970" s="2">
        <v>5047</v>
      </c>
      <c r="AA970" s="43" t="s">
        <v>3558</v>
      </c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2025-11-24T07:55:44Z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