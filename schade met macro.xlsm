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55" documentId="13_ncr:1_{BC833B0D-2F54-40DF-A6AF-902741D0EBA0}" xr6:coauthVersionLast="47" xr6:coauthVersionMax="47" xr10:uidLastSave="{6490CDD8-5F30-402B-9A1F-E35CC5AC89C1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8" i="1" l="1"/>
  <c r="D878" i="1"/>
  <c r="E878" i="1"/>
  <c r="S878" i="1"/>
  <c r="C877" i="1"/>
  <c r="B877" i="1" s="1"/>
  <c r="D877" i="1"/>
  <c r="E877" i="1"/>
  <c r="S877" i="1"/>
  <c r="C876" i="1"/>
  <c r="B876" i="1" s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C872" i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75" i="1" l="1"/>
  <c r="B872" i="1"/>
  <c r="B873" i="1"/>
  <c r="B874" i="1"/>
  <c r="B865" i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<sst xmlns="http://schemas.openxmlformats.org/spreadsheetml/2006/main" count="7904" uniqueCount="3640">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</sst>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8" totalsRowShown="0" headerRowDxfId="13">
  <autoFilter ref="A1:AA878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8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AA878" sqref="AA878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5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  <row r="873" spans="1:27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10"/>
      <c r="G873" s="7"/>
      <c r="H873" s="7"/>
      <c r="I873" s="7"/>
      <c r="S873" s="5">
        <f>SUM(bron[[#This Row],[Januari]:[December]])</f>
        <v>0</v>
      </c>
      <c r="T873" s="9">
        <v>45919</v>
      </c>
      <c r="U873" s="5" t="s">
        <v>3631</v>
      </c>
      <c r="V873" s="24"/>
      <c r="W873" s="24"/>
      <c r="X873" t="s">
        <v>3514</v>
      </c>
      <c r="Y873" t="s">
        <v>84</v>
      </c>
      <c r="Z873">
        <v>5923</v>
      </c>
      <c r="AA873" s="39" t="s">
        <v>3561</v>
      </c>
    </row>
    <row r="874" spans="1:27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45922</v>
      </c>
      <c r="U874" s="5" t="s">
        <v>3632</v>
      </c>
      <c r="V874" s="24"/>
      <c r="W874" s="24"/>
      <c r="X874" t="s">
        <v>3515</v>
      </c>
      <c r="Y874" t="s">
        <v>3633</v>
      </c>
      <c r="Z874">
        <v>5225</v>
      </c>
      <c r="AA874" s="39" t="s">
        <v>3634</v>
      </c>
    </row>
    <row r="875" spans="1:27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10"/>
      <c r="G875" s="7"/>
      <c r="H875" s="7"/>
      <c r="I875" s="7"/>
      <c r="S875" s="40">
        <f>SUM(bron[[#This Row],[Januari]:[December]])</f>
        <v>0</v>
      </c>
      <c r="T875" s="9">
        <v>45923</v>
      </c>
      <c r="U875" s="5" t="s">
        <v>3635</v>
      </c>
      <c r="V875" s="24"/>
      <c r="W875" s="24"/>
      <c r="X875" t="s">
        <v>3514</v>
      </c>
      <c r="Y875" t="s">
        <v>40</v>
      </c>
      <c r="Z875">
        <v>2047</v>
      </c>
      <c r="AA875" s="39" t="s">
        <v>3561</v>
      </c>
    </row>
    <row r="876" spans="1:27" x14ac:dyDescent="0.25">
      <c r="A876">
        <v>42307</v>
      </c>
      <c r="B876" t="str">
        <f>_xlfn.CONCAT(bron[[#This Row],[personeelsnr]]," ",bron[[#This Row],[achternaam]]," ",bron[[#This Row],[voornaam]])</f>
        <v>42307 Helleputte Jens</v>
      </c>
      <c r="C876" t="str">
        <f>VLOOKUP(bron[[#This Row],[personeelsnr]],'data hastus'!$A:$C,2,0)</f>
        <v>Helleputte</v>
      </c>
      <c r="D876" t="str">
        <f>VLOOKUP(bron[[#This Row],[personeelsnr]],'data hastus'!$A:$C,3,0)</f>
        <v>Jens</v>
      </c>
      <c r="E876" t="str">
        <f>VLOOKUP(bron[[#This Row],[personeelsnr]],'data hastus'!A:K,11,FALSE)</f>
        <v>Christoff Rotty</v>
      </c>
      <c r="F876" s="10"/>
      <c r="G876" s="7"/>
      <c r="H876" s="7"/>
      <c r="I876" s="7"/>
      <c r="S876" s="40">
        <f>SUM(bron[[#This Row],[Januari]:[December]])</f>
        <v>0</v>
      </c>
      <c r="T876" s="9">
        <v>45924</v>
      </c>
      <c r="U876" s="5" t="s">
        <v>3636</v>
      </c>
      <c r="V876" s="24"/>
      <c r="W876" s="24"/>
      <c r="X876" t="s">
        <v>3514</v>
      </c>
      <c r="Y876" t="s">
        <v>3629</v>
      </c>
      <c r="Z876">
        <v>2085</v>
      </c>
      <c r="AA876" s="39" t="s">
        <v>3561</v>
      </c>
    </row>
    <row r="877" spans="1:27" x14ac:dyDescent="0.25">
      <c r="A877">
        <v>21509</v>
      </c>
      <c r="B877" t="str">
        <f>_xlfn.CONCAT(bron[[#This Row],[personeelsnr]]," ",bron[[#This Row],[achternaam]]," ",bron[[#This Row],[voornaam]])</f>
        <v>21509 De Craemer Kris</v>
      </c>
      <c r="C877" t="str">
        <f>VLOOKUP(bron[[#This Row],[personeelsnr]],'data hastus'!$A:$C,2,0)</f>
        <v>De Craemer</v>
      </c>
      <c r="D877" t="str">
        <f>VLOOKUP(bron[[#This Row],[personeelsnr]],'data hastus'!$A:$C,3,0)</f>
        <v>Kris</v>
      </c>
      <c r="E877" t="str">
        <f>VLOOKUP(bron[[#This Row],[personeelsnr]],'data hastus'!A:K,11,FALSE)</f>
        <v>Dominique De Clercq</v>
      </c>
      <c r="F877" s="10"/>
      <c r="G877" s="7"/>
      <c r="H877" s="7"/>
      <c r="I877" s="7"/>
      <c r="S877" s="40">
        <f>SUM(bron[[#This Row],[Januari]:[December]])</f>
        <v>0</v>
      </c>
      <c r="T877" s="9">
        <v>45923</v>
      </c>
      <c r="U877" s="5" t="s">
        <v>3637</v>
      </c>
      <c r="V877" s="24"/>
      <c r="W877" s="24"/>
      <c r="X877" t="s">
        <v>3549</v>
      </c>
      <c r="Y877" t="s">
        <v>75</v>
      </c>
      <c r="Z877">
        <v>6328</v>
      </c>
      <c r="AA877" s="39" t="s">
        <v>3562</v>
      </c>
    </row>
    <row r="878" spans="1:27" x14ac:dyDescent="0.25">
      <c r="A878">
        <v>41888</v>
      </c>
      <c r="B878" s="42"/>
      <c r="C878" t="str">
        <f>VLOOKUP(bron[[#This Row],[personeelsnr]],'data hastus'!$A:$C,2,0)</f>
        <v>De Rammelaere</v>
      </c>
      <c r="D878" t="str">
        <f>VLOOKUP(bron[[#This Row],[personeelsnr]],'data hastus'!$A:$C,3,0)</f>
        <v>Bjorn</v>
      </c>
      <c r="E878" t="str">
        <f>VLOOKUP(bron[[#This Row],[personeelsnr]],'data hastus'!A:K,11,FALSE)</f>
        <v>Kenneth De Rick</v>
      </c>
      <c r="F878" s="10"/>
      <c r="G878" s="7"/>
      <c r="H878" s="7"/>
      <c r="I878" s="7"/>
      <c r="S878" s="40">
        <f>SUM(bron[[#This Row],[Januari]:[December]])</f>
        <v>0</v>
      </c>
      <c r="T878" s="9">
        <v>45924</v>
      </c>
      <c r="U878" s="5" t="s">
        <v>3638</v>
      </c>
      <c r="V878" s="24"/>
      <c r="W878" s="24"/>
      <c r="X878" t="s">
        <v>3514</v>
      </c>
      <c r="Y878" t="s">
        <v>3639</v>
      </c>
      <c r="Z878">
        <v>5922</v>
      </c>
    </row>
  </sheetData>
  <sheetProtection sort="0" autoFilter="0"/>
  <phoneticPr fontId="1" type="noConversion"/>
  <conditionalFormatting sqref="F2:F878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2025-09-25T12:11:44Z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