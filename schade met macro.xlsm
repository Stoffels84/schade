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69" documentId="13_ncr:1_{10FCACA5-8197-478D-90D3-5F83063FB753}" xr6:coauthVersionLast="47" xr6:coauthVersionMax="47" xr10:uidLastSave="{EDB00A57-D96C-4144-B20A-1DD39729C3A1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<sst xmlns="http://schemas.openxmlformats.org/spreadsheetml/2006/main" count="8920" uniqueCount="3816">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</sst>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9" sqref="A96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A967">
        <v>36021</v>
      </c>
      <c r="B967" t="str">
        <f>_xlfn.CONCAT(bron[[#This Row],[personeelsnr]]," ",bron[[#This Row],[achternaam]]," ",bron[[#This Row],[voornaam]])</f>
        <v>36021 Boelaert Frederik</v>
      </c>
      <c r="C967" t="str">
        <f>VLOOKUP(bron[[#This Row],[personeelsnr]],'data hastus'!$A:$C,2,0)</f>
        <v>Boelaert</v>
      </c>
      <c r="D967" t="str">
        <f>VLOOKUP(bron[[#This Row],[personeelsnr]],'data hastus'!$A:$C,3,0)</f>
        <v>Frederik</v>
      </c>
      <c r="E967" s="2" t="str">
        <f>VLOOKUP(bron[[#This Row],[personeelsnr]],'data hastus'!A:K,11,FALSE)</f>
        <v>Lucie Vande Velde</v>
      </c>
      <c r="F967" s="10"/>
      <c r="G967" s="39"/>
      <c r="H967" s="39"/>
      <c r="I967" s="39"/>
      <c r="S967" s="44">
        <f>SUM(bron[[#This Row],[Januari]:[December]])</f>
        <v>0</v>
      </c>
      <c r="T967" s="41">
        <v>45968</v>
      </c>
      <c r="U967" s="5" t="s">
        <v>3814</v>
      </c>
      <c r="V967" s="37"/>
      <c r="W967" s="37"/>
      <c r="X967" t="s">
        <v>3513</v>
      </c>
      <c r="Y967" t="s">
        <v>663</v>
      </c>
      <c r="Z967" s="2">
        <v>5042</v>
      </c>
      <c r="AA967" s="43" t="s">
        <v>3558</v>
      </c>
    </row>
    <row r="968" spans="1:27" x14ac:dyDescent="0.25">
      <c r="A968">
        <v>39901</v>
      </c>
      <c r="B968" t="str">
        <f>_xlfn.CONCAT(bron[[#This Row],[personeelsnr]]," ",bron[[#This Row],[achternaam]]," ",bron[[#This Row],[voornaam]])</f>
        <v>39901 Basha Izmir</v>
      </c>
      <c r="C968" t="str">
        <f>VLOOKUP(bron[[#This Row],[personeelsnr]],'data hastus'!$A:$C,2,0)</f>
        <v>Basha</v>
      </c>
      <c r="D968" t="str">
        <f>VLOOKUP(bron[[#This Row],[personeelsnr]],'data hastus'!$A:$C,3,0)</f>
        <v>Izmir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45975</v>
      </c>
      <c r="U968" s="8" t="s">
        <v>3815</v>
      </c>
      <c r="V968" s="37"/>
      <c r="W968" s="37"/>
      <c r="X968" t="s">
        <v>3513</v>
      </c>
      <c r="Y968" t="s">
        <v>669</v>
      </c>
      <c r="Z968" s="2">
        <v>5043</v>
      </c>
      <c r="AA968" s="43" t="s">
        <v>3559</v>
      </c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2025-11-21T13:15:42Z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