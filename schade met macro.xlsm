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98" documentId="13_ncr:1_{BC833B0D-2F54-40DF-A6AF-902741D0EBA0}" xr6:coauthVersionLast="47" xr6:coauthVersionMax="47" xr10:uidLastSave="{06989FF7-7EFF-42A2-9CE7-1E5EA65EF108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9" i="1" l="1"/>
  <c r="C860" i="1"/>
  <c r="B860" i="1" s="1"/>
  <c r="D860" i="1"/>
  <c r="E860" i="1"/>
  <c r="S860" i="1"/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<sst xmlns="http://schemas.openxmlformats.org/spreadsheetml/2006/main" count="7773" uniqueCount="3596">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</sst>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67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 patternType="solid">
          <fgColor rgb="FFFFC000"/>
          <bgColor rgb="FF000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6">
      <pivotArea dataOnly="0" labelOnly="1" fieldPosition="0">
        <references count="1">
          <reference field="1" count="1">
            <x v="511"/>
          </reference>
        </references>
      </pivotArea>
    </format>
    <format dxfId="65">
      <pivotArea dataOnly="0" labelOnly="1" fieldPosition="0">
        <references count="1">
          <reference field="1" count="1">
            <x v="473"/>
          </reference>
        </references>
      </pivotArea>
    </format>
    <format dxfId="64">
      <pivotArea dataOnly="0" labelOnly="1" fieldPosition="0">
        <references count="1">
          <reference field="1" count="1">
            <x v="497"/>
          </reference>
        </references>
      </pivotArea>
    </format>
    <format dxfId="63">
      <pivotArea dataOnly="0" labelOnly="1" fieldPosition="0">
        <references count="1">
          <reference field="1" count="1">
            <x v="512"/>
          </reference>
        </references>
      </pivotArea>
    </format>
    <format dxfId="62">
      <pivotArea dataOnly="0" labelOnly="1" fieldPosition="0">
        <references count="1">
          <reference field="1" count="1">
            <x v="504"/>
          </reference>
        </references>
      </pivotArea>
    </format>
    <format dxfId="61">
      <pivotArea dataOnly="0" labelOnly="1" fieldPosition="0">
        <references count="1">
          <reference field="1" count="1">
            <x v="90"/>
          </reference>
        </references>
      </pivotArea>
    </format>
    <format dxfId="60">
      <pivotArea dataOnly="0" labelOnly="1" fieldPosition="0">
        <references count="1">
          <reference field="1" count="1">
            <x v="280"/>
          </reference>
        </references>
      </pivotArea>
    </format>
    <format dxfId="59">
      <pivotArea dataOnly="0" labelOnly="1" fieldPosition="0">
        <references count="1">
          <reference field="1" count="1">
            <x v="514"/>
          </reference>
        </references>
      </pivotArea>
    </format>
    <format dxfId="58">
      <pivotArea dataOnly="0" labelOnly="1" fieldPosition="0">
        <references count="1">
          <reference field="1" count="1">
            <x v="478"/>
          </reference>
        </references>
      </pivotArea>
    </format>
    <format dxfId="57">
      <pivotArea dataOnly="0" labelOnly="1" fieldPosition="0">
        <references count="1">
          <reference field="1" count="1">
            <x v="510"/>
          </reference>
        </references>
      </pivotArea>
    </format>
    <format dxfId="56">
      <pivotArea dataOnly="0" labelOnly="1" fieldPosition="0">
        <references count="1">
          <reference field="1" count="1">
            <x v="481"/>
          </reference>
        </references>
      </pivotArea>
    </format>
    <format dxfId="55">
      <pivotArea dataOnly="0" labelOnly="1" fieldPosition="0">
        <references count="1">
          <reference field="1" count="1">
            <x v="435"/>
          </reference>
        </references>
      </pivotArea>
    </format>
    <format dxfId="54">
      <pivotArea dataOnly="0" labelOnly="1" fieldPosition="0">
        <references count="1">
          <reference field="1" count="1">
            <x v="112"/>
          </reference>
        </references>
      </pivotArea>
    </format>
    <format dxfId="53">
      <pivotArea dataOnly="0" labelOnly="1" fieldPosition="0">
        <references count="1">
          <reference field="1" count="1">
            <x v="157"/>
          </reference>
        </references>
      </pivotArea>
    </format>
    <format dxfId="52">
      <pivotArea dataOnly="0" labelOnly="1" fieldPosition="0">
        <references count="1">
          <reference field="1" count="1">
            <x v="490"/>
          </reference>
        </references>
      </pivotArea>
    </format>
    <format dxfId="51">
      <pivotArea dataOnly="0" labelOnly="1" fieldPosition="0">
        <references count="1">
          <reference field="1" count="1">
            <x v="506"/>
          </reference>
        </references>
      </pivotArea>
    </format>
    <format dxfId="50">
      <pivotArea dataOnly="0" labelOnly="1" fieldPosition="0">
        <references count="1">
          <reference field="1" count="1">
            <x v="520"/>
          </reference>
        </references>
      </pivotArea>
    </format>
    <format dxfId="49">
      <pivotArea dataOnly="0" labelOnly="1" fieldPosition="0">
        <references count="1">
          <reference field="1" count="1">
            <x v="250"/>
          </reference>
        </references>
      </pivotArea>
    </format>
    <format dxfId="48">
      <pivotArea dataOnly="0" labelOnly="1" fieldPosition="0">
        <references count="1">
          <reference field="1" count="1">
            <x v="432"/>
          </reference>
        </references>
      </pivotArea>
    </format>
    <format dxfId="47">
      <pivotArea dataOnly="0" labelOnly="1" fieldPosition="0">
        <references count="1">
          <reference field="1" count="1">
            <x v="440"/>
          </reference>
        </references>
      </pivotArea>
    </format>
    <format dxfId="46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5">
      <pivotArea dataOnly="0" labelOnly="1" fieldPosition="0">
        <references count="1">
          <reference field="1" count="1">
            <x v="348"/>
          </reference>
        </references>
      </pivotArea>
    </format>
    <format dxfId="44">
      <pivotArea dataOnly="0" labelOnly="1" fieldPosition="0">
        <references count="1">
          <reference field="1" count="1">
            <x v="355"/>
          </reference>
        </references>
      </pivotArea>
    </format>
    <format dxfId="43">
      <pivotArea dataOnly="0" labelOnly="1" fieldPosition="0">
        <references count="1">
          <reference field="1" count="1">
            <x v="498"/>
          </reference>
        </references>
      </pivotArea>
    </format>
    <format dxfId="42">
      <pivotArea dataOnly="0" labelOnly="1" fieldPosition="0">
        <references count="1">
          <reference field="1" count="1">
            <x v="508"/>
          </reference>
        </references>
      </pivotArea>
    </format>
    <format dxfId="41">
      <pivotArea dataOnly="0" labelOnly="1" fieldPosition="0">
        <references count="1">
          <reference field="1" count="1">
            <x v="397"/>
          </reference>
        </references>
      </pivotArea>
    </format>
    <format dxfId="40">
      <pivotArea dataOnly="0" labelOnly="1" fieldPosition="0">
        <references count="1">
          <reference field="1" count="1">
            <x v="513"/>
          </reference>
        </references>
      </pivotArea>
    </format>
    <format dxfId="39">
      <pivotArea dataOnly="0" labelOnly="1" fieldPosition="0">
        <references count="1">
          <reference field="1" count="1">
            <x v="412"/>
          </reference>
        </references>
      </pivotArea>
    </format>
    <format dxfId="38">
      <pivotArea dataOnly="0" labelOnly="1" fieldPosition="0">
        <references count="1">
          <reference field="1" count="1">
            <x v="507"/>
          </reference>
        </references>
      </pivotArea>
    </format>
    <format dxfId="37">
      <pivotArea dataOnly="0" labelOnly="1" fieldPosition="0">
        <references count="1">
          <reference field="1" count="1">
            <x v="507"/>
          </reference>
        </references>
      </pivotArea>
    </format>
    <format dxfId="36">
      <pivotArea dataOnly="0" labelOnly="1" fieldPosition="0">
        <references count="1">
          <reference field="1" count="1">
            <x v="342"/>
          </reference>
        </references>
      </pivotArea>
    </format>
    <format dxfId="35">
      <pivotArea dataOnly="0" labelOnly="1" fieldPosition="0">
        <references count="1">
          <reference field="1" count="1">
            <x v="501"/>
          </reference>
        </references>
      </pivotArea>
    </format>
    <format dxfId="34">
      <pivotArea dataOnly="0" labelOnly="1" fieldPosition="0">
        <references count="1">
          <reference field="1" count="1">
            <x v="351"/>
          </reference>
        </references>
      </pivotArea>
    </format>
    <format dxfId="33">
      <pivotArea dataOnly="0" labelOnly="1" fieldPosition="0">
        <references count="1">
          <reference field="1" count="1">
            <x v="156"/>
          </reference>
        </references>
      </pivotArea>
    </format>
    <format dxfId="32">
      <pivotArea dataOnly="0" labelOnly="1" fieldPosition="0">
        <references count="1">
          <reference field="1" count="1">
            <x v="358"/>
          </reference>
        </references>
      </pivotArea>
    </format>
    <format dxfId="31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30">
      <pivotArea dataOnly="0" labelOnly="1" fieldPosition="0">
        <references count="1">
          <reference field="1" count="1">
            <x v="438"/>
          </reference>
        </references>
      </pivotArea>
    </format>
    <format dxfId="29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8">
      <pivotArea dataOnly="0" labelOnly="1" fieldPosition="0">
        <references count="1">
          <reference field="1" count="1">
            <x v="309"/>
          </reference>
        </references>
      </pivotArea>
    </format>
    <format dxfId="27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6">
      <pivotArea dataOnly="0" labelOnly="1" fieldPosition="0">
        <references count="1">
          <reference field="1" count="1">
            <x v="374"/>
          </reference>
        </references>
      </pivotArea>
    </format>
    <format dxfId="25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4">
      <pivotArea dataOnly="0" labelOnly="1" fieldPosition="0">
        <references count="1">
          <reference field="1" count="1">
            <x v="407"/>
          </reference>
        </references>
      </pivotArea>
    </format>
    <format dxfId="23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1"/>
    <tableColumn id="5" xr3:uid="{DF37AD45-FC5C-478A-989D-9143E744CEEA}" name="voornaam" dataDxfId="20">
      <calculatedColumnFormula>VLOOKUP(Tabel2[[#This Row],[nr]],'data hastus'!A:C,3,FALSE)</calculatedColumnFormula>
    </tableColumn>
    <tableColumn id="6" xr3:uid="{4098FAFB-9B09-4A81-8B22-18CC90B5F979}" name="achternaam" dataDxfId="1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0" totalsRowShown="0" headerRowDxfId="15">
  <autoFilter ref="A1:AA860" xr:uid="{2FDE3AF6-1CE1-4F38-BD72-1F03CD30F4FC}"/>
  <tableColumns count="27">
    <tableColumn id="1" xr3:uid="{A89FCEBD-EFF0-43A5-BEAC-9201FF09453E}" name="personeelsnr"/>
    <tableColumn id="23" xr3:uid="{3989647C-F1EB-4322-A586-1EC53B4E823E}" name="volledige naam" dataDxfId="1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3"/>
    <tableColumn id="11" xr3:uid="{97ECF1D5-48DC-4487-B3C2-17232CC8E19E}" name="Januari" dataDxfId="12"/>
    <tableColumn id="12" xr3:uid="{7B2FF520-A575-45C0-BB5A-19B87DDB4EA0}" name="Februari" dataDxfId="11"/>
    <tableColumn id="13" xr3:uid="{4E6C30D1-FB72-4AB2-900F-14A3D53F34DE}" name="Maart" dataDxfId="1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">
      <calculatedColumnFormula>SUM(bron[[#This Row],[Januari]:[December]])</calculatedColumnFormula>
    </tableColumn>
    <tableColumn id="10" xr3:uid="{8D9646BD-38B6-4F4D-9859-B3933369346B}" name="Datum" dataDxfId="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2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0"/>
  <sheetViews>
    <sheetView tabSelected="1" zoomScale="85" zoomScaleNormal="85" workbookViewId="0">
      <pane ySplit="1" topLeftCell="A819" activePane="bottomLeft" state="frozen"/>
      <selection activeCell="F1" sqref="F1"/>
      <selection pane="bottomLeft" activeCell="B858" sqref="B858:B859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3593</v>
      </c>
    </row>
    <row r="710" spans="1:27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3593</v>
      </c>
    </row>
    <row r="720" spans="1:27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3593</v>
      </c>
    </row>
    <row r="725" spans="1:27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3593</v>
      </c>
    </row>
    <row r="726" spans="1:27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3593</v>
      </c>
    </row>
    <row r="729" spans="1:27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3593</v>
      </c>
    </row>
    <row r="732" spans="1:27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3593</v>
      </c>
    </row>
    <row r="735" spans="1:27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3593</v>
      </c>
    </row>
    <row r="738" spans="1:27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3593</v>
      </c>
    </row>
    <row r="747" spans="1:27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3593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3593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3593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Z814">
        <v>5927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Z815">
        <v>5769</v>
      </c>
      <c r="AA815" s="39" t="s">
        <v>3592</v>
      </c>
    </row>
    <row r="816" spans="1:27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Z817">
        <v>5929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Z818">
        <v>5924</v>
      </c>
      <c r="AA818" s="39" t="s">
        <v>3592</v>
      </c>
    </row>
    <row r="819" spans="1:27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Z820">
        <v>5910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Z821">
        <v>5920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Z822">
        <v>5928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Z823">
        <v>5916</v>
      </c>
      <c r="AA823" s="39" t="s">
        <v>3592</v>
      </c>
    </row>
    <row r="824" spans="1:27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Z826">
        <v>5271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3593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Z828">
        <v>5909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Z829">
        <v>5489</v>
      </c>
      <c r="AA829" s="39" t="s">
        <v>3592</v>
      </c>
    </row>
    <row r="830" spans="1:27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3593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Z832">
        <v>5928</v>
      </c>
      <c r="AA832" s="39" t="s">
        <v>3592</v>
      </c>
    </row>
    <row r="833" spans="1:27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Z835">
        <v>5919</v>
      </c>
      <c r="AA835" s="39" t="s">
        <v>3592</v>
      </c>
    </row>
    <row r="836" spans="1:27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Z837">
        <v>8138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Z838">
        <v>7897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Z839">
        <v>5927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Z840">
        <v>8232</v>
      </c>
      <c r="AA840" s="39" t="s">
        <v>3592</v>
      </c>
    </row>
    <row r="841" spans="1:27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Z842">
        <v>5771</v>
      </c>
      <c r="AA842" s="39" t="s">
        <v>3592</v>
      </c>
    </row>
    <row r="843" spans="1:27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Z844">
        <v>2546</v>
      </c>
      <c r="AA844" s="39" t="s">
        <v>3592</v>
      </c>
    </row>
    <row r="845" spans="1:27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Z846">
        <v>5938</v>
      </c>
      <c r="AA846" s="39" t="s">
        <v>3592</v>
      </c>
    </row>
    <row r="847" spans="1:27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Z848">
        <v>5921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Z849">
        <v>5923</v>
      </c>
      <c r="AA849" s="39" t="s">
        <v>3592</v>
      </c>
    </row>
    <row r="850" spans="1:27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3545</v>
      </c>
      <c r="Y853" t="s">
        <v>16</v>
      </c>
      <c r="Z853">
        <v>5924</v>
      </c>
      <c r="AA853" s="39" t="s">
        <v>3593</v>
      </c>
    </row>
    <row r="854" spans="1:27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 t="s">
        <v>3593</v>
      </c>
    </row>
    <row r="858" spans="1:27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t="e">
        <f>_xlfn.CONCAT(bron[[#This Row],[personeelsnr]]," ",bron[[#This Row],[achternaam]]," ",bron[[#This Row],[voornaam]])</f>
        <v>#N/A</v>
      </c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  <row r="860" spans="1:27" x14ac:dyDescent="0.25">
      <c r="B860" t="e">
        <f>_xlfn.CONCAT(bron[[#This Row],[personeelsnr]]," ",bron[[#This Row],[achternaam]]," ",bron[[#This Row],[voornaam]])</f>
        <v>#N/A</v>
      </c>
      <c r="C860" t="e">
        <f>VLOOKUP(bron[[#This Row],[personeelsnr]],'data hastus'!$A:$C,2,0)</f>
        <v>#N/A</v>
      </c>
      <c r="D860" t="e">
        <f>VLOOKUP(bron[[#This Row],[personeelsnr]],'data hastus'!$A:$C,3,0)</f>
        <v>#N/A</v>
      </c>
      <c r="E860" t="e">
        <f>VLOOKUP(bron[[#This Row],[personeelsnr]],'data hastus'!A:K,11,FALSE)</f>
        <v>#N/A</v>
      </c>
      <c r="F860" s="10"/>
      <c r="G860" s="7"/>
      <c r="H860" s="7"/>
      <c r="I860" s="7"/>
      <c r="S860" s="41">
        <f>SUM(bron[[#This Row],[Januari]:[December]])</f>
        <v>0</v>
      </c>
      <c r="V860" s="24"/>
      <c r="W860" s="24"/>
    </row>
  </sheetData>
  <sheetProtection sort="0" autoFilter="0"/>
  <phoneticPr fontId="1" type="noConversion"/>
  <conditionalFormatting sqref="F2:F860">
    <cfRule type="cellIs" dxfId="18" priority="5" operator="equal">
      <formula>0</formula>
    </cfRule>
    <cfRule type="cellIs" dxfId="17" priority="7" operator="between">
      <formula>1</formula>
      <formula>4</formula>
    </cfRule>
    <cfRule type="cellIs" dxfId="16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7" priority="1" operator="equal">
      <formula>0</formula>
    </cfRule>
    <cfRule type="cellIs" dxfId="6" priority="2" operator="between">
      <formula>1</formula>
      <formula>4</formula>
    </cfRule>
    <cfRule type="cellIs" dxfId="5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2025-09-17T09:00:35Z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