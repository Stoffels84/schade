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12" documentId="8_{E6BCF386-B104-424C-B4A8-F32964540273}" xr6:coauthVersionLast="47" xr6:coauthVersionMax="47" xr10:uidLastSave="{58CBAAE1-2E95-4E06-BE43-6785A2D69A1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  <externalReference r:id="rId7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21" i="1" l="1"/>
  <c r="C821" i="1"/>
  <c r="D821" i="1"/>
  <c r="E821" i="1"/>
  <c r="S82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S820" i="1"/>
  <c r="E820" i="1"/>
  <c r="D820" i="1"/>
  <c r="C820" i="1"/>
  <c r="B820" i="1" s="1"/>
  <c r="B2" i="12" l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E48" i="12" s="1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E72" i="12" s="1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E153" i="12" s="1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E169" i="12" s="1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E184" i="12" s="1"/>
  <c r="B185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20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4" i="12"/>
  <c r="C5" i="12"/>
  <c r="C6" i="12"/>
  <c r="C2" i="1"/>
  <c r="D2" i="1"/>
  <c r="E2" i="1"/>
  <c r="S2" i="1"/>
  <c r="E4" i="12"/>
  <c r="E5" i="12"/>
  <c r="E20" i="12"/>
  <c r="E24" i="12"/>
  <c r="E30" i="12"/>
  <c r="E36" i="12"/>
  <c r="E38" i="12"/>
  <c r="E47" i="12"/>
  <c r="E54" i="12"/>
  <c r="E55" i="12"/>
  <c r="E56" i="12"/>
  <c r="E63" i="12"/>
  <c r="E76" i="12"/>
  <c r="E78" i="12"/>
  <c r="E91" i="12"/>
  <c r="E95" i="12"/>
  <c r="E100" i="12"/>
  <c r="E102" i="12"/>
  <c r="E109" i="12"/>
  <c r="E116" i="12"/>
  <c r="E118" i="12"/>
  <c r="E125" i="12"/>
  <c r="E147" i="12"/>
  <c r="E154" i="12"/>
  <c r="E155" i="12"/>
  <c r="E166" i="12"/>
  <c r="E172" i="12"/>
  <c r="E182" i="12"/>
  <c r="D4" i="12"/>
  <c r="D5" i="12"/>
  <c r="D20" i="12"/>
  <c r="D24" i="12"/>
  <c r="D30" i="12"/>
  <c r="D36" i="12"/>
  <c r="D38" i="12"/>
  <c r="D47" i="12"/>
  <c r="D54" i="12"/>
  <c r="D55" i="12"/>
  <c r="D56" i="12"/>
  <c r="D63" i="12"/>
  <c r="D76" i="12"/>
  <c r="D78" i="12"/>
  <c r="D91" i="12"/>
  <c r="D95" i="12"/>
  <c r="D100" i="12"/>
  <c r="D102" i="12"/>
  <c r="D109" i="12"/>
  <c r="D116" i="12"/>
  <c r="D118" i="12"/>
  <c r="D125" i="12"/>
  <c r="D147" i="12"/>
  <c r="D154" i="12"/>
  <c r="D155" i="12"/>
  <c r="D166" i="12"/>
  <c r="D172" i="12"/>
  <c r="D182" i="12"/>
  <c r="C2" i="12"/>
  <c r="C3" i="12"/>
  <c r="B186" i="12"/>
  <c r="C108" i="1"/>
  <c r="D108" i="1"/>
  <c r="E108" i="1"/>
  <c r="S108" i="1"/>
  <c r="D153" i="12" l="1"/>
  <c r="D184" i="12"/>
  <c r="D48" i="12"/>
  <c r="D169" i="12"/>
  <c r="D72" i="12"/>
  <c r="E150" i="12"/>
  <c r="D150" i="12"/>
  <c r="E64" i="12"/>
  <c r="D64" i="12"/>
  <c r="E149" i="12"/>
  <c r="D149" i="12"/>
  <c r="E148" i="12"/>
  <c r="D148" i="12"/>
  <c r="E157" i="12"/>
  <c r="D157" i="12"/>
  <c r="E156" i="12"/>
  <c r="D156" i="12"/>
  <c r="E152" i="12"/>
  <c r="D152" i="12"/>
  <c r="E151" i="12"/>
  <c r="D151" i="12"/>
  <c r="E146" i="12"/>
  <c r="D146" i="12"/>
  <c r="E165" i="12"/>
  <c r="D165" i="12"/>
  <c r="E164" i="12"/>
  <c r="D164" i="12"/>
  <c r="E75" i="12"/>
  <c r="D75" i="12"/>
  <c r="E163" i="12"/>
  <c r="D163" i="12"/>
  <c r="E162" i="12"/>
  <c r="D162" i="12"/>
  <c r="E73" i="12"/>
  <c r="D73" i="12"/>
  <c r="E161" i="12"/>
  <c r="D161" i="12"/>
  <c r="E160" i="12"/>
  <c r="D160" i="12"/>
  <c r="E92" i="12"/>
  <c r="D92" i="12"/>
  <c r="E107" i="12"/>
  <c r="D107" i="12"/>
  <c r="E159" i="12"/>
  <c r="D159" i="12"/>
  <c r="E106" i="12"/>
  <c r="D106" i="12"/>
  <c r="E158" i="12"/>
  <c r="D158" i="12"/>
  <c r="E90" i="12"/>
  <c r="D90" i="12"/>
  <c r="E82" i="12"/>
  <c r="D82" i="12"/>
  <c r="E77" i="12"/>
  <c r="D77" i="12"/>
  <c r="E89" i="12"/>
  <c r="D89" i="12"/>
  <c r="E104" i="12"/>
  <c r="D104" i="12"/>
  <c r="E101" i="12"/>
  <c r="D101" i="12"/>
  <c r="E68" i="12"/>
  <c r="D68" i="12"/>
  <c r="E88" i="12"/>
  <c r="D88" i="12"/>
  <c r="E79" i="12"/>
  <c r="D79" i="12"/>
  <c r="E145" i="12"/>
  <c r="D145" i="12"/>
  <c r="E185" i="12"/>
  <c r="D185" i="12"/>
  <c r="E65" i="12"/>
  <c r="D65" i="12"/>
  <c r="E99" i="12"/>
  <c r="D99" i="12"/>
  <c r="E144" i="12"/>
  <c r="D144" i="12"/>
  <c r="E181" i="12"/>
  <c r="D181" i="12"/>
  <c r="E143" i="12"/>
  <c r="D143" i="12"/>
  <c r="E97" i="12"/>
  <c r="D97" i="12"/>
  <c r="E67" i="12"/>
  <c r="D67" i="12"/>
  <c r="E180" i="12"/>
  <c r="D180" i="12"/>
  <c r="E142" i="12"/>
  <c r="D142" i="12"/>
  <c r="E178" i="12"/>
  <c r="D178" i="12"/>
  <c r="E87" i="12"/>
  <c r="D87" i="12"/>
  <c r="E176" i="12"/>
  <c r="D176" i="12"/>
  <c r="E141" i="12"/>
  <c r="D141" i="12"/>
  <c r="E174" i="12"/>
  <c r="D174" i="12"/>
  <c r="E80" i="12"/>
  <c r="D80" i="12"/>
  <c r="E94" i="12"/>
  <c r="D94" i="12"/>
  <c r="E86" i="12"/>
  <c r="D86" i="12"/>
  <c r="E170" i="12"/>
  <c r="D170" i="12"/>
  <c r="E140" i="12"/>
  <c r="D140" i="12"/>
  <c r="E167" i="12"/>
  <c r="D167" i="12"/>
  <c r="E139" i="12"/>
  <c r="D139" i="12"/>
  <c r="E83" i="12"/>
  <c r="D83" i="12"/>
  <c r="E138" i="12"/>
  <c r="D138" i="12"/>
  <c r="E111" i="12"/>
  <c r="D111" i="12"/>
  <c r="E85" i="12"/>
  <c r="D85" i="12"/>
  <c r="E71" i="12"/>
  <c r="D71" i="12"/>
  <c r="E137" i="12"/>
  <c r="D137" i="12"/>
  <c r="E136" i="12"/>
  <c r="D136" i="12"/>
  <c r="E105" i="12"/>
  <c r="D105" i="12"/>
  <c r="E135" i="12"/>
  <c r="D135" i="12"/>
  <c r="E84" i="12"/>
  <c r="D84" i="12"/>
  <c r="E69" i="12"/>
  <c r="D69" i="12"/>
  <c r="E134" i="12"/>
  <c r="D134" i="12"/>
  <c r="E133" i="12"/>
  <c r="D133" i="12"/>
  <c r="E132" i="12"/>
  <c r="D132" i="12"/>
  <c r="E186" i="12"/>
  <c r="D186" i="12"/>
  <c r="E131" i="12"/>
  <c r="D131" i="12"/>
  <c r="E98" i="12"/>
  <c r="D98" i="12"/>
  <c r="E130" i="12"/>
  <c r="D130" i="12"/>
  <c r="E96" i="12"/>
  <c r="D96" i="12"/>
  <c r="E129" i="12"/>
  <c r="D129" i="12"/>
  <c r="E177" i="12"/>
  <c r="D177" i="12"/>
  <c r="E128" i="12"/>
  <c r="D128" i="12"/>
  <c r="E173" i="12"/>
  <c r="D173" i="12"/>
  <c r="E127" i="12"/>
  <c r="D127" i="12"/>
  <c r="E168" i="12"/>
  <c r="D168" i="12"/>
  <c r="E126" i="12"/>
  <c r="D126" i="12"/>
  <c r="E74" i="12"/>
  <c r="D74" i="12"/>
  <c r="E66" i="12"/>
  <c r="D66" i="12"/>
  <c r="E108" i="12"/>
  <c r="D108" i="12"/>
  <c r="E124" i="12"/>
  <c r="D124" i="12"/>
  <c r="E123" i="12"/>
  <c r="D123" i="12"/>
  <c r="E122" i="12"/>
  <c r="D122" i="12"/>
  <c r="E121" i="12"/>
  <c r="D121" i="12"/>
  <c r="E81" i="12"/>
  <c r="D81" i="12"/>
  <c r="E120" i="12"/>
  <c r="D120" i="12"/>
  <c r="E175" i="12"/>
  <c r="D175" i="12"/>
  <c r="E119" i="12"/>
  <c r="D119" i="12"/>
  <c r="E93" i="12"/>
  <c r="D93" i="12"/>
  <c r="E117" i="12"/>
  <c r="D117" i="12"/>
  <c r="E70" i="12"/>
  <c r="D70" i="12"/>
  <c r="E115" i="12"/>
  <c r="D115" i="12"/>
  <c r="E114" i="12"/>
  <c r="D114" i="12"/>
  <c r="E179" i="12"/>
  <c r="D179" i="12"/>
  <c r="E113" i="12"/>
  <c r="D113" i="12"/>
  <c r="E110" i="12"/>
  <c r="D110" i="12"/>
  <c r="E112" i="12"/>
  <c r="D112" i="12"/>
  <c r="E183" i="12"/>
  <c r="D183" i="12"/>
  <c r="E103" i="12"/>
  <c r="D103" i="12"/>
  <c r="E171" i="12"/>
  <c r="D171" i="12"/>
  <c r="E60" i="12"/>
  <c r="D60" i="12"/>
  <c r="E34" i="12"/>
  <c r="D34" i="12"/>
  <c r="E62" i="12"/>
  <c r="D62" i="12"/>
  <c r="E57" i="12"/>
  <c r="D57" i="12"/>
  <c r="E61" i="12"/>
  <c r="D61" i="12"/>
  <c r="E18" i="12"/>
  <c r="D18" i="12"/>
  <c r="E59" i="12"/>
  <c r="D59" i="12"/>
  <c r="E51" i="12"/>
  <c r="D51" i="12"/>
  <c r="E33" i="12"/>
  <c r="D33" i="12"/>
  <c r="E49" i="12"/>
  <c r="D49" i="12"/>
  <c r="E32" i="12"/>
  <c r="D32" i="12"/>
  <c r="E45" i="12"/>
  <c r="D45" i="12"/>
  <c r="E17" i="12"/>
  <c r="D17" i="12"/>
  <c r="E43" i="12"/>
  <c r="D43" i="12"/>
  <c r="E31" i="12"/>
  <c r="D31" i="12"/>
  <c r="E41" i="12"/>
  <c r="D41" i="12"/>
  <c r="E29" i="12"/>
  <c r="D29" i="12"/>
  <c r="E39" i="12"/>
  <c r="D39" i="12"/>
  <c r="E28" i="12"/>
  <c r="D28" i="12"/>
  <c r="E35" i="12"/>
  <c r="D35" i="12"/>
  <c r="E27" i="12"/>
  <c r="D27" i="12"/>
  <c r="E53" i="12"/>
  <c r="D53" i="12"/>
  <c r="E26" i="12"/>
  <c r="D26" i="12"/>
  <c r="E50" i="12"/>
  <c r="D50" i="12"/>
  <c r="E25" i="12"/>
  <c r="D25" i="12"/>
  <c r="E44" i="12"/>
  <c r="D44" i="12"/>
  <c r="E23" i="12"/>
  <c r="D23" i="12"/>
  <c r="E40" i="12"/>
  <c r="D40" i="12"/>
  <c r="E22" i="12"/>
  <c r="D22" i="12"/>
  <c r="E58" i="12"/>
  <c r="D58" i="12"/>
  <c r="E21" i="12"/>
  <c r="D21" i="12"/>
  <c r="E46" i="12"/>
  <c r="D46" i="12"/>
  <c r="E19" i="12"/>
  <c r="D19" i="12"/>
  <c r="E37" i="12"/>
  <c r="D37" i="12"/>
  <c r="E42" i="12"/>
  <c r="D42" i="12"/>
  <c r="E52" i="12"/>
  <c r="D52" i="12"/>
  <c r="E12" i="12"/>
  <c r="D12" i="12"/>
  <c r="E13" i="12"/>
  <c r="D13" i="12"/>
  <c r="E9" i="12"/>
  <c r="D9" i="12"/>
  <c r="E8" i="12"/>
  <c r="D8" i="12"/>
  <c r="E10" i="12"/>
  <c r="D10" i="12"/>
  <c r="E16" i="12"/>
  <c r="D16" i="12"/>
  <c r="E15" i="12"/>
  <c r="D15" i="12"/>
  <c r="E11" i="12"/>
  <c r="D11" i="12"/>
  <c r="E14" i="12"/>
  <c r="D14" i="12"/>
  <c r="E7" i="12"/>
  <c r="D7" i="12"/>
  <c r="E6" i="12"/>
  <c r="D6" i="12"/>
  <c r="E3" i="12"/>
  <c r="D3" i="12"/>
  <c r="E2" i="12"/>
  <c r="D2" i="12"/>
  <c r="C20" i="1"/>
  <c r="D20" i="1"/>
  <c r="E20" i="1"/>
  <c r="S20" i="1"/>
  <c r="C3" i="1"/>
  <c r="D3" i="1"/>
  <c r="E3" i="1"/>
  <c r="S3" i="1"/>
  <c r="C11" i="1"/>
  <c r="D11" i="1"/>
  <c r="E11" i="1"/>
  <c r="S11" i="1"/>
  <c r="S12" i="1"/>
  <c r="C5" i="1"/>
  <c r="D5" i="1"/>
  <c r="E5" i="1"/>
  <c r="S5" i="1"/>
  <c r="C6" i="1"/>
  <c r="D6" i="1"/>
  <c r="E6" i="1"/>
  <c r="S6" i="1"/>
  <c r="C4" i="1"/>
  <c r="D4" i="1"/>
  <c r="E4" i="1"/>
  <c r="S4" i="1"/>
  <c r="C819" i="1"/>
  <c r="D819" i="1"/>
  <c r="E819" i="1"/>
  <c r="S819" i="1"/>
  <c r="C8" i="1"/>
  <c r="D8" i="1"/>
  <c r="E8" i="1"/>
  <c r="S8" i="1"/>
  <c r="C7" i="1"/>
  <c r="D7" i="1"/>
  <c r="E7" i="1"/>
  <c r="S7" i="1"/>
  <c r="C805" i="1"/>
  <c r="D805" i="1"/>
  <c r="E805" i="1"/>
  <c r="S805" i="1"/>
  <c r="C19" i="1"/>
  <c r="D19" i="1"/>
  <c r="E19" i="1"/>
  <c r="S19" i="1"/>
  <c r="C10" i="1"/>
  <c r="D10" i="1"/>
  <c r="E10" i="1"/>
  <c r="S10" i="1"/>
  <c r="C9" i="1"/>
  <c r="D9" i="1"/>
  <c r="E9" i="1"/>
  <c r="S9" i="1"/>
  <c r="B31" i="11"/>
  <c r="I42" i="11"/>
  <c r="I48" i="11"/>
  <c r="C17" i="1"/>
  <c r="D17" i="1"/>
  <c r="E17" i="1"/>
  <c r="S17" i="1"/>
  <c r="C817" i="1"/>
  <c r="D817" i="1"/>
  <c r="E817" i="1"/>
  <c r="S817" i="1"/>
  <c r="C280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6" i="1"/>
  <c r="D816" i="1"/>
  <c r="E816" i="1"/>
  <c r="C815" i="1"/>
  <c r="D815" i="1"/>
  <c r="E815" i="1"/>
  <c r="S815" i="1"/>
  <c r="C13" i="1"/>
  <c r="D13" i="1"/>
  <c r="E13" i="1"/>
  <c r="S13" i="1"/>
  <c r="I50" i="11" l="1"/>
  <c r="M50" i="11"/>
  <c r="C21" i="1"/>
  <c r="D21" i="1"/>
  <c r="E21" i="1"/>
  <c r="S21" i="1"/>
  <c r="C814" i="1" l="1"/>
  <c r="D814" i="1"/>
  <c r="E814" i="1"/>
  <c r="S814" i="1"/>
  <c r="C15" i="1"/>
  <c r="D15" i="1"/>
  <c r="E15" i="1"/>
  <c r="S15" i="1"/>
  <c r="C813" i="1" l="1"/>
  <c r="D813" i="1"/>
  <c r="E813" i="1"/>
  <c r="S813" i="1"/>
  <c r="C27" i="1"/>
  <c r="D27" i="1"/>
  <c r="E27" i="1"/>
  <c r="S27" i="1"/>
  <c r="C14" i="1"/>
  <c r="D14" i="1"/>
  <c r="E14" i="1"/>
  <c r="S14" i="1"/>
  <c r="C18" i="1"/>
  <c r="D18" i="1"/>
  <c r="E18" i="1"/>
  <c r="S18" i="1"/>
  <c r="C16" i="1"/>
  <c r="D16" i="1"/>
  <c r="E16" i="1"/>
  <c r="S16" i="1"/>
  <c r="C22" i="1"/>
  <c r="D22" i="1"/>
  <c r="E22" i="1"/>
  <c r="S22" i="1"/>
  <c r="C50" i="1"/>
  <c r="D50" i="1"/>
  <c r="E50" i="1"/>
  <c r="S50" i="1"/>
  <c r="C24" i="1"/>
  <c r="D24" i="1"/>
  <c r="E24" i="1"/>
  <c r="S24" i="1"/>
  <c r="C818" i="1"/>
  <c r="D818" i="1"/>
  <c r="E818" i="1"/>
  <c r="S818" i="1"/>
  <c r="C23" i="1"/>
  <c r="D23" i="1"/>
  <c r="E23" i="1"/>
  <c r="S23" i="1"/>
  <c r="C25" i="1"/>
  <c r="D25" i="1"/>
  <c r="E25" i="1"/>
  <c r="S25" i="1"/>
  <c r="C28" i="1"/>
  <c r="D28" i="1"/>
  <c r="E28" i="1"/>
  <c r="S28" i="1"/>
  <c r="C26" i="1"/>
  <c r="D26" i="1"/>
  <c r="E26" i="1"/>
  <c r="S26" i="1"/>
  <c r="C31" i="1"/>
  <c r="D31" i="1"/>
  <c r="E31" i="1"/>
  <c r="S31" i="1"/>
  <c r="C34" i="1"/>
  <c r="D34" i="1"/>
  <c r="E34" i="1"/>
  <c r="S34" i="1"/>
  <c r="C33" i="1"/>
  <c r="D33" i="1"/>
  <c r="E33" i="1"/>
  <c r="S33" i="1"/>
  <c r="C30" i="1"/>
  <c r="D30" i="1"/>
  <c r="E30" i="1"/>
  <c r="S30" i="1"/>
  <c r="C54" i="1"/>
  <c r="D54" i="1"/>
  <c r="E54" i="1"/>
  <c r="S54" i="1"/>
  <c r="C32" i="1"/>
  <c r="D32" i="1"/>
  <c r="E32" i="1"/>
  <c r="S32" i="1"/>
  <c r="C29" i="1"/>
  <c r="D29" i="1"/>
  <c r="E29" i="1"/>
  <c r="S29" i="1"/>
  <c r="C37" i="1"/>
  <c r="D37" i="1"/>
  <c r="E37" i="1"/>
  <c r="S37" i="1"/>
  <c r="S38" i="1"/>
  <c r="C36" i="1"/>
  <c r="D36" i="1"/>
  <c r="E36" i="1"/>
  <c r="S36" i="1"/>
  <c r="C35" i="1"/>
  <c r="D35" i="1"/>
  <c r="E35" i="1"/>
  <c r="S35" i="1"/>
  <c r="C45" i="1"/>
  <c r="D45" i="1"/>
  <c r="E45" i="1"/>
  <c r="S45" i="1"/>
  <c r="C48" i="1"/>
  <c r="D48" i="1"/>
  <c r="E48" i="1"/>
  <c r="S48" i="1"/>
  <c r="C39" i="1"/>
  <c r="D39" i="1"/>
  <c r="E39" i="1"/>
  <c r="S39" i="1"/>
  <c r="C55" i="1"/>
  <c r="D55" i="1"/>
  <c r="E55" i="1"/>
  <c r="S55" i="1"/>
  <c r="C42" i="1"/>
  <c r="D42" i="1"/>
  <c r="E42" i="1"/>
  <c r="S42" i="1"/>
  <c r="C49" i="1"/>
  <c r="D49" i="1"/>
  <c r="E49" i="1"/>
  <c r="S49" i="1"/>
  <c r="C63" i="1"/>
  <c r="D63" i="1"/>
  <c r="E63" i="1"/>
  <c r="S63" i="1"/>
  <c r="C41" i="1"/>
  <c r="D41" i="1"/>
  <c r="E41" i="1"/>
  <c r="S41" i="1"/>
  <c r="C811" i="1"/>
  <c r="D811" i="1"/>
  <c r="E811" i="1"/>
  <c r="S811" i="1"/>
  <c r="C40" i="1"/>
  <c r="D40" i="1"/>
  <c r="E40" i="1"/>
  <c r="S40" i="1"/>
  <c r="C812" i="1"/>
  <c r="D812" i="1"/>
  <c r="E812" i="1"/>
  <c r="S812" i="1"/>
  <c r="C43" i="1"/>
  <c r="D43" i="1"/>
  <c r="E43" i="1"/>
  <c r="S43" i="1"/>
  <c r="C46" i="1"/>
  <c r="D46" i="1"/>
  <c r="E46" i="1"/>
  <c r="S46" i="1"/>
  <c r="C47" i="1"/>
  <c r="D47" i="1"/>
  <c r="E47" i="1"/>
  <c r="S47" i="1"/>
  <c r="C44" i="1"/>
  <c r="D44" i="1"/>
  <c r="E44" i="1"/>
  <c r="S44" i="1"/>
  <c r="C52" i="1"/>
  <c r="D52" i="1"/>
  <c r="E52" i="1"/>
  <c r="S52" i="1"/>
  <c r="C796" i="1"/>
  <c r="D796" i="1"/>
  <c r="E796" i="1"/>
  <c r="S796" i="1"/>
  <c r="C53" i="1"/>
  <c r="D53" i="1"/>
  <c r="E53" i="1"/>
  <c r="S53" i="1"/>
  <c r="C70" i="1"/>
  <c r="D70" i="1"/>
  <c r="E70" i="1"/>
  <c r="S70" i="1"/>
  <c r="C59" i="1"/>
  <c r="D59" i="1"/>
  <c r="E59" i="1"/>
  <c r="S59" i="1"/>
  <c r="C51" i="1"/>
  <c r="D51" i="1"/>
  <c r="E51" i="1"/>
  <c r="S51" i="1"/>
  <c r="C61" i="1"/>
  <c r="D61" i="1"/>
  <c r="E61" i="1"/>
  <c r="S61" i="1"/>
  <c r="C56" i="1"/>
  <c r="D56" i="1"/>
  <c r="E56" i="1"/>
  <c r="S56" i="1"/>
  <c r="C58" i="1"/>
  <c r="D58" i="1"/>
  <c r="E58" i="1"/>
  <c r="S58" i="1"/>
  <c r="C60" i="1"/>
  <c r="D60" i="1"/>
  <c r="E60" i="1"/>
  <c r="S60" i="1"/>
  <c r="C62" i="1"/>
  <c r="D62" i="1"/>
  <c r="E62" i="1"/>
  <c r="S62" i="1"/>
  <c r="C57" i="1"/>
  <c r="D57" i="1"/>
  <c r="E57" i="1"/>
  <c r="S57" i="1"/>
  <c r="C804" i="1"/>
  <c r="D804" i="1"/>
  <c r="E804" i="1"/>
  <c r="S804" i="1"/>
  <c r="C73" i="1"/>
  <c r="D73" i="1"/>
  <c r="E73" i="1"/>
  <c r="S73" i="1"/>
  <c r="C120" i="1"/>
  <c r="D120" i="1"/>
  <c r="E120" i="1"/>
  <c r="S120" i="1"/>
  <c r="C67" i="1"/>
  <c r="D67" i="1"/>
  <c r="E67" i="1"/>
  <c r="S67" i="1"/>
  <c r="C64" i="1"/>
  <c r="D64" i="1"/>
  <c r="E64" i="1"/>
  <c r="S64" i="1"/>
  <c r="C87" i="1"/>
  <c r="D87" i="1"/>
  <c r="E87" i="1"/>
  <c r="S87" i="1"/>
  <c r="C65" i="1"/>
  <c r="D65" i="1"/>
  <c r="E65" i="1"/>
  <c r="S65" i="1"/>
  <c r="C66" i="1"/>
  <c r="D66" i="1"/>
  <c r="E66" i="1"/>
  <c r="S66" i="1"/>
  <c r="C75" i="1"/>
  <c r="D75" i="1"/>
  <c r="E75" i="1"/>
  <c r="S75" i="1"/>
  <c r="C68" i="1"/>
  <c r="D68" i="1"/>
  <c r="E68" i="1"/>
  <c r="S68" i="1"/>
  <c r="C69" i="1"/>
  <c r="D69" i="1"/>
  <c r="E69" i="1"/>
  <c r="S69" i="1"/>
  <c r="C263" i="1"/>
  <c r="D263" i="1"/>
  <c r="E263" i="1"/>
  <c r="S263" i="1"/>
  <c r="C808" i="1"/>
  <c r="D808" i="1"/>
  <c r="E808" i="1"/>
  <c r="S808" i="1"/>
  <c r="C71" i="1" l="1"/>
  <c r="D71" i="1"/>
  <c r="E71" i="1"/>
  <c r="S71" i="1"/>
  <c r="C72" i="1"/>
  <c r="D72" i="1"/>
  <c r="E72" i="1"/>
  <c r="S72" i="1"/>
  <c r="C85" i="1"/>
  <c r="D85" i="1"/>
  <c r="E85" i="1"/>
  <c r="S85" i="1"/>
  <c r="C728" i="1"/>
  <c r="D728" i="1"/>
  <c r="E728" i="1"/>
  <c r="S728" i="1"/>
  <c r="S612" i="1"/>
  <c r="C539" i="1"/>
  <c r="D539" i="1"/>
  <c r="E539" i="1"/>
  <c r="S539" i="1"/>
  <c r="C535" i="1"/>
  <c r="D535" i="1"/>
  <c r="E535" i="1"/>
  <c r="S535" i="1"/>
  <c r="C574" i="1"/>
  <c r="D574" i="1"/>
  <c r="E574" i="1"/>
  <c r="S574" i="1"/>
  <c r="S550" i="1"/>
  <c r="C504" i="1"/>
  <c r="D504" i="1"/>
  <c r="E504" i="1"/>
  <c r="S504" i="1"/>
  <c r="C582" i="1"/>
  <c r="D582" i="1"/>
  <c r="E582" i="1"/>
  <c r="S582" i="1"/>
  <c r="C710" i="1"/>
  <c r="D710" i="1"/>
  <c r="E710" i="1"/>
  <c r="S710" i="1"/>
  <c r="C671" i="1"/>
  <c r="D671" i="1"/>
  <c r="E671" i="1"/>
  <c r="S671" i="1"/>
  <c r="C666" i="1"/>
  <c r="D666" i="1"/>
  <c r="E666" i="1"/>
  <c r="S666" i="1"/>
  <c r="C603" i="1"/>
  <c r="D603" i="1"/>
  <c r="E603" i="1"/>
  <c r="S603" i="1"/>
  <c r="C631" i="1"/>
  <c r="D631" i="1"/>
  <c r="E631" i="1"/>
  <c r="S631" i="1"/>
  <c r="C618" i="1"/>
  <c r="D618" i="1"/>
  <c r="E618" i="1"/>
  <c r="S618" i="1"/>
  <c r="C703" i="1"/>
  <c r="D703" i="1"/>
  <c r="E703" i="1"/>
  <c r="S703" i="1"/>
  <c r="C769" i="1"/>
  <c r="D769" i="1"/>
  <c r="E769" i="1"/>
  <c r="S769" i="1"/>
  <c r="C513" i="1"/>
  <c r="D513" i="1"/>
  <c r="E513" i="1"/>
  <c r="S513" i="1"/>
  <c r="C773" i="1"/>
  <c r="D773" i="1"/>
  <c r="E773" i="1"/>
  <c r="S773" i="1"/>
  <c r="C351" i="1"/>
  <c r="D351" i="1"/>
  <c r="E351" i="1"/>
  <c r="S351" i="1"/>
  <c r="C675" i="1"/>
  <c r="D675" i="1"/>
  <c r="E675" i="1"/>
  <c r="S675" i="1"/>
  <c r="C776" i="1"/>
  <c r="D776" i="1"/>
  <c r="E776" i="1"/>
  <c r="S776" i="1"/>
  <c r="C606" i="1"/>
  <c r="D606" i="1"/>
  <c r="E606" i="1"/>
  <c r="S606" i="1"/>
  <c r="C658" i="1"/>
  <c r="D658" i="1"/>
  <c r="E658" i="1"/>
  <c r="S658" i="1"/>
  <c r="C498" i="1"/>
  <c r="D498" i="1"/>
  <c r="E498" i="1"/>
  <c r="S498" i="1"/>
  <c r="C435" i="1"/>
  <c r="D435" i="1"/>
  <c r="E435" i="1"/>
  <c r="S435" i="1"/>
  <c r="C784" i="1"/>
  <c r="D784" i="1"/>
  <c r="E784" i="1"/>
  <c r="S784" i="1"/>
  <c r="C781" i="1"/>
  <c r="D781" i="1"/>
  <c r="E781" i="1"/>
  <c r="S781" i="1"/>
  <c r="C731" i="1"/>
  <c r="D731" i="1"/>
  <c r="E731" i="1"/>
  <c r="S731" i="1"/>
  <c r="C718" i="1"/>
  <c r="D718" i="1"/>
  <c r="E718" i="1"/>
  <c r="S718" i="1"/>
  <c r="C768" i="1"/>
  <c r="D768" i="1"/>
  <c r="E768" i="1"/>
  <c r="S768" i="1"/>
  <c r="S690" i="1"/>
  <c r="C696" i="1"/>
  <c r="D696" i="1"/>
  <c r="E696" i="1"/>
  <c r="S696" i="1"/>
  <c r="C651" i="1"/>
  <c r="D651" i="1"/>
  <c r="E651" i="1"/>
  <c r="S651" i="1"/>
  <c r="C655" i="1"/>
  <c r="D655" i="1"/>
  <c r="E655" i="1"/>
  <c r="S655" i="1"/>
  <c r="C365" i="1"/>
  <c r="D365" i="1"/>
  <c r="E365" i="1"/>
  <c r="S365" i="1"/>
  <c r="C524" i="1"/>
  <c r="D524" i="1"/>
  <c r="E524" i="1"/>
  <c r="S524" i="1"/>
  <c r="C369" i="1"/>
  <c r="D369" i="1"/>
  <c r="E369" i="1"/>
  <c r="S369" i="1"/>
  <c r="S572" i="1"/>
  <c r="C617" i="1"/>
  <c r="D617" i="1"/>
  <c r="E617" i="1"/>
  <c r="S617" i="1"/>
  <c r="S665" i="1"/>
  <c r="S527" i="1"/>
  <c r="S619" i="1"/>
  <c r="C720" i="1"/>
  <c r="D720" i="1"/>
  <c r="E720" i="1"/>
  <c r="S720" i="1"/>
  <c r="C630" i="1"/>
  <c r="D630" i="1"/>
  <c r="E630" i="1"/>
  <c r="S630" i="1"/>
  <c r="C294" i="1"/>
  <c r="D294" i="1"/>
  <c r="E294" i="1"/>
  <c r="S294" i="1"/>
  <c r="C682" i="1"/>
  <c r="D682" i="1"/>
  <c r="E682" i="1"/>
  <c r="S682" i="1"/>
  <c r="C542" i="1"/>
  <c r="D542" i="1"/>
  <c r="E542" i="1"/>
  <c r="S542" i="1"/>
  <c r="C589" i="1"/>
  <c r="D589" i="1"/>
  <c r="E589" i="1"/>
  <c r="S589" i="1"/>
  <c r="S637" i="1"/>
  <c r="S505" i="1"/>
  <c r="C349" i="1"/>
  <c r="D349" i="1"/>
  <c r="E349" i="1"/>
  <c r="S349" i="1"/>
  <c r="C395" i="1"/>
  <c r="D395" i="1"/>
  <c r="E395" i="1"/>
  <c r="S395" i="1"/>
  <c r="C306" i="1"/>
  <c r="D306" i="1"/>
  <c r="E306" i="1"/>
  <c r="S306" i="1"/>
  <c r="C734" i="1"/>
  <c r="D734" i="1"/>
  <c r="E734" i="1"/>
  <c r="S734" i="1"/>
  <c r="C396" i="1"/>
  <c r="D396" i="1"/>
  <c r="E396" i="1"/>
  <c r="S396" i="1"/>
  <c r="C468" i="1"/>
  <c r="D468" i="1"/>
  <c r="E468" i="1"/>
  <c r="S468" i="1"/>
  <c r="C646" i="1"/>
  <c r="D646" i="1"/>
  <c r="E646" i="1"/>
  <c r="S646" i="1"/>
  <c r="C308" i="1"/>
  <c r="D308" i="1"/>
  <c r="E308" i="1"/>
  <c r="S308" i="1"/>
  <c r="C397" i="1"/>
  <c r="D397" i="1"/>
  <c r="E397" i="1"/>
  <c r="S397" i="1"/>
  <c r="C559" i="1"/>
  <c r="D559" i="1"/>
  <c r="E559" i="1"/>
  <c r="S559" i="1"/>
  <c r="C310" i="1"/>
  <c r="D310" i="1"/>
  <c r="E310" i="1"/>
  <c r="S310" i="1"/>
  <c r="C398" i="1"/>
  <c r="D398" i="1"/>
  <c r="E398" i="1"/>
  <c r="S398" i="1"/>
  <c r="C276" i="1"/>
  <c r="D276" i="1"/>
  <c r="E276" i="1"/>
  <c r="S276" i="1"/>
  <c r="C392" i="1"/>
  <c r="D392" i="1"/>
  <c r="E392" i="1"/>
  <c r="S392" i="1"/>
  <c r="C576" i="1"/>
  <c r="D576" i="1"/>
  <c r="E576" i="1"/>
  <c r="S576" i="1"/>
  <c r="C538" i="1"/>
  <c r="D538" i="1"/>
  <c r="E538" i="1"/>
  <c r="S538" i="1"/>
  <c r="C385" i="1"/>
  <c r="D385" i="1"/>
  <c r="E385" i="1"/>
  <c r="S385" i="1"/>
  <c r="S610" i="1"/>
  <c r="C549" i="1"/>
  <c r="D549" i="1"/>
  <c r="E549" i="1"/>
  <c r="S549" i="1"/>
  <c r="C702" i="1"/>
  <c r="D702" i="1"/>
  <c r="E702" i="1"/>
  <c r="S702" i="1"/>
  <c r="C701" i="1"/>
  <c r="D701" i="1"/>
  <c r="E701" i="1"/>
  <c r="S701" i="1"/>
  <c r="C332" i="1"/>
  <c r="D332" i="1"/>
  <c r="E332" i="1"/>
  <c r="S332" i="1"/>
  <c r="C763" i="1"/>
  <c r="D763" i="1"/>
  <c r="E763" i="1"/>
  <c r="S763" i="1"/>
  <c r="S508" i="1"/>
  <c r="C293" i="1"/>
  <c r="D293" i="1"/>
  <c r="E293" i="1"/>
  <c r="S293" i="1"/>
  <c r="C664" i="1"/>
  <c r="D664" i="1"/>
  <c r="E664" i="1"/>
  <c r="S664" i="1"/>
  <c r="S544" i="1"/>
  <c r="C94" i="1"/>
  <c r="D94" i="1"/>
  <c r="E94" i="1"/>
  <c r="S94" i="1"/>
  <c r="C654" i="1"/>
  <c r="D654" i="1"/>
  <c r="E654" i="1"/>
  <c r="S654" i="1"/>
  <c r="C556" i="1"/>
  <c r="D556" i="1"/>
  <c r="E556" i="1"/>
  <c r="S556" i="1"/>
  <c r="C663" i="1"/>
  <c r="D663" i="1"/>
  <c r="E663" i="1"/>
  <c r="S663" i="1"/>
  <c r="C662" i="1"/>
  <c r="D662" i="1"/>
  <c r="E662" i="1"/>
  <c r="S662" i="1"/>
  <c r="C620" i="1"/>
  <c r="D620" i="1"/>
  <c r="E620" i="1"/>
  <c r="S620" i="1"/>
  <c r="C673" i="1"/>
  <c r="D673" i="1"/>
  <c r="E673" i="1"/>
  <c r="S673" i="1"/>
  <c r="C599" i="1"/>
  <c r="D599" i="1"/>
  <c r="E599" i="1"/>
  <c r="S599" i="1"/>
  <c r="C575" i="1"/>
  <c r="D575" i="1"/>
  <c r="E575" i="1"/>
  <c r="S575" i="1"/>
  <c r="C476" i="1"/>
  <c r="D476" i="1"/>
  <c r="E476" i="1"/>
  <c r="S476" i="1"/>
  <c r="C624" i="1"/>
  <c r="D624" i="1"/>
  <c r="E624" i="1"/>
  <c r="S624" i="1"/>
  <c r="C391" i="1"/>
  <c r="D391" i="1"/>
  <c r="E391" i="1"/>
  <c r="S391" i="1"/>
  <c r="C605" i="1"/>
  <c r="D605" i="1"/>
  <c r="E605" i="1"/>
  <c r="S605" i="1"/>
  <c r="C313" i="1"/>
  <c r="D313" i="1"/>
  <c r="E313" i="1"/>
  <c r="S313" i="1"/>
  <c r="C596" i="1"/>
  <c r="D596" i="1"/>
  <c r="E596" i="1"/>
  <c r="S596" i="1"/>
  <c r="S277" i="1"/>
  <c r="C657" i="1"/>
  <c r="D657" i="1"/>
  <c r="E657" i="1"/>
  <c r="S657" i="1"/>
  <c r="C418" i="1"/>
  <c r="D418" i="1"/>
  <c r="E418" i="1"/>
  <c r="S418" i="1"/>
  <c r="C707" i="1"/>
  <c r="D707" i="1"/>
  <c r="E707" i="1"/>
  <c r="S707" i="1"/>
  <c r="C480" i="1"/>
  <c r="D480" i="1"/>
  <c r="E480" i="1"/>
  <c r="S480" i="1"/>
  <c r="C681" i="1"/>
  <c r="D681" i="1"/>
  <c r="E681" i="1"/>
  <c r="S681" i="1"/>
  <c r="C411" i="1"/>
  <c r="D411" i="1"/>
  <c r="E411" i="1"/>
  <c r="S411" i="1"/>
  <c r="C503" i="1"/>
  <c r="D503" i="1"/>
  <c r="E503" i="1"/>
  <c r="S503" i="1"/>
  <c r="C459" i="1"/>
  <c r="D459" i="1"/>
  <c r="E459" i="1"/>
  <c r="S459" i="1"/>
  <c r="C775" i="1"/>
  <c r="D775" i="1"/>
  <c r="E775" i="1"/>
  <c r="S775" i="1"/>
  <c r="C670" i="1"/>
  <c r="D670" i="1"/>
  <c r="E670" i="1"/>
  <c r="S670" i="1"/>
  <c r="C531" i="1"/>
  <c r="D531" i="1"/>
  <c r="E531" i="1"/>
  <c r="S531" i="1"/>
  <c r="C479" i="1"/>
  <c r="D479" i="1"/>
  <c r="E479" i="1"/>
  <c r="S479" i="1"/>
  <c r="C669" i="1"/>
  <c r="D669" i="1"/>
  <c r="E669" i="1"/>
  <c r="S669" i="1"/>
  <c r="S611" i="1"/>
  <c r="C82" i="1"/>
  <c r="D82" i="1"/>
  <c r="E82" i="1"/>
  <c r="S82" i="1"/>
  <c r="C76" i="1"/>
  <c r="D76" i="1"/>
  <c r="E76" i="1"/>
  <c r="S76" i="1"/>
  <c r="C77" i="1"/>
  <c r="D77" i="1"/>
  <c r="E77" i="1"/>
  <c r="S77" i="1"/>
  <c r="C287" i="1"/>
  <c r="D287" i="1"/>
  <c r="E287" i="1"/>
  <c r="S287" i="1"/>
  <c r="C558" i="1"/>
  <c r="D558" i="1"/>
  <c r="E558" i="1"/>
  <c r="S558" i="1"/>
  <c r="C373" i="1"/>
  <c r="D373" i="1"/>
  <c r="E373" i="1"/>
  <c r="S373" i="1"/>
  <c r="C448" i="1"/>
  <c r="D448" i="1"/>
  <c r="E448" i="1"/>
  <c r="S448" i="1"/>
  <c r="C286" i="1"/>
  <c r="D286" i="1"/>
  <c r="E286" i="1"/>
  <c r="S286" i="1"/>
  <c r="C284" i="1"/>
  <c r="D284" i="1"/>
  <c r="E284" i="1"/>
  <c r="S284" i="1"/>
  <c r="C303" i="1"/>
  <c r="D303" i="1"/>
  <c r="E303" i="1"/>
  <c r="S303" i="1"/>
  <c r="C371" i="1"/>
  <c r="D371" i="1"/>
  <c r="E371" i="1"/>
  <c r="S371" i="1"/>
  <c r="C604" i="1"/>
  <c r="D604" i="1"/>
  <c r="E604" i="1"/>
  <c r="S604" i="1"/>
  <c r="C478" i="1"/>
  <c r="D478" i="1"/>
  <c r="E478" i="1"/>
  <c r="S478" i="1"/>
  <c r="C408" i="1"/>
  <c r="D408" i="1"/>
  <c r="E408" i="1"/>
  <c r="S408" i="1"/>
  <c r="C317" i="1"/>
  <c r="D317" i="1"/>
  <c r="E317" i="1"/>
  <c r="S317" i="1"/>
  <c r="C739" i="1"/>
  <c r="D739" i="1"/>
  <c r="E739" i="1"/>
  <c r="S739" i="1"/>
  <c r="C715" i="1"/>
  <c r="D715" i="1"/>
  <c r="E715" i="1"/>
  <c r="S715" i="1"/>
  <c r="C299" i="1"/>
  <c r="D299" i="1"/>
  <c r="E299" i="1"/>
  <c r="S299" i="1"/>
  <c r="C347" i="1"/>
  <c r="D347" i="1"/>
  <c r="E347" i="1"/>
  <c r="S347" i="1"/>
  <c r="C327" i="1"/>
  <c r="D327" i="1"/>
  <c r="E327" i="1"/>
  <c r="S327" i="1"/>
  <c r="C363" i="1"/>
  <c r="D363" i="1"/>
  <c r="E363" i="1"/>
  <c r="S363" i="1"/>
  <c r="C689" i="1"/>
  <c r="D689" i="1"/>
  <c r="E689" i="1"/>
  <c r="S689" i="1"/>
  <c r="C569" i="1"/>
  <c r="D569" i="1"/>
  <c r="E569" i="1"/>
  <c r="S569" i="1"/>
  <c r="C532" i="1"/>
  <c r="D532" i="1"/>
  <c r="E532" i="1"/>
  <c r="S532" i="1"/>
  <c r="C568" i="1"/>
  <c r="D568" i="1"/>
  <c r="E568" i="1"/>
  <c r="S568" i="1"/>
  <c r="C343" i="1"/>
  <c r="D343" i="1"/>
  <c r="E343" i="1"/>
  <c r="S343" i="1"/>
  <c r="C490" i="1"/>
  <c r="D490" i="1"/>
  <c r="E490" i="1"/>
  <c r="S490" i="1"/>
  <c r="C623" i="1"/>
  <c r="D623" i="1"/>
  <c r="E623" i="1"/>
  <c r="S623" i="1"/>
  <c r="C511" i="1"/>
  <c r="D511" i="1"/>
  <c r="E511" i="1"/>
  <c r="S511" i="1"/>
  <c r="C305" i="1"/>
  <c r="D305" i="1"/>
  <c r="E305" i="1"/>
  <c r="S305" i="1"/>
  <c r="C493" i="1"/>
  <c r="D493" i="1"/>
  <c r="E493" i="1"/>
  <c r="S493" i="1"/>
  <c r="C530" i="1"/>
  <c r="D530" i="1"/>
  <c r="E530" i="1"/>
  <c r="S530" i="1"/>
  <c r="C759" i="1"/>
  <c r="D759" i="1"/>
  <c r="E759" i="1"/>
  <c r="S759" i="1"/>
  <c r="C609" i="1"/>
  <c r="D609" i="1"/>
  <c r="E609" i="1"/>
  <c r="S609" i="1"/>
  <c r="C403" i="1"/>
  <c r="D403" i="1"/>
  <c r="E403" i="1"/>
  <c r="S403" i="1"/>
  <c r="C389" i="1"/>
  <c r="D389" i="1"/>
  <c r="E389" i="1"/>
  <c r="S389" i="1"/>
  <c r="C312" i="1"/>
  <c r="D312" i="1"/>
  <c r="E312" i="1"/>
  <c r="S312" i="1"/>
  <c r="C316" i="1"/>
  <c r="D316" i="1"/>
  <c r="E316" i="1"/>
  <c r="S316" i="1"/>
  <c r="C456" i="1"/>
  <c r="D456" i="1"/>
  <c r="E456" i="1"/>
  <c r="S456" i="1"/>
  <c r="C375" i="1"/>
  <c r="D375" i="1"/>
  <c r="E375" i="1"/>
  <c r="S375" i="1"/>
  <c r="S565" i="1"/>
  <c r="C427" i="1"/>
  <c r="D427" i="1"/>
  <c r="E427" i="1"/>
  <c r="S427" i="1"/>
  <c r="C464" i="1"/>
  <c r="D464" i="1"/>
  <c r="E464" i="1"/>
  <c r="S464" i="1"/>
  <c r="C348" i="1"/>
  <c r="D348" i="1"/>
  <c r="E348" i="1"/>
  <c r="S348" i="1"/>
  <c r="S653" i="1"/>
  <c r="C484" i="1"/>
  <c r="D484" i="1"/>
  <c r="E484" i="1"/>
  <c r="S484" i="1"/>
  <c r="C587" i="1"/>
  <c r="D587" i="1"/>
  <c r="E587" i="1"/>
  <c r="S587" i="1"/>
  <c r="C502" i="1"/>
  <c r="D502" i="1"/>
  <c r="E502" i="1"/>
  <c r="S502" i="1"/>
  <c r="C492" i="1"/>
  <c r="D492" i="1"/>
  <c r="E492" i="1"/>
  <c r="S492" i="1"/>
  <c r="C557" i="1"/>
  <c r="D557" i="1"/>
  <c r="E557" i="1"/>
  <c r="S557" i="1"/>
  <c r="C434" i="1"/>
  <c r="D434" i="1"/>
  <c r="E434" i="1"/>
  <c r="S434" i="1"/>
  <c r="C500" i="1"/>
  <c r="D500" i="1"/>
  <c r="E500" i="1"/>
  <c r="S500" i="1"/>
  <c r="C719" i="1"/>
  <c r="D719" i="1"/>
  <c r="E719" i="1"/>
  <c r="S719" i="1"/>
  <c r="S638" i="1"/>
  <c r="S772" i="1"/>
  <c r="C273" i="1"/>
  <c r="D273" i="1"/>
  <c r="E273" i="1"/>
  <c r="S273" i="1"/>
  <c r="C361" i="1"/>
  <c r="D361" i="1"/>
  <c r="E361" i="1"/>
  <c r="S361" i="1"/>
  <c r="C338" i="1"/>
  <c r="D338" i="1"/>
  <c r="E338" i="1"/>
  <c r="S338" i="1"/>
  <c r="C733" i="1"/>
  <c r="D733" i="1"/>
  <c r="E733" i="1"/>
  <c r="S733" i="1"/>
  <c r="C466" i="1"/>
  <c r="D466" i="1"/>
  <c r="E466" i="1"/>
  <c r="S466" i="1"/>
  <c r="C783" i="1"/>
  <c r="D783" i="1"/>
  <c r="E783" i="1"/>
  <c r="S783" i="1"/>
  <c r="C283" i="1"/>
  <c r="D283" i="1"/>
  <c r="E283" i="1"/>
  <c r="S283" i="1"/>
  <c r="S567" i="1"/>
  <c r="C302" i="1"/>
  <c r="D302" i="1"/>
  <c r="E302" i="1"/>
  <c r="S302" i="1"/>
  <c r="C410" i="1"/>
  <c r="D410" i="1"/>
  <c r="E410" i="1"/>
  <c r="S410" i="1"/>
  <c r="C333" i="1"/>
  <c r="D333" i="1"/>
  <c r="E333" i="1"/>
  <c r="S333" i="1"/>
  <c r="C346" i="1"/>
  <c r="D346" i="1"/>
  <c r="E346" i="1"/>
  <c r="S346" i="1"/>
  <c r="C652" i="1"/>
  <c r="D652" i="1"/>
  <c r="E652" i="1"/>
  <c r="S652" i="1"/>
  <c r="C384" i="1"/>
  <c r="D384" i="1"/>
  <c r="E384" i="1"/>
  <c r="S384" i="1"/>
  <c r="C331" i="1"/>
  <c r="D331" i="1"/>
  <c r="E331" i="1"/>
  <c r="S331" i="1"/>
  <c r="C680" i="1"/>
  <c r="D680" i="1"/>
  <c r="E680" i="1"/>
  <c r="S680" i="1"/>
  <c r="C330" i="1"/>
  <c r="D330" i="1"/>
  <c r="E330" i="1"/>
  <c r="S330" i="1"/>
  <c r="C600" i="1"/>
  <c r="D600" i="1"/>
  <c r="E600" i="1"/>
  <c r="S600" i="1"/>
  <c r="C282" i="1"/>
  <c r="D282" i="1"/>
  <c r="E282" i="1"/>
  <c r="S282" i="1"/>
  <c r="C383" i="1"/>
  <c r="D383" i="1"/>
  <c r="E383" i="1"/>
  <c r="S383" i="1"/>
  <c r="S454" i="1"/>
  <c r="C326" i="1"/>
  <c r="D326" i="1"/>
  <c r="E326" i="1"/>
  <c r="S326" i="1"/>
  <c r="C519" i="1"/>
  <c r="D519" i="1"/>
  <c r="E519" i="1"/>
  <c r="S519" i="1"/>
  <c r="C374" i="1"/>
  <c r="D374" i="1"/>
  <c r="E374" i="1"/>
  <c r="S374" i="1"/>
  <c r="C780" i="1"/>
  <c r="D780" i="1"/>
  <c r="E780" i="1"/>
  <c r="S780" i="1"/>
  <c r="C426" i="1"/>
  <c r="D426" i="1"/>
  <c r="E426" i="1"/>
  <c r="S426" i="1"/>
  <c r="C467" i="1"/>
  <c r="D467" i="1"/>
  <c r="E467" i="1"/>
  <c r="S467" i="1"/>
  <c r="C496" i="1"/>
  <c r="D496" i="1"/>
  <c r="E496" i="1"/>
  <c r="S496" i="1"/>
  <c r="C601" i="1"/>
  <c r="D601" i="1"/>
  <c r="E601" i="1"/>
  <c r="S601" i="1"/>
  <c r="C659" i="1"/>
  <c r="D659" i="1"/>
  <c r="E659" i="1"/>
  <c r="S659" i="1"/>
  <c r="C340" i="1"/>
  <c r="D340" i="1"/>
  <c r="E340" i="1"/>
  <c r="S340" i="1"/>
  <c r="C491" i="1"/>
  <c r="D491" i="1"/>
  <c r="E491" i="1"/>
  <c r="S491" i="1"/>
  <c r="C581" i="1"/>
  <c r="D581" i="1"/>
  <c r="E581" i="1"/>
  <c r="S581" i="1"/>
  <c r="S771" i="1"/>
  <c r="C757" i="1"/>
  <c r="D757" i="1"/>
  <c r="E757" i="1"/>
  <c r="S757" i="1"/>
  <c r="C406" i="1"/>
  <c r="D406" i="1"/>
  <c r="E406" i="1"/>
  <c r="S406" i="1"/>
  <c r="C729" i="1"/>
  <c r="D729" i="1"/>
  <c r="E729" i="1"/>
  <c r="S729" i="1"/>
  <c r="C528" i="1"/>
  <c r="D528" i="1"/>
  <c r="E528" i="1"/>
  <c r="S528" i="1"/>
  <c r="C594" i="1"/>
  <c r="D594" i="1"/>
  <c r="E594" i="1"/>
  <c r="S594" i="1"/>
  <c r="S489" i="1"/>
  <c r="C422" i="1"/>
  <c r="D422" i="1"/>
  <c r="E422" i="1"/>
  <c r="S422" i="1"/>
  <c r="C526" i="1"/>
  <c r="D526" i="1"/>
  <c r="E526" i="1"/>
  <c r="S526" i="1"/>
  <c r="C401" i="1"/>
  <c r="D401" i="1"/>
  <c r="E401" i="1"/>
  <c r="S401" i="1"/>
  <c r="C378" i="1"/>
  <c r="D378" i="1"/>
  <c r="E378" i="1"/>
  <c r="S378" i="1"/>
  <c r="S553" i="1"/>
  <c r="C452" i="1"/>
  <c r="D452" i="1"/>
  <c r="E452" i="1"/>
  <c r="S452" i="1"/>
  <c r="C629" i="1"/>
  <c r="D629" i="1"/>
  <c r="E629" i="1"/>
  <c r="S629" i="1"/>
  <c r="C339" i="1"/>
  <c r="D339" i="1"/>
  <c r="E339" i="1"/>
  <c r="S339" i="1"/>
  <c r="C475" i="1"/>
  <c r="D475" i="1"/>
  <c r="E475" i="1"/>
  <c r="S475" i="1"/>
  <c r="C471" i="1"/>
  <c r="D471" i="1"/>
  <c r="E471" i="1"/>
  <c r="S471" i="1"/>
  <c r="S463" i="1"/>
  <c r="C738" i="1"/>
  <c r="D738" i="1"/>
  <c r="E738" i="1"/>
  <c r="S738" i="1"/>
  <c r="C632" i="1"/>
  <c r="D632" i="1"/>
  <c r="E632" i="1"/>
  <c r="S632" i="1"/>
  <c r="C616" i="1"/>
  <c r="D616" i="1"/>
  <c r="E616" i="1"/>
  <c r="S616" i="1"/>
  <c r="C633" i="1"/>
  <c r="D633" i="1"/>
  <c r="E633" i="1"/>
  <c r="S633" i="1"/>
  <c r="C716" i="1"/>
  <c r="D716" i="1"/>
  <c r="E716" i="1"/>
  <c r="S716" i="1"/>
  <c r="C635" i="1"/>
  <c r="D635" i="1"/>
  <c r="E635" i="1"/>
  <c r="S635" i="1"/>
  <c r="C499" i="1"/>
  <c r="D499" i="1"/>
  <c r="E499" i="1"/>
  <c r="S499" i="1"/>
  <c r="C755" i="1"/>
  <c r="D755" i="1"/>
  <c r="E755" i="1"/>
  <c r="S755" i="1"/>
  <c r="C762" i="1"/>
  <c r="D762" i="1"/>
  <c r="E762" i="1"/>
  <c r="S762" i="1"/>
  <c r="C325" i="1"/>
  <c r="D325" i="1"/>
  <c r="E325" i="1"/>
  <c r="S325" i="1"/>
  <c r="C450" i="1"/>
  <c r="D450" i="1"/>
  <c r="E450" i="1"/>
  <c r="S450" i="1"/>
  <c r="C563" i="1"/>
  <c r="D563" i="1"/>
  <c r="E563" i="1"/>
  <c r="S563" i="1"/>
  <c r="S446" i="1"/>
  <c r="S473" i="1"/>
  <c r="S506" i="1"/>
  <c r="C602" i="1"/>
  <c r="D602" i="1"/>
  <c r="E602" i="1"/>
  <c r="S602" i="1"/>
  <c r="C78" i="1"/>
  <c r="D78" i="1"/>
  <c r="E78" i="1"/>
  <c r="S78" i="1"/>
  <c r="C595" i="1"/>
  <c r="D595" i="1"/>
  <c r="E595" i="1"/>
  <c r="S595" i="1"/>
  <c r="C626" i="1"/>
  <c r="D626" i="1"/>
  <c r="E626" i="1"/>
  <c r="S626" i="1"/>
  <c r="C433" i="1"/>
  <c r="D433" i="1"/>
  <c r="E433" i="1"/>
  <c r="S433" i="1"/>
  <c r="C766" i="1"/>
  <c r="D766" i="1"/>
  <c r="E766" i="1"/>
  <c r="S766" i="1"/>
  <c r="C390" i="1"/>
  <c r="D390" i="1"/>
  <c r="E390" i="1"/>
  <c r="S390" i="1"/>
  <c r="C593" i="1"/>
  <c r="D593" i="1"/>
  <c r="E593" i="1"/>
  <c r="S593" i="1"/>
  <c r="C382" i="1"/>
  <c r="D382" i="1"/>
  <c r="E382" i="1"/>
  <c r="S382" i="1"/>
  <c r="S727" i="1"/>
  <c r="C737" i="1"/>
  <c r="D737" i="1"/>
  <c r="E737" i="1"/>
  <c r="S737" i="1"/>
  <c r="S431" i="1"/>
  <c r="C679" i="1"/>
  <c r="D679" i="1"/>
  <c r="E679" i="1"/>
  <c r="S679" i="1"/>
  <c r="C458" i="1"/>
  <c r="D458" i="1"/>
  <c r="E458" i="1"/>
  <c r="S458" i="1"/>
  <c r="S758" i="1"/>
  <c r="C534" i="1"/>
  <c r="D534" i="1"/>
  <c r="E534" i="1"/>
  <c r="S534" i="1"/>
  <c r="C579" i="1"/>
  <c r="D579" i="1"/>
  <c r="E579" i="1"/>
  <c r="S579" i="1"/>
  <c r="C585" i="1"/>
  <c r="D585" i="1"/>
  <c r="E585" i="1"/>
  <c r="S585" i="1"/>
  <c r="C394" i="1"/>
  <c r="D394" i="1"/>
  <c r="E394" i="1"/>
  <c r="S394" i="1"/>
  <c r="C319" i="1"/>
  <c r="D319" i="1"/>
  <c r="E319" i="1"/>
  <c r="S319" i="1"/>
  <c r="C362" i="1"/>
  <c r="D362" i="1"/>
  <c r="E362" i="1"/>
  <c r="S362" i="1"/>
  <c r="S451" i="1"/>
  <c r="C360" i="1"/>
  <c r="D360" i="1"/>
  <c r="E360" i="1"/>
  <c r="S360" i="1"/>
  <c r="C329" i="1"/>
  <c r="D329" i="1"/>
  <c r="E329" i="1"/>
  <c r="S329" i="1"/>
  <c r="C399" i="1"/>
  <c r="D399" i="1"/>
  <c r="E399" i="1"/>
  <c r="S399" i="1"/>
  <c r="S279" i="1"/>
  <c r="C288" i="1"/>
  <c r="D288" i="1"/>
  <c r="E288" i="1"/>
  <c r="S288" i="1"/>
  <c r="C541" i="1"/>
  <c r="D541" i="1"/>
  <c r="E541" i="1"/>
  <c r="S541" i="1"/>
  <c r="S586" i="1"/>
  <c r="C424" i="1"/>
  <c r="D424" i="1"/>
  <c r="E424" i="1"/>
  <c r="S424" i="1"/>
  <c r="C380" i="1"/>
  <c r="D380" i="1"/>
  <c r="E380" i="1"/>
  <c r="S380" i="1"/>
  <c r="C405" i="1"/>
  <c r="D405" i="1"/>
  <c r="E405" i="1"/>
  <c r="S405" i="1"/>
  <c r="C536" i="1"/>
  <c r="D536" i="1"/>
  <c r="E536" i="1"/>
  <c r="S536" i="1"/>
  <c r="C698" i="1"/>
  <c r="D698" i="1"/>
  <c r="E698" i="1"/>
  <c r="S698" i="1"/>
  <c r="C483" i="1"/>
  <c r="D483" i="1"/>
  <c r="E483" i="1"/>
  <c r="S483" i="1"/>
  <c r="C438" i="1"/>
  <c r="D438" i="1"/>
  <c r="E438" i="1"/>
  <c r="S438" i="1"/>
  <c r="C507" i="1"/>
  <c r="D507" i="1"/>
  <c r="E507" i="1"/>
  <c r="S507" i="1"/>
  <c r="C342" i="1"/>
  <c r="D342" i="1"/>
  <c r="E342" i="1"/>
  <c r="S342" i="1"/>
  <c r="C510" i="1"/>
  <c r="D510" i="1"/>
  <c r="E510" i="1"/>
  <c r="S510" i="1"/>
  <c r="S318" i="1"/>
  <c r="C359" i="1"/>
  <c r="D359" i="1"/>
  <c r="E359" i="1"/>
  <c r="S359" i="1"/>
  <c r="C368" i="1"/>
  <c r="D368" i="1"/>
  <c r="E368" i="1"/>
  <c r="S368" i="1"/>
  <c r="C412" i="1"/>
  <c r="D412" i="1"/>
  <c r="E412" i="1"/>
  <c r="S412" i="1"/>
  <c r="C767" i="1"/>
  <c r="D767" i="1"/>
  <c r="E767" i="1"/>
  <c r="S767" i="1"/>
  <c r="C290" i="1"/>
  <c r="D290" i="1"/>
  <c r="E290" i="1"/>
  <c r="S290" i="1"/>
  <c r="C615" i="1"/>
  <c r="D615" i="1"/>
  <c r="E615" i="1"/>
  <c r="S615" i="1"/>
  <c r="C321" i="1"/>
  <c r="D321" i="1"/>
  <c r="E321" i="1"/>
  <c r="S321" i="1"/>
  <c r="C445" i="1"/>
  <c r="D445" i="1"/>
  <c r="E445" i="1"/>
  <c r="S445" i="1"/>
  <c r="C628" i="1"/>
  <c r="D628" i="1"/>
  <c r="E628" i="1"/>
  <c r="S628" i="1"/>
  <c r="C695" i="1"/>
  <c r="D695" i="1"/>
  <c r="E695" i="1"/>
  <c r="S695" i="1"/>
  <c r="C650" i="1"/>
  <c r="D650" i="1"/>
  <c r="E650" i="1"/>
  <c r="S650" i="1"/>
  <c r="C608" i="1"/>
  <c r="D608" i="1"/>
  <c r="E608" i="1"/>
  <c r="S608" i="1"/>
  <c r="C289" i="1"/>
  <c r="D289" i="1"/>
  <c r="E289" i="1"/>
  <c r="S289" i="1"/>
  <c r="C414" i="1"/>
  <c r="D414" i="1"/>
  <c r="E414" i="1"/>
  <c r="S414" i="1"/>
  <c r="C298" i="1"/>
  <c r="D298" i="1"/>
  <c r="E298" i="1"/>
  <c r="S298" i="1"/>
  <c r="C517" i="1"/>
  <c r="D517" i="1"/>
  <c r="E517" i="1"/>
  <c r="S517" i="1"/>
  <c r="C537" i="1"/>
  <c r="D537" i="1"/>
  <c r="E537" i="1"/>
  <c r="S537" i="1"/>
  <c r="S642" i="1"/>
  <c r="C522" i="1"/>
  <c r="D522" i="1"/>
  <c r="E522" i="1"/>
  <c r="S522" i="1"/>
  <c r="C457" i="1"/>
  <c r="D457" i="1"/>
  <c r="E457" i="1"/>
  <c r="S457" i="1"/>
  <c r="C741" i="1"/>
  <c r="D741" i="1"/>
  <c r="E741" i="1"/>
  <c r="S741" i="1"/>
  <c r="C649" i="1"/>
  <c r="D649" i="1"/>
  <c r="E649" i="1"/>
  <c r="S649" i="1"/>
  <c r="C714" i="1"/>
  <c r="D714" i="1"/>
  <c r="E714" i="1"/>
  <c r="S714" i="1"/>
  <c r="S782" i="1"/>
  <c r="C622" i="1"/>
  <c r="D622" i="1"/>
  <c r="E622" i="1"/>
  <c r="S622" i="1"/>
  <c r="C677" i="1"/>
  <c r="D677" i="1"/>
  <c r="E677" i="1"/>
  <c r="S677" i="1"/>
  <c r="C518" i="1"/>
  <c r="D518" i="1"/>
  <c r="E518" i="1"/>
  <c r="S518" i="1"/>
  <c r="C428" i="1"/>
  <c r="D428" i="1"/>
  <c r="E428" i="1"/>
  <c r="S428" i="1"/>
  <c r="C743" i="1"/>
  <c r="D743" i="1"/>
  <c r="E743" i="1"/>
  <c r="S743" i="1"/>
  <c r="C648" i="1"/>
  <c r="D648" i="1"/>
  <c r="E648" i="1"/>
  <c r="S648" i="1"/>
  <c r="C423" i="1"/>
  <c r="D423" i="1"/>
  <c r="E423" i="1"/>
  <c r="S423" i="1"/>
  <c r="C598" i="1"/>
  <c r="D598" i="1"/>
  <c r="E598" i="1"/>
  <c r="S598" i="1"/>
  <c r="C487" i="1"/>
  <c r="D487" i="1"/>
  <c r="E487" i="1"/>
  <c r="S487" i="1"/>
  <c r="C372" i="1"/>
  <c r="D372" i="1"/>
  <c r="E372" i="1"/>
  <c r="S372" i="1"/>
  <c r="C552" i="1"/>
  <c r="D552" i="1"/>
  <c r="E552" i="1"/>
  <c r="S552" i="1"/>
  <c r="C607" i="1"/>
  <c r="D607" i="1"/>
  <c r="E607" i="1"/>
  <c r="S607" i="1"/>
  <c r="C752" i="1"/>
  <c r="D752" i="1"/>
  <c r="E752" i="1"/>
  <c r="S752" i="1"/>
  <c r="C515" i="1"/>
  <c r="D515" i="1"/>
  <c r="E515" i="1"/>
  <c r="S515" i="1"/>
  <c r="C573" i="1"/>
  <c r="D573" i="1"/>
  <c r="E573" i="1"/>
  <c r="S573" i="1"/>
  <c r="C726" i="1"/>
  <c r="D726" i="1"/>
  <c r="E726" i="1"/>
  <c r="S726" i="1"/>
  <c r="C358" i="1"/>
  <c r="D358" i="1"/>
  <c r="E358" i="1"/>
  <c r="S358" i="1"/>
  <c r="C765" i="1"/>
  <c r="D765" i="1"/>
  <c r="E765" i="1"/>
  <c r="S765" i="1"/>
  <c r="C355" i="1"/>
  <c r="D355" i="1"/>
  <c r="E355" i="1"/>
  <c r="S355" i="1"/>
  <c r="C488" i="1"/>
  <c r="D488" i="1"/>
  <c r="E488" i="1"/>
  <c r="S488" i="1"/>
  <c r="C590" i="1"/>
  <c r="D590" i="1"/>
  <c r="E590" i="1"/>
  <c r="S590" i="1"/>
  <c r="D280" i="1"/>
  <c r="E280" i="1"/>
  <c r="S280" i="1"/>
  <c r="C521" i="1"/>
  <c r="D521" i="1"/>
  <c r="E521" i="1"/>
  <c r="S521" i="1"/>
  <c r="C748" i="1"/>
  <c r="D748" i="1"/>
  <c r="E748" i="1"/>
  <c r="S748" i="1"/>
  <c r="C540" i="1"/>
  <c r="D540" i="1"/>
  <c r="E540" i="1"/>
  <c r="S540" i="1"/>
  <c r="C74" i="1"/>
  <c r="D74" i="1"/>
  <c r="E74" i="1"/>
  <c r="S74" i="1"/>
  <c r="C444" i="1"/>
  <c r="D444" i="1"/>
  <c r="E444" i="1"/>
  <c r="S444" i="1"/>
  <c r="S761" i="1"/>
  <c r="C345" i="1"/>
  <c r="D345" i="1"/>
  <c r="E345" i="1"/>
  <c r="S345" i="1"/>
  <c r="C439" i="1"/>
  <c r="D439" i="1"/>
  <c r="E439" i="1"/>
  <c r="S439" i="1"/>
  <c r="C551" i="1"/>
  <c r="D551" i="1"/>
  <c r="E551" i="1"/>
  <c r="S551" i="1"/>
  <c r="S684" i="1"/>
  <c r="C588" i="1"/>
  <c r="D588" i="1"/>
  <c r="E588" i="1"/>
  <c r="S588" i="1"/>
  <c r="C555" i="1"/>
  <c r="D555" i="1"/>
  <c r="E555" i="1"/>
  <c r="S555" i="1"/>
  <c r="C562" i="1"/>
  <c r="D562" i="1"/>
  <c r="E562" i="1"/>
  <c r="S562" i="1"/>
  <c r="C740" i="1"/>
  <c r="D740" i="1"/>
  <c r="E740" i="1"/>
  <c r="S740" i="1"/>
  <c r="C337" i="1"/>
  <c r="D337" i="1"/>
  <c r="E337" i="1"/>
  <c r="S337" i="1"/>
  <c r="C747" i="1"/>
  <c r="D747" i="1"/>
  <c r="E747" i="1"/>
  <c r="S747" i="1"/>
  <c r="C724" i="1"/>
  <c r="D724" i="1"/>
  <c r="E724" i="1"/>
  <c r="S724" i="1"/>
  <c r="C281" i="1"/>
  <c r="D281" i="1"/>
  <c r="E281" i="1"/>
  <c r="S281" i="1"/>
  <c r="C421" i="1"/>
  <c r="D421" i="1"/>
  <c r="E421" i="1"/>
  <c r="S421" i="1"/>
  <c r="C425" i="1"/>
  <c r="D425" i="1"/>
  <c r="E425" i="1"/>
  <c r="S425" i="1"/>
  <c r="C297" i="1"/>
  <c r="D297" i="1"/>
  <c r="E297" i="1"/>
  <c r="S297" i="1"/>
  <c r="C548" i="1"/>
  <c r="D548" i="1"/>
  <c r="E548" i="1"/>
  <c r="S548" i="1"/>
  <c r="S516" i="1"/>
  <c r="C300" i="1"/>
  <c r="D300" i="1"/>
  <c r="E300" i="1"/>
  <c r="S300" i="1"/>
  <c r="C430" i="1"/>
  <c r="D430" i="1"/>
  <c r="E430" i="1"/>
  <c r="S430" i="1"/>
  <c r="C756" i="1"/>
  <c r="D756" i="1"/>
  <c r="E756" i="1"/>
  <c r="S756" i="1"/>
  <c r="C584" i="1"/>
  <c r="D584" i="1"/>
  <c r="E584" i="1"/>
  <c r="S584" i="1"/>
  <c r="C706" i="1"/>
  <c r="D706" i="1"/>
  <c r="E706" i="1"/>
  <c r="S706" i="1"/>
  <c r="C402" i="1"/>
  <c r="D402" i="1"/>
  <c r="E402" i="1"/>
  <c r="S402" i="1"/>
  <c r="C495" i="1"/>
  <c r="D495" i="1"/>
  <c r="E495" i="1"/>
  <c r="S495" i="1"/>
  <c r="C672" i="1"/>
  <c r="D672" i="1"/>
  <c r="E672" i="1"/>
  <c r="S672" i="1"/>
  <c r="S514" i="1"/>
  <c r="S417" i="1"/>
  <c r="C778" i="1"/>
  <c r="D778" i="1"/>
  <c r="E778" i="1"/>
  <c r="S778" i="1"/>
  <c r="C571" i="1"/>
  <c r="D571" i="1"/>
  <c r="E571" i="1"/>
  <c r="S571" i="1"/>
  <c r="C694" i="1"/>
  <c r="D694" i="1"/>
  <c r="E694" i="1"/>
  <c r="S694" i="1"/>
  <c r="C547" i="1"/>
  <c r="D547" i="1"/>
  <c r="E547" i="1"/>
  <c r="S547" i="1"/>
  <c r="C341" i="1"/>
  <c r="D341" i="1"/>
  <c r="E341" i="1"/>
  <c r="S341" i="1"/>
  <c r="C494" i="1"/>
  <c r="D494" i="1"/>
  <c r="E494" i="1"/>
  <c r="S494" i="1"/>
  <c r="S760" i="1"/>
  <c r="C437" i="1"/>
  <c r="D437" i="1"/>
  <c r="E437" i="1"/>
  <c r="S437" i="1"/>
  <c r="C750" i="1"/>
  <c r="D750" i="1"/>
  <c r="E750" i="1"/>
  <c r="S750" i="1"/>
  <c r="C723" i="1"/>
  <c r="D723" i="1"/>
  <c r="E723" i="1"/>
  <c r="S723" i="1"/>
  <c r="C474" i="1"/>
  <c r="D474" i="1"/>
  <c r="E474" i="1"/>
  <c r="S474" i="1"/>
  <c r="C693" i="1"/>
  <c r="D693" i="1"/>
  <c r="E693" i="1"/>
  <c r="S693" i="1"/>
  <c r="C436" i="1"/>
  <c r="D436" i="1"/>
  <c r="E436" i="1"/>
  <c r="S436" i="1"/>
  <c r="C742" i="1"/>
  <c r="D742" i="1"/>
  <c r="E742" i="1"/>
  <c r="S742" i="1"/>
  <c r="C614" i="1"/>
  <c r="D614" i="1"/>
  <c r="E614" i="1"/>
  <c r="S614" i="1"/>
  <c r="C301" i="1"/>
  <c r="D301" i="1"/>
  <c r="E301" i="1"/>
  <c r="S301" i="1"/>
  <c r="C334" i="1"/>
  <c r="D334" i="1"/>
  <c r="E334" i="1"/>
  <c r="S334" i="1"/>
  <c r="S357" i="1"/>
  <c r="C578" i="1"/>
  <c r="D578" i="1"/>
  <c r="E578" i="1"/>
  <c r="S578" i="1"/>
  <c r="S472" i="1"/>
  <c r="C751" i="1"/>
  <c r="D751" i="1"/>
  <c r="E751" i="1"/>
  <c r="S751" i="1"/>
  <c r="C416" i="1"/>
  <c r="D416" i="1"/>
  <c r="E416" i="1"/>
  <c r="S416" i="1"/>
  <c r="C377" i="1"/>
  <c r="D377" i="1"/>
  <c r="E377" i="1"/>
  <c r="S377" i="1"/>
  <c r="C307" i="1"/>
  <c r="D307" i="1"/>
  <c r="E307" i="1"/>
  <c r="S307" i="1"/>
  <c r="C613" i="1"/>
  <c r="D613" i="1"/>
  <c r="E613" i="1"/>
  <c r="S613" i="1"/>
  <c r="C722" i="1"/>
  <c r="D722" i="1"/>
  <c r="E722" i="1"/>
  <c r="S722" i="1"/>
  <c r="C486" i="1"/>
  <c r="D486" i="1"/>
  <c r="E486" i="1"/>
  <c r="S486" i="1"/>
  <c r="C485" i="1"/>
  <c r="D485" i="1"/>
  <c r="E485" i="1"/>
  <c r="S485" i="1"/>
  <c r="C419" i="1"/>
  <c r="D419" i="1"/>
  <c r="E419" i="1"/>
  <c r="S419" i="1"/>
  <c r="C625" i="1"/>
  <c r="D625" i="1"/>
  <c r="E625" i="1"/>
  <c r="S625" i="1"/>
  <c r="C376" i="1"/>
  <c r="D376" i="1"/>
  <c r="E376" i="1"/>
  <c r="S376" i="1"/>
  <c r="S324" i="1"/>
  <c r="C674" i="1"/>
  <c r="D674" i="1"/>
  <c r="E674" i="1"/>
  <c r="S674" i="1"/>
  <c r="C443" i="1"/>
  <c r="D443" i="1"/>
  <c r="E443" i="1"/>
  <c r="S443" i="1"/>
  <c r="C296" i="1"/>
  <c r="D296" i="1"/>
  <c r="E296" i="1"/>
  <c r="S296" i="1"/>
  <c r="C634" i="1"/>
  <c r="D634" i="1"/>
  <c r="E634" i="1"/>
  <c r="S634" i="1"/>
  <c r="C420" i="1"/>
  <c r="D420" i="1"/>
  <c r="E420" i="1"/>
  <c r="S420" i="1"/>
  <c r="C400" i="1"/>
  <c r="D400" i="1"/>
  <c r="E400" i="1"/>
  <c r="S400" i="1"/>
  <c r="C469" i="1"/>
  <c r="D469" i="1"/>
  <c r="E469" i="1"/>
  <c r="S469" i="1"/>
  <c r="C344" i="1"/>
  <c r="D344" i="1"/>
  <c r="E344" i="1"/>
  <c r="S344" i="1"/>
  <c r="S561" i="1"/>
  <c r="C641" i="1"/>
  <c r="D641" i="1"/>
  <c r="E641" i="1"/>
  <c r="S641" i="1"/>
  <c r="C295" i="1"/>
  <c r="D295" i="1"/>
  <c r="E295" i="1"/>
  <c r="S295" i="1"/>
  <c r="C639" i="1"/>
  <c r="D639" i="1"/>
  <c r="E639" i="1"/>
  <c r="S639" i="1"/>
  <c r="C732" i="1"/>
  <c r="D732" i="1"/>
  <c r="E732" i="1"/>
  <c r="S732" i="1"/>
  <c r="S640" i="1"/>
  <c r="C705" i="1"/>
  <c r="D705" i="1"/>
  <c r="E705" i="1"/>
  <c r="S705" i="1"/>
  <c r="C676" i="1"/>
  <c r="D676" i="1"/>
  <c r="E676" i="1"/>
  <c r="S676" i="1"/>
  <c r="C711" i="1"/>
  <c r="D711" i="1"/>
  <c r="E711" i="1"/>
  <c r="S711" i="1"/>
  <c r="C700" i="1"/>
  <c r="D700" i="1"/>
  <c r="E700" i="1"/>
  <c r="S700" i="1"/>
  <c r="C386" i="1"/>
  <c r="D386" i="1"/>
  <c r="E386" i="1"/>
  <c r="S386" i="1"/>
  <c r="C432" i="1"/>
  <c r="D432" i="1"/>
  <c r="E432" i="1"/>
  <c r="S432" i="1"/>
  <c r="C749" i="1"/>
  <c r="D749" i="1"/>
  <c r="E749" i="1"/>
  <c r="S749" i="1"/>
  <c r="C292" i="1"/>
  <c r="D292" i="1"/>
  <c r="E292" i="1"/>
  <c r="S292" i="1"/>
  <c r="C709" i="1"/>
  <c r="D709" i="1"/>
  <c r="E709" i="1"/>
  <c r="S709" i="1"/>
  <c r="C592" i="1"/>
  <c r="D592" i="1"/>
  <c r="E592" i="1"/>
  <c r="S592" i="1"/>
  <c r="C370" i="1"/>
  <c r="D370" i="1"/>
  <c r="E370" i="1"/>
  <c r="S370" i="1"/>
  <c r="C621" i="1"/>
  <c r="D621" i="1"/>
  <c r="E621" i="1"/>
  <c r="S621" i="1"/>
  <c r="C645" i="1"/>
  <c r="D645" i="1"/>
  <c r="E645" i="1"/>
  <c r="S645" i="1"/>
  <c r="S591" i="1"/>
  <c r="C546" i="1"/>
  <c r="D546" i="1"/>
  <c r="E546" i="1"/>
  <c r="S546" i="1"/>
  <c r="C529" i="1"/>
  <c r="D529" i="1"/>
  <c r="E529" i="1"/>
  <c r="S529" i="1"/>
  <c r="C335" i="1"/>
  <c r="D335" i="1"/>
  <c r="E335" i="1"/>
  <c r="S335" i="1"/>
  <c r="C442" i="1"/>
  <c r="D442" i="1"/>
  <c r="E442" i="1"/>
  <c r="S442" i="1"/>
  <c r="C354" i="1"/>
  <c r="D354" i="1"/>
  <c r="E354" i="1"/>
  <c r="S354" i="1"/>
  <c r="C278" i="1"/>
  <c r="D278" i="1"/>
  <c r="E278" i="1"/>
  <c r="S278" i="1"/>
  <c r="C481" i="1"/>
  <c r="D481" i="1"/>
  <c r="E481" i="1"/>
  <c r="S481" i="1"/>
  <c r="C644" i="1"/>
  <c r="D644" i="1"/>
  <c r="E644" i="1"/>
  <c r="S644" i="1"/>
  <c r="C465" i="1"/>
  <c r="D465" i="1"/>
  <c r="E465" i="1"/>
  <c r="S465" i="1"/>
  <c r="C407" i="1"/>
  <c r="D407" i="1"/>
  <c r="E407" i="1"/>
  <c r="S407" i="1"/>
  <c r="S566" i="1"/>
  <c r="C441" i="1"/>
  <c r="D441" i="1"/>
  <c r="E441" i="1"/>
  <c r="S441" i="1"/>
  <c r="C328" i="1"/>
  <c r="D328" i="1"/>
  <c r="E328" i="1"/>
  <c r="S328" i="1"/>
  <c r="C543" i="1"/>
  <c r="D543" i="1"/>
  <c r="E543" i="1"/>
  <c r="S543" i="1"/>
  <c r="C685" i="1"/>
  <c r="D685" i="1"/>
  <c r="E685" i="1"/>
  <c r="S685" i="1"/>
  <c r="C315" i="1"/>
  <c r="D315" i="1"/>
  <c r="E315" i="1"/>
  <c r="S315" i="1"/>
  <c r="C774" i="1"/>
  <c r="D774" i="1"/>
  <c r="E774" i="1"/>
  <c r="S774" i="1"/>
  <c r="C497" i="1"/>
  <c r="D497" i="1"/>
  <c r="E497" i="1"/>
  <c r="S497" i="1"/>
  <c r="C754" i="1"/>
  <c r="D754" i="1"/>
  <c r="E754" i="1"/>
  <c r="S754" i="1"/>
  <c r="S643" i="1"/>
  <c r="C323" i="1"/>
  <c r="D323" i="1"/>
  <c r="E323" i="1"/>
  <c r="S323" i="1"/>
  <c r="C777" i="1"/>
  <c r="D777" i="1"/>
  <c r="E777" i="1"/>
  <c r="S777" i="1"/>
  <c r="C583" i="1"/>
  <c r="D583" i="1"/>
  <c r="E583" i="1"/>
  <c r="S583" i="1"/>
  <c r="C512" i="1"/>
  <c r="D512" i="1"/>
  <c r="E512" i="1"/>
  <c r="S512" i="1"/>
  <c r="C429" i="1"/>
  <c r="D429" i="1"/>
  <c r="E429" i="1"/>
  <c r="S429" i="1"/>
  <c r="C753" i="1"/>
  <c r="D753" i="1"/>
  <c r="E753" i="1"/>
  <c r="S753" i="1"/>
  <c r="S708" i="1"/>
  <c r="C291" i="1"/>
  <c r="D291" i="1"/>
  <c r="E291" i="1"/>
  <c r="S291" i="1"/>
  <c r="C770" i="1"/>
  <c r="D770" i="1"/>
  <c r="E770" i="1"/>
  <c r="S770" i="1"/>
  <c r="C501" i="1"/>
  <c r="D501" i="1"/>
  <c r="E501" i="1"/>
  <c r="S501" i="1"/>
  <c r="C449" i="1"/>
  <c r="D449" i="1"/>
  <c r="E449" i="1"/>
  <c r="S449" i="1"/>
  <c r="C744" i="1"/>
  <c r="D744" i="1"/>
  <c r="E744" i="1"/>
  <c r="S744" i="1"/>
  <c r="C735" i="1"/>
  <c r="D735" i="1"/>
  <c r="E735" i="1"/>
  <c r="S735" i="1"/>
  <c r="C688" i="1"/>
  <c r="D688" i="1"/>
  <c r="E688" i="1"/>
  <c r="S688" i="1"/>
  <c r="C309" i="1"/>
  <c r="D309" i="1"/>
  <c r="E309" i="1"/>
  <c r="S309" i="1"/>
  <c r="C455" i="1"/>
  <c r="D455" i="1"/>
  <c r="E455" i="1"/>
  <c r="S455" i="1"/>
  <c r="C364" i="1"/>
  <c r="D364" i="1"/>
  <c r="E364" i="1"/>
  <c r="S364" i="1"/>
  <c r="C415" i="1"/>
  <c r="D415" i="1"/>
  <c r="E415" i="1"/>
  <c r="S415" i="1"/>
  <c r="C554" i="1"/>
  <c r="D554" i="1"/>
  <c r="E554" i="1"/>
  <c r="S554" i="1"/>
  <c r="C314" i="1"/>
  <c r="D314" i="1"/>
  <c r="E314" i="1"/>
  <c r="S314" i="1"/>
  <c r="C533" i="1"/>
  <c r="D533" i="1"/>
  <c r="E533" i="1"/>
  <c r="S533" i="1"/>
  <c r="C636" i="1"/>
  <c r="D636" i="1"/>
  <c r="E636" i="1"/>
  <c r="S636" i="1"/>
  <c r="C725" i="1"/>
  <c r="D725" i="1"/>
  <c r="E725" i="1"/>
  <c r="S725" i="1"/>
  <c r="C678" i="1"/>
  <c r="D678" i="1"/>
  <c r="E678" i="1"/>
  <c r="S678" i="1"/>
  <c r="C285" i="1"/>
  <c r="D285" i="1"/>
  <c r="E285" i="1"/>
  <c r="S285" i="1"/>
  <c r="C322" i="1"/>
  <c r="D322" i="1"/>
  <c r="E322" i="1"/>
  <c r="S322" i="1"/>
  <c r="C627" i="1"/>
  <c r="D627" i="1"/>
  <c r="E627" i="1"/>
  <c r="S627" i="1"/>
  <c r="C440" i="1"/>
  <c r="D440" i="1"/>
  <c r="E440" i="1"/>
  <c r="S440" i="1"/>
  <c r="C692" i="1"/>
  <c r="D692" i="1"/>
  <c r="E692" i="1"/>
  <c r="S692" i="1"/>
  <c r="C730" i="1"/>
  <c r="D730" i="1"/>
  <c r="E730" i="1"/>
  <c r="S730" i="1"/>
  <c r="C687" i="1"/>
  <c r="D687" i="1"/>
  <c r="E687" i="1"/>
  <c r="S687" i="1"/>
  <c r="S379" i="1"/>
  <c r="S388" i="1"/>
  <c r="C564" i="1"/>
  <c r="D564" i="1"/>
  <c r="E564" i="1"/>
  <c r="S564" i="1"/>
  <c r="C275" i="1"/>
  <c r="D275" i="1"/>
  <c r="E275" i="1"/>
  <c r="S275" i="1"/>
  <c r="C453" i="1"/>
  <c r="D453" i="1"/>
  <c r="E453" i="1"/>
  <c r="S453" i="1"/>
  <c r="C350" i="1"/>
  <c r="D350" i="1"/>
  <c r="E350" i="1"/>
  <c r="S350" i="1"/>
  <c r="S461" i="1"/>
  <c r="C477" i="1"/>
  <c r="D477" i="1"/>
  <c r="E477" i="1"/>
  <c r="S477" i="1"/>
  <c r="C577" i="1"/>
  <c r="D577" i="1"/>
  <c r="E577" i="1"/>
  <c r="S577" i="1"/>
  <c r="C352" i="1"/>
  <c r="D352" i="1"/>
  <c r="E352" i="1"/>
  <c r="S352" i="1"/>
  <c r="C746" i="1"/>
  <c r="D746" i="1"/>
  <c r="E746" i="1"/>
  <c r="S746" i="1"/>
  <c r="C80" i="1"/>
  <c r="D80" i="1"/>
  <c r="E80" i="1"/>
  <c r="S80" i="1"/>
  <c r="S413" i="1"/>
  <c r="C367" i="1"/>
  <c r="D367" i="1"/>
  <c r="E367" i="1"/>
  <c r="S367" i="1"/>
  <c r="C580" i="1"/>
  <c r="D580" i="1"/>
  <c r="E580" i="1"/>
  <c r="S580" i="1"/>
  <c r="C320" i="1"/>
  <c r="D320" i="1"/>
  <c r="E320" i="1"/>
  <c r="S320" i="1"/>
  <c r="C570" i="1"/>
  <c r="D570" i="1"/>
  <c r="E570" i="1"/>
  <c r="S570" i="1"/>
  <c r="C713" i="1"/>
  <c r="D713" i="1"/>
  <c r="E713" i="1"/>
  <c r="S713" i="1"/>
  <c r="C482" i="1"/>
  <c r="D482" i="1"/>
  <c r="E482" i="1"/>
  <c r="S482" i="1"/>
  <c r="S525" i="1"/>
  <c r="C764" i="1"/>
  <c r="D764" i="1"/>
  <c r="E764" i="1"/>
  <c r="S764" i="1"/>
  <c r="C656" i="1"/>
  <c r="D656" i="1"/>
  <c r="E656" i="1"/>
  <c r="S656" i="1"/>
  <c r="C462" i="1"/>
  <c r="D462" i="1"/>
  <c r="E462" i="1"/>
  <c r="S462" i="1"/>
  <c r="C686" i="1"/>
  <c r="D686" i="1"/>
  <c r="E686" i="1"/>
  <c r="S686" i="1"/>
  <c r="C356" i="1"/>
  <c r="D356" i="1"/>
  <c r="E356" i="1"/>
  <c r="S356" i="1"/>
  <c r="S404" i="1"/>
  <c r="C381" i="1"/>
  <c r="D381" i="1"/>
  <c r="E381" i="1"/>
  <c r="S381" i="1"/>
  <c r="C779" i="1"/>
  <c r="D779" i="1"/>
  <c r="E779" i="1"/>
  <c r="S779" i="1"/>
  <c r="C353" i="1"/>
  <c r="D353" i="1"/>
  <c r="E353" i="1"/>
  <c r="S353" i="1"/>
  <c r="C597" i="1"/>
  <c r="D597" i="1"/>
  <c r="E597" i="1"/>
  <c r="S597" i="1"/>
  <c r="S545" i="1"/>
  <c r="C668" i="1"/>
  <c r="D668" i="1"/>
  <c r="E668" i="1"/>
  <c r="S668" i="1"/>
  <c r="C667" i="1"/>
  <c r="D667" i="1"/>
  <c r="E667" i="1"/>
  <c r="S667" i="1"/>
  <c r="C509" i="1"/>
  <c r="D509" i="1"/>
  <c r="E509" i="1"/>
  <c r="S509" i="1"/>
  <c r="C387" i="1"/>
  <c r="D387" i="1"/>
  <c r="E387" i="1"/>
  <c r="S387" i="1"/>
  <c r="C647" i="1"/>
  <c r="D647" i="1"/>
  <c r="E647" i="1"/>
  <c r="S647" i="1"/>
  <c r="C470" i="1"/>
  <c r="D470" i="1"/>
  <c r="E470" i="1"/>
  <c r="S470" i="1"/>
  <c r="C697" i="1"/>
  <c r="D697" i="1"/>
  <c r="E697" i="1"/>
  <c r="S697" i="1"/>
  <c r="C560" i="1"/>
  <c r="D560" i="1"/>
  <c r="E560" i="1"/>
  <c r="S560" i="1"/>
  <c r="C661" i="1"/>
  <c r="D661" i="1"/>
  <c r="E661" i="1"/>
  <c r="S661" i="1"/>
  <c r="C366" i="1"/>
  <c r="D366" i="1"/>
  <c r="E366" i="1"/>
  <c r="S366" i="1"/>
  <c r="C520" i="1"/>
  <c r="D520" i="1"/>
  <c r="E520" i="1"/>
  <c r="S520" i="1"/>
  <c r="C736" i="1"/>
  <c r="D736" i="1"/>
  <c r="E736" i="1"/>
  <c r="S736" i="1"/>
  <c r="C699" i="1"/>
  <c r="D699" i="1"/>
  <c r="E699" i="1"/>
  <c r="S699" i="1"/>
  <c r="C712" i="1"/>
  <c r="D712" i="1"/>
  <c r="E712" i="1"/>
  <c r="S712" i="1"/>
  <c r="C409" i="1"/>
  <c r="D409" i="1"/>
  <c r="E409" i="1"/>
  <c r="S409" i="1"/>
  <c r="C717" i="1"/>
  <c r="D717" i="1"/>
  <c r="E717" i="1"/>
  <c r="S717" i="1"/>
  <c r="C660" i="1"/>
  <c r="D660" i="1"/>
  <c r="E660" i="1"/>
  <c r="S660" i="1"/>
  <c r="C523" i="1"/>
  <c r="D523" i="1"/>
  <c r="E523" i="1"/>
  <c r="S523" i="1"/>
  <c r="S336" i="1"/>
  <c r="C745" i="1"/>
  <c r="D745" i="1"/>
  <c r="E745" i="1"/>
  <c r="S745" i="1"/>
  <c r="C704" i="1"/>
  <c r="D704" i="1"/>
  <c r="E704" i="1"/>
  <c r="S704" i="1"/>
  <c r="C683" i="1"/>
  <c r="D683" i="1"/>
  <c r="E683" i="1"/>
  <c r="S683" i="1"/>
  <c r="C691" i="1"/>
  <c r="D691" i="1"/>
  <c r="E691" i="1"/>
  <c r="S691" i="1"/>
  <c r="C311" i="1"/>
  <c r="D311" i="1"/>
  <c r="E311" i="1"/>
  <c r="S311" i="1"/>
  <c r="C460" i="1"/>
  <c r="D460" i="1"/>
  <c r="E460" i="1"/>
  <c r="S460" i="1"/>
  <c r="C274" i="1"/>
  <c r="D274" i="1"/>
  <c r="E274" i="1"/>
  <c r="S274" i="1"/>
  <c r="C393" i="1"/>
  <c r="D393" i="1"/>
  <c r="E393" i="1"/>
  <c r="S393" i="1"/>
  <c r="C304" i="1"/>
  <c r="D304" i="1"/>
  <c r="E304" i="1"/>
  <c r="S304" i="1"/>
  <c r="C447" i="1"/>
  <c r="D447" i="1"/>
  <c r="E447" i="1"/>
  <c r="S447" i="1"/>
  <c r="C721" i="1"/>
  <c r="D721" i="1"/>
  <c r="E721" i="1"/>
  <c r="S721" i="1"/>
  <c r="C79" i="1"/>
  <c r="D79" i="1"/>
  <c r="E79" i="1"/>
  <c r="S79" i="1"/>
  <c r="C81" i="1" l="1"/>
  <c r="D81" i="1"/>
  <c r="E81" i="1"/>
  <c r="S81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83" i="1"/>
  <c r="D83" i="1"/>
  <c r="E83" i="1"/>
  <c r="S83" i="1"/>
  <c r="C88" i="1"/>
  <c r="D88" i="1"/>
  <c r="E88" i="1"/>
  <c r="S88" i="1"/>
  <c r="S138" i="1"/>
  <c r="S251" i="1"/>
  <c r="S101" i="1"/>
  <c r="S260" i="1"/>
  <c r="S189" i="1"/>
  <c r="S130" i="1"/>
  <c r="S145" i="1"/>
  <c r="S230" i="1"/>
  <c r="S124" i="1"/>
  <c r="S208" i="1"/>
  <c r="S271" i="1"/>
  <c r="S232" i="1"/>
  <c r="S214" i="1"/>
  <c r="S193" i="1"/>
  <c r="S248" i="1"/>
  <c r="S159" i="1"/>
  <c r="S202" i="1"/>
  <c r="S185" i="1"/>
  <c r="S192" i="1"/>
  <c r="S221" i="1"/>
  <c r="S249" i="1"/>
  <c r="S254" i="1"/>
  <c r="S176" i="1"/>
  <c r="S253" i="1"/>
  <c r="S268" i="1"/>
  <c r="S149" i="1"/>
  <c r="S799" i="1"/>
  <c r="S790" i="1"/>
  <c r="S114" i="1"/>
  <c r="S798" i="1"/>
  <c r="S259" i="1"/>
  <c r="S165" i="1"/>
  <c r="S155" i="1"/>
  <c r="S211" i="1"/>
  <c r="S156" i="1"/>
  <c r="S246" i="1"/>
  <c r="S188" i="1"/>
  <c r="S252" i="1"/>
  <c r="S791" i="1"/>
  <c r="S129" i="1"/>
  <c r="S119" i="1"/>
  <c r="S209" i="1"/>
  <c r="S225" i="1"/>
  <c r="S178" i="1"/>
  <c r="S147" i="1"/>
  <c r="S797" i="1"/>
  <c r="S241" i="1"/>
  <c r="S806" i="1"/>
  <c r="S86" i="1"/>
  <c r="S148" i="1"/>
  <c r="S258" i="1"/>
  <c r="S244" i="1"/>
  <c r="S810" i="1"/>
  <c r="S171" i="1"/>
  <c r="S152" i="1"/>
  <c r="S272" i="1"/>
  <c r="S262" i="1"/>
  <c r="S201" i="1"/>
  <c r="S195" i="1"/>
  <c r="S788" i="1"/>
  <c r="S264" i="1"/>
  <c r="S269" i="1"/>
  <c r="S213" i="1"/>
  <c r="S137" i="1"/>
  <c r="S789" i="1"/>
  <c r="S136" i="1"/>
  <c r="S134" i="1"/>
  <c r="S250" i="1"/>
  <c r="S143" i="1"/>
  <c r="S800" i="1"/>
  <c r="S184" i="1"/>
  <c r="S217" i="1"/>
  <c r="S212" i="1"/>
  <c r="S247" i="1"/>
  <c r="S194" i="1"/>
  <c r="S228" i="1"/>
  <c r="S239" i="1"/>
  <c r="S227" i="1"/>
  <c r="S220" i="1"/>
  <c r="S234" i="1"/>
  <c r="S182" i="1"/>
  <c r="S235" i="1"/>
  <c r="S226" i="1"/>
  <c r="S794" i="1"/>
  <c r="S245" i="1"/>
  <c r="S792" i="1"/>
  <c r="S174" i="1"/>
  <c r="S183" i="1"/>
  <c r="S207" i="1"/>
  <c r="S795" i="1"/>
  <c r="S216" i="1"/>
  <c r="S173" i="1"/>
  <c r="S177" i="1"/>
  <c r="S128" i="1"/>
  <c r="S117" i="1"/>
  <c r="S118" i="1"/>
  <c r="S191" i="1"/>
  <c r="S153" i="1"/>
  <c r="S179" i="1"/>
  <c r="S157" i="1"/>
  <c r="S233" i="1"/>
  <c r="S181" i="1"/>
  <c r="S160" i="1"/>
  <c r="S131" i="1"/>
  <c r="S164" i="1"/>
  <c r="S167" i="1"/>
  <c r="S240" i="1"/>
  <c r="S190" i="1"/>
  <c r="S786" i="1"/>
  <c r="S236" i="1"/>
  <c r="S270" i="1"/>
  <c r="S151" i="1"/>
  <c r="S255" i="1"/>
  <c r="S266" i="1"/>
  <c r="S238" i="1"/>
  <c r="S231" i="1"/>
  <c r="S229" i="1"/>
  <c r="S787" i="1"/>
  <c r="S793" i="1"/>
  <c r="S168" i="1"/>
  <c r="S154" i="1"/>
  <c r="S146" i="1"/>
  <c r="S169" i="1"/>
  <c r="S150" i="1"/>
  <c r="S242" i="1"/>
  <c r="S142" i="1"/>
  <c r="S199" i="1"/>
  <c r="S104" i="1"/>
  <c r="S100" i="1"/>
  <c r="S139" i="1"/>
  <c r="S196" i="1"/>
  <c r="S141" i="1"/>
  <c r="S801" i="1"/>
  <c r="S126" i="1"/>
  <c r="S197" i="1"/>
  <c r="S140" i="1"/>
  <c r="S218" i="1"/>
  <c r="S265" i="1"/>
  <c r="S98" i="1"/>
  <c r="S237" i="1"/>
  <c r="S170" i="1"/>
  <c r="S135" i="1"/>
  <c r="S215" i="1"/>
  <c r="S133" i="1"/>
  <c r="S261" i="1"/>
  <c r="S112" i="1"/>
  <c r="S132" i="1"/>
  <c r="S257" i="1"/>
  <c r="S113" i="1"/>
  <c r="S180" i="1"/>
  <c r="S102" i="1"/>
  <c r="S107" i="1"/>
  <c r="S802" i="1"/>
  <c r="S198" i="1"/>
  <c r="S187" i="1"/>
  <c r="S116" i="1"/>
  <c r="S97" i="1"/>
  <c r="S219" i="1"/>
  <c r="S222" i="1"/>
  <c r="S144" i="1"/>
  <c r="S172" i="1"/>
  <c r="S127" i="1"/>
  <c r="S125" i="1"/>
  <c r="S122" i="1"/>
  <c r="S162" i="1"/>
  <c r="S203" i="1"/>
  <c r="S204" i="1"/>
  <c r="S161" i="1"/>
  <c r="S123" i="1"/>
  <c r="S256" i="1"/>
  <c r="S99" i="1"/>
  <c r="S115" i="1"/>
  <c r="S206" i="1"/>
  <c r="S224" i="1"/>
  <c r="S106" i="1"/>
  <c r="S163" i="1"/>
  <c r="S111" i="1"/>
  <c r="S186" i="1"/>
  <c r="S175" i="1"/>
  <c r="S110" i="1"/>
  <c r="S243" i="1"/>
  <c r="S807" i="1"/>
  <c r="S223" i="1"/>
  <c r="S205" i="1"/>
  <c r="S121" i="1"/>
  <c r="S200" i="1"/>
  <c r="S210" i="1"/>
  <c r="S158" i="1"/>
  <c r="S267" i="1"/>
  <c r="S109" i="1"/>
  <c r="S105" i="1"/>
  <c r="S95" i="1"/>
  <c r="S103" i="1"/>
  <c r="S93" i="1"/>
  <c r="S91" i="1"/>
  <c r="S809" i="1"/>
  <c r="S785" i="1"/>
  <c r="S166" i="1"/>
  <c r="S92" i="1"/>
  <c r="S89" i="1"/>
  <c r="S90" i="1"/>
  <c r="S84" i="1"/>
  <c r="S96" i="1"/>
  <c r="S803" i="1"/>
  <c r="C803" i="1"/>
  <c r="D803" i="1"/>
  <c r="E803" i="1"/>
  <c r="E96" i="1"/>
  <c r="D96" i="1"/>
  <c r="C96" i="1"/>
  <c r="E84" i="1"/>
  <c r="D84" i="1"/>
  <c r="C84" i="1"/>
  <c r="E90" i="1"/>
  <c r="D90" i="1"/>
  <c r="C90" i="1"/>
  <c r="C89" i="1"/>
  <c r="D89" i="1"/>
  <c r="E89" i="1"/>
  <c r="C92" i="1"/>
  <c r="D92" i="1"/>
  <c r="E92" i="1"/>
  <c r="C91" i="1"/>
  <c r="D91" i="1"/>
  <c r="E91" i="1"/>
  <c r="C93" i="1"/>
  <c r="D93" i="1"/>
  <c r="E93" i="1"/>
  <c r="C103" i="1"/>
  <c r="D103" i="1"/>
  <c r="E103" i="1"/>
  <c r="C95" i="1"/>
  <c r="D95" i="1"/>
  <c r="E95" i="1"/>
  <c r="C105" i="1"/>
  <c r="D105" i="1"/>
  <c r="E105" i="1"/>
  <c r="C109" i="1"/>
  <c r="D109" i="1"/>
  <c r="E109" i="1"/>
  <c r="B146" i="10" l="1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98" i="1"/>
  <c r="D98" i="1"/>
  <c r="E98" i="1"/>
  <c r="C107" i="1" l="1"/>
  <c r="D107" i="1"/>
  <c r="E107" i="1"/>
  <c r="C102" i="1"/>
  <c r="D102" i="1"/>
  <c r="E102" i="1"/>
  <c r="C793" i="1"/>
  <c r="D793" i="1"/>
  <c r="E793" i="1"/>
  <c r="E106" i="1"/>
  <c r="D106" i="1"/>
  <c r="C106" i="1"/>
  <c r="E111" i="1"/>
  <c r="D111" i="1"/>
  <c r="C111" i="1"/>
  <c r="E110" i="1"/>
  <c r="D110" i="1"/>
  <c r="C110" i="1"/>
  <c r="C115" i="1"/>
  <c r="D115" i="1"/>
  <c r="E115" i="1"/>
  <c r="C113" i="1" l="1"/>
  <c r="D113" i="1"/>
  <c r="E113" i="1"/>
  <c r="C128" i="1"/>
  <c r="D128" i="1"/>
  <c r="E128" i="1"/>
  <c r="C118" i="1"/>
  <c r="D118" i="1"/>
  <c r="E118" i="1"/>
  <c r="C126" i="1" l="1"/>
  <c r="D126" i="1"/>
  <c r="E126" i="1"/>
  <c r="E135" i="1"/>
  <c r="D135" i="1"/>
  <c r="C135" i="1"/>
  <c r="C139" i="1"/>
  <c r="D139" i="1"/>
  <c r="E139" i="1"/>
  <c r="C785" i="1"/>
  <c r="D785" i="1"/>
  <c r="E785" i="1"/>
  <c r="E141" i="1" l="1"/>
  <c r="D141" i="1"/>
  <c r="C141" i="1"/>
  <c r="C144" i="1"/>
  <c r="D144" i="1"/>
  <c r="E144" i="1"/>
  <c r="C143" i="1" l="1"/>
  <c r="D143" i="1"/>
  <c r="E143" i="1"/>
  <c r="E146" i="1"/>
  <c r="D146" i="1"/>
  <c r="C146" i="1"/>
  <c r="C162" i="1" l="1"/>
  <c r="D162" i="1"/>
  <c r="E162" i="1"/>
  <c r="C809" i="1"/>
  <c r="D809" i="1"/>
  <c r="E809" i="1"/>
  <c r="C163" i="1"/>
  <c r="D163" i="1"/>
  <c r="E163" i="1"/>
  <c r="C174" i="1"/>
  <c r="D174" i="1"/>
  <c r="E174" i="1"/>
  <c r="C234" i="1" l="1"/>
  <c r="D234" i="1"/>
  <c r="E234" i="1"/>
  <c r="C795" i="1"/>
  <c r="D795" i="1"/>
  <c r="E795" i="1"/>
  <c r="C166" i="1" l="1"/>
  <c r="D166" i="1"/>
  <c r="E166" i="1"/>
  <c r="C169" i="1"/>
  <c r="D169" i="1"/>
  <c r="E169" i="1"/>
  <c r="C183" i="1"/>
  <c r="D183" i="1"/>
  <c r="E183" i="1"/>
  <c r="C175" i="1"/>
  <c r="D175" i="1"/>
  <c r="E175" i="1"/>
  <c r="C170" i="1"/>
  <c r="D170" i="1"/>
  <c r="E170" i="1"/>
  <c r="C787" i="1"/>
  <c r="D787" i="1"/>
  <c r="E787" i="1"/>
  <c r="C198" i="1"/>
  <c r="D198" i="1"/>
  <c r="E198" i="1"/>
  <c r="C215" i="1"/>
  <c r="D215" i="1"/>
  <c r="E215" i="1"/>
  <c r="C223" i="1"/>
  <c r="D223" i="1"/>
  <c r="E223" i="1"/>
  <c r="C224" i="1" l="1"/>
  <c r="D224" i="1"/>
  <c r="E224" i="1"/>
  <c r="C229" i="1"/>
  <c r="D229" i="1"/>
  <c r="E229" i="1"/>
  <c r="C231" i="1"/>
  <c r="D231" i="1"/>
  <c r="E231" i="1"/>
  <c r="C235" i="1"/>
  <c r="D235" i="1"/>
  <c r="E235" i="1"/>
  <c r="C237" i="1"/>
  <c r="D237" i="1"/>
  <c r="E237" i="1"/>
  <c r="C242" i="1"/>
  <c r="D242" i="1"/>
  <c r="E242" i="1"/>
  <c r="C238" i="1"/>
  <c r="D238" i="1"/>
  <c r="E238" i="1"/>
  <c r="C243" i="1"/>
  <c r="D243" i="1"/>
  <c r="E243" i="1"/>
  <c r="C255" i="1"/>
  <c r="D255" i="1"/>
  <c r="E255" i="1"/>
  <c r="E251" i="1"/>
  <c r="E189" i="1"/>
  <c r="E200" i="1"/>
  <c r="E206" i="1"/>
  <c r="E260" i="1"/>
  <c r="E265" i="1"/>
  <c r="E101" i="1"/>
  <c r="E250" i="1"/>
  <c r="E172" i="1"/>
  <c r="E230" i="1"/>
  <c r="E203" i="1"/>
  <c r="E204" i="1"/>
  <c r="E124" i="1"/>
  <c r="E145" i="1"/>
  <c r="E219" i="1"/>
  <c r="E130" i="1"/>
  <c r="E271" i="1"/>
  <c r="E208" i="1"/>
  <c r="E232" i="1"/>
  <c r="E193" i="1"/>
  <c r="E248" i="1"/>
  <c r="E214" i="1"/>
  <c r="E791" i="1"/>
  <c r="E185" i="1"/>
  <c r="E221" i="1"/>
  <c r="E202" i="1"/>
  <c r="E192" i="1"/>
  <c r="E159" i="1"/>
  <c r="E129" i="1"/>
  <c r="E254" i="1"/>
  <c r="E156" i="1"/>
  <c r="E258" i="1"/>
  <c r="E165" i="1"/>
  <c r="E799" i="1"/>
  <c r="E252" i="1"/>
  <c r="E86" i="1"/>
  <c r="E155" i="1"/>
  <c r="E798" i="1"/>
  <c r="E222" i="1"/>
  <c r="E259" i="1"/>
  <c r="E790" i="1"/>
  <c r="E188" i="1"/>
  <c r="E176" i="1"/>
  <c r="E268" i="1"/>
  <c r="E122" i="1"/>
  <c r="E246" i="1"/>
  <c r="E253" i="1"/>
  <c r="E149" i="1"/>
  <c r="E211" i="1"/>
  <c r="E114" i="1"/>
  <c r="E249" i="1"/>
  <c r="E119" i="1"/>
  <c r="E261" i="1"/>
  <c r="E171" i="1"/>
  <c r="E136" i="1"/>
  <c r="E810" i="1"/>
  <c r="E209" i="1"/>
  <c r="E147" i="1"/>
  <c r="E270" i="1"/>
  <c r="E794" i="1"/>
  <c r="E264" i="1"/>
  <c r="E178" i="1"/>
  <c r="E262" i="1"/>
  <c r="E788" i="1"/>
  <c r="E184" i="1"/>
  <c r="E213" i="1"/>
  <c r="E225" i="1"/>
  <c r="E272" i="1"/>
  <c r="E195" i="1"/>
  <c r="E187" i="1"/>
  <c r="E269" i="1"/>
  <c r="E797" i="1"/>
  <c r="E134" i="1"/>
  <c r="E148" i="1"/>
  <c r="E244" i="1"/>
  <c r="E201" i="1"/>
  <c r="E800" i="1"/>
  <c r="E241" i="1"/>
  <c r="E806" i="1"/>
  <c r="E152" i="1"/>
  <c r="E789" i="1"/>
  <c r="E161" i="1"/>
  <c r="E123" i="1"/>
  <c r="E199" i="1"/>
  <c r="E179" i="1"/>
  <c r="E104" i="1"/>
  <c r="E100" i="1"/>
  <c r="E154" i="1"/>
  <c r="E137" i="1"/>
  <c r="E127" i="1"/>
  <c r="E180" i="1"/>
  <c r="E257" i="1"/>
  <c r="E140" i="1"/>
  <c r="E191" i="1"/>
  <c r="E801" i="1"/>
  <c r="E158" i="1"/>
  <c r="E212" i="1"/>
  <c r="E226" i="1"/>
  <c r="E186" i="1"/>
  <c r="E807" i="1"/>
  <c r="E233" i="1"/>
  <c r="E240" i="1"/>
  <c r="E786" i="1"/>
  <c r="E194" i="1"/>
  <c r="E131" i="1"/>
  <c r="E157" i="1"/>
  <c r="E220" i="1"/>
  <c r="E217" i="1"/>
  <c r="E112" i="1"/>
  <c r="E218" i="1"/>
  <c r="E239" i="1"/>
  <c r="E168" i="1"/>
  <c r="E182" i="1"/>
  <c r="E802" i="1"/>
  <c r="E142" i="1"/>
  <c r="E205" i="1"/>
  <c r="E116" i="1"/>
  <c r="E97" i="1"/>
  <c r="E181" i="1"/>
  <c r="E151" i="1"/>
  <c r="E173" i="1"/>
  <c r="E132" i="1"/>
  <c r="E228" i="1"/>
  <c r="E245" i="1"/>
  <c r="E210" i="1"/>
  <c r="E150" i="1"/>
  <c r="E216" i="1"/>
  <c r="E99" i="1"/>
  <c r="E160" i="1"/>
  <c r="E190" i="1"/>
  <c r="E247" i="1"/>
  <c r="E207" i="1"/>
  <c r="E125" i="1"/>
  <c r="E164" i="1"/>
  <c r="E167" i="1"/>
  <c r="E236" i="1"/>
  <c r="E177" i="1"/>
  <c r="E266" i="1"/>
  <c r="E121" i="1"/>
  <c r="E792" i="1"/>
  <c r="E133" i="1"/>
  <c r="E153" i="1"/>
  <c r="E138" i="1"/>
  <c r="C261" i="1"/>
  <c r="D261" i="1"/>
  <c r="C270" i="1"/>
  <c r="D270" i="1"/>
  <c r="C265" i="1"/>
  <c r="D265" i="1"/>
  <c r="C172" i="1"/>
  <c r="D172" i="1"/>
  <c r="C250" i="1"/>
  <c r="D250" i="1"/>
  <c r="C186" i="1"/>
  <c r="D186" i="1"/>
  <c r="C187" i="1"/>
  <c r="D187" i="1"/>
  <c r="C206" i="1"/>
  <c r="D206" i="1"/>
  <c r="C204" i="1"/>
  <c r="D204" i="1"/>
  <c r="C203" i="1"/>
  <c r="D203" i="1"/>
  <c r="C200" i="1"/>
  <c r="D200" i="1"/>
  <c r="C210" i="1"/>
  <c r="D210" i="1"/>
  <c r="C205" i="1"/>
  <c r="D205" i="1"/>
  <c r="C222" i="1"/>
  <c r="D222" i="1"/>
  <c r="C219" i="1"/>
  <c r="D219" i="1"/>
  <c r="D251" i="1"/>
  <c r="D260" i="1"/>
  <c r="D138" i="1"/>
  <c r="D161" i="1"/>
  <c r="D101" i="1"/>
  <c r="D230" i="1"/>
  <c r="D124" i="1"/>
  <c r="D145" i="1"/>
  <c r="D130" i="1"/>
  <c r="D271" i="1"/>
  <c r="D208" i="1"/>
  <c r="D232" i="1"/>
  <c r="D193" i="1"/>
  <c r="D248" i="1"/>
  <c r="D214" i="1"/>
  <c r="D791" i="1"/>
  <c r="D185" i="1"/>
  <c r="D221" i="1"/>
  <c r="D202" i="1"/>
  <c r="D192" i="1"/>
  <c r="D159" i="1"/>
  <c r="D129" i="1"/>
  <c r="D254" i="1"/>
  <c r="D156" i="1"/>
  <c r="D258" i="1"/>
  <c r="D165" i="1"/>
  <c r="D799" i="1"/>
  <c r="D252" i="1"/>
  <c r="D86" i="1"/>
  <c r="D155" i="1"/>
  <c r="D798" i="1"/>
  <c r="D259" i="1"/>
  <c r="D790" i="1"/>
  <c r="D188" i="1"/>
  <c r="D176" i="1"/>
  <c r="D268" i="1"/>
  <c r="D122" i="1"/>
  <c r="D246" i="1"/>
  <c r="D253" i="1"/>
  <c r="D149" i="1"/>
  <c r="D211" i="1"/>
  <c r="D114" i="1"/>
  <c r="D249" i="1"/>
  <c r="D119" i="1"/>
  <c r="D171" i="1"/>
  <c r="D136" i="1"/>
  <c r="D810" i="1"/>
  <c r="D209" i="1"/>
  <c r="D147" i="1"/>
  <c r="D794" i="1"/>
  <c r="D264" i="1"/>
  <c r="D178" i="1"/>
  <c r="D262" i="1"/>
  <c r="D788" i="1"/>
  <c r="D184" i="1"/>
  <c r="D213" i="1"/>
  <c r="D225" i="1"/>
  <c r="D272" i="1"/>
  <c r="D195" i="1"/>
  <c r="D269" i="1"/>
  <c r="D797" i="1"/>
  <c r="D134" i="1"/>
  <c r="D148" i="1"/>
  <c r="D244" i="1"/>
  <c r="D201" i="1"/>
  <c r="D800" i="1"/>
  <c r="D241" i="1"/>
  <c r="D806" i="1"/>
  <c r="D152" i="1"/>
  <c r="D789" i="1"/>
  <c r="D123" i="1"/>
  <c r="D199" i="1"/>
  <c r="D179" i="1"/>
  <c r="D104" i="1"/>
  <c r="D100" i="1"/>
  <c r="D154" i="1"/>
  <c r="D137" i="1"/>
  <c r="D127" i="1"/>
  <c r="D180" i="1"/>
  <c r="D257" i="1"/>
  <c r="D140" i="1"/>
  <c r="D191" i="1"/>
  <c r="D801" i="1"/>
  <c r="D158" i="1"/>
  <c r="D212" i="1"/>
  <c r="D226" i="1"/>
  <c r="D807" i="1"/>
  <c r="D233" i="1"/>
  <c r="D240" i="1"/>
  <c r="D786" i="1"/>
  <c r="D194" i="1"/>
  <c r="D131" i="1"/>
  <c r="D157" i="1"/>
  <c r="D220" i="1"/>
  <c r="D217" i="1"/>
  <c r="D112" i="1"/>
  <c r="D218" i="1"/>
  <c r="D239" i="1"/>
  <c r="D168" i="1"/>
  <c r="D182" i="1"/>
  <c r="D802" i="1"/>
  <c r="D142" i="1"/>
  <c r="D116" i="1"/>
  <c r="D97" i="1"/>
  <c r="D181" i="1"/>
  <c r="D151" i="1"/>
  <c r="D173" i="1"/>
  <c r="D132" i="1"/>
  <c r="D228" i="1"/>
  <c r="D245" i="1"/>
  <c r="D150" i="1"/>
  <c r="D216" i="1"/>
  <c r="D99" i="1"/>
  <c r="D160" i="1"/>
  <c r="D190" i="1"/>
  <c r="D247" i="1"/>
  <c r="D207" i="1"/>
  <c r="D125" i="1"/>
  <c r="D164" i="1"/>
  <c r="D167" i="1"/>
  <c r="D236" i="1"/>
  <c r="D177" i="1"/>
  <c r="D266" i="1"/>
  <c r="D121" i="1"/>
  <c r="D792" i="1"/>
  <c r="D133" i="1"/>
  <c r="D153" i="1"/>
  <c r="C251" i="1"/>
  <c r="C260" i="1"/>
  <c r="C138" i="1"/>
  <c r="C161" i="1"/>
  <c r="C101" i="1"/>
  <c r="C230" i="1"/>
  <c r="C124" i="1"/>
  <c r="C145" i="1"/>
  <c r="C130" i="1"/>
  <c r="C271" i="1"/>
  <c r="C208" i="1"/>
  <c r="C232" i="1"/>
  <c r="C193" i="1"/>
  <c r="C248" i="1"/>
  <c r="C214" i="1"/>
  <c r="C791" i="1"/>
  <c r="C185" i="1"/>
  <c r="C221" i="1"/>
  <c r="C202" i="1"/>
  <c r="C192" i="1"/>
  <c r="C159" i="1"/>
  <c r="C129" i="1"/>
  <c r="C254" i="1"/>
  <c r="C156" i="1"/>
  <c r="C258" i="1"/>
  <c r="C165" i="1"/>
  <c r="C799" i="1"/>
  <c r="C252" i="1"/>
  <c r="C86" i="1"/>
  <c r="C155" i="1"/>
  <c r="C798" i="1"/>
  <c r="C259" i="1"/>
  <c r="C790" i="1"/>
  <c r="C188" i="1"/>
  <c r="C176" i="1"/>
  <c r="C268" i="1"/>
  <c r="C122" i="1"/>
  <c r="C246" i="1"/>
  <c r="C253" i="1"/>
  <c r="C149" i="1"/>
  <c r="C211" i="1"/>
  <c r="C114" i="1"/>
  <c r="C249" i="1"/>
  <c r="C119" i="1"/>
  <c r="C171" i="1"/>
  <c r="C136" i="1"/>
  <c r="C810" i="1"/>
  <c r="C209" i="1"/>
  <c r="C147" i="1"/>
  <c r="C794" i="1"/>
  <c r="C264" i="1"/>
  <c r="C178" i="1"/>
  <c r="C262" i="1"/>
  <c r="C788" i="1"/>
  <c r="C184" i="1"/>
  <c r="C213" i="1"/>
  <c r="C225" i="1"/>
  <c r="C272" i="1"/>
  <c r="C195" i="1"/>
  <c r="C269" i="1"/>
  <c r="C797" i="1"/>
  <c r="C134" i="1"/>
  <c r="C148" i="1"/>
  <c r="C244" i="1"/>
  <c r="C201" i="1"/>
  <c r="C800" i="1"/>
  <c r="C241" i="1"/>
  <c r="C806" i="1"/>
  <c r="C152" i="1"/>
  <c r="C789" i="1"/>
  <c r="C123" i="1"/>
  <c r="C199" i="1"/>
  <c r="C179" i="1"/>
  <c r="C104" i="1"/>
  <c r="C100" i="1"/>
  <c r="C154" i="1"/>
  <c r="C137" i="1"/>
  <c r="C127" i="1"/>
  <c r="C180" i="1"/>
  <c r="C257" i="1"/>
  <c r="C140" i="1"/>
  <c r="C191" i="1"/>
  <c r="C801" i="1"/>
  <c r="C158" i="1"/>
  <c r="C212" i="1"/>
  <c r="C226" i="1"/>
  <c r="C807" i="1"/>
  <c r="C233" i="1"/>
  <c r="C240" i="1"/>
  <c r="C786" i="1"/>
  <c r="C194" i="1"/>
  <c r="C131" i="1"/>
  <c r="C157" i="1"/>
  <c r="C220" i="1"/>
  <c r="C217" i="1"/>
  <c r="C112" i="1"/>
  <c r="C218" i="1"/>
  <c r="C239" i="1"/>
  <c r="C168" i="1"/>
  <c r="C182" i="1"/>
  <c r="C802" i="1"/>
  <c r="C142" i="1"/>
  <c r="C116" i="1"/>
  <c r="C97" i="1"/>
  <c r="C181" i="1"/>
  <c r="C151" i="1"/>
  <c r="C173" i="1"/>
  <c r="C132" i="1"/>
  <c r="C228" i="1"/>
  <c r="C245" i="1"/>
  <c r="C150" i="1"/>
  <c r="C216" i="1"/>
  <c r="C99" i="1"/>
  <c r="C160" i="1"/>
  <c r="C190" i="1"/>
  <c r="C247" i="1"/>
  <c r="C207" i="1"/>
  <c r="C125" i="1"/>
  <c r="C164" i="1"/>
  <c r="C167" i="1"/>
  <c r="C236" i="1"/>
  <c r="C177" i="1"/>
  <c r="C266" i="1"/>
  <c r="C121" i="1"/>
  <c r="C792" i="1"/>
  <c r="C133" i="1"/>
  <c r="C153" i="1"/>
  <c r="D189" i="1"/>
  <c r="C189" i="1"/>
</calcChain>
</file>

<file path=xl/sharedStrings.xml><?xml version="1.0" encoding="utf-8"?>
<sst xmlns="http://schemas.openxmlformats.org/spreadsheetml/2006/main" count="7418" uniqueCount="3470">
  <si>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</si>
  <si>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</si>
  <si>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</si>
  <si>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</si>
  <si>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</si>
  <si>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</si>
  <si>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</si>
  <si>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</si>
  <si>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</si>
  <si>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</si>
  <si>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</si>
  <si>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</si>
  <si>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</si>
  <si>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</si>
  <si>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</si>
  <si>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</si>
  <si>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</si>
  <si>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</si>
  <si>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</si>
  <si>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</si>
  <si>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</si>
  <si>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</si>
  <si>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</si>
  <si>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</si>
  <si>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</si>
  <si>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</si>
  <si>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</si>
  <si>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</si>
  <si>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</si>
  <si>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</si>
  <si>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</si>
  <si>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</si>
  <si>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</si>
  <si>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</si>
  <si>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</si>
  <si>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</si>
  <si>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</si>
  <si>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</si>
  <si>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</si>
  <si>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</si>
  <si>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</si>
  <si>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</si>
  <si>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</si>
  <si>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</si>
  <si>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</si>
  <si>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</si>
  <si>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</si>
  <si>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</si>
  <si>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</si>
  <si>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</si>
  <si>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</si>
  <si>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</si>
  <si>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</si>
  <si>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</si>
  <si>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</si>
  <si>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</si>
  <si>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</si>
  <si>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</si>
  <si>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</si>
  <si>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</si>
  <si>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</si>
  <si>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</si>
  <si>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</si>
  <si>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</si>
  <si>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</si>
  <si>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</si>
  <si>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</si>
  <si>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</si>
  <si>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</si>
  <si>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</si>
  <si>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</si>
  <si>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</si>
  <si>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</si>
  <si>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</si>
  <si>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</si>
  <si>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</si>
  <si>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</si>
  <si>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</si>
  <si>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</si>
  <si>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</si>
  <si>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</si>
  <si>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</si>
  <si>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</si>
  <si>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</si>
  <si>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</si>
  <si>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</si>
  <si>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</si>
  <si>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</si>
  <si>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</si>
  <si>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</si>
  <si>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</si>
  <si>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</si>
  <si>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</si>
  <si>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</si>
  <si>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</si>
  <si>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</si>
  <si>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</si>
  <si>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</si>
  <si>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</si>
  <si>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</si>
  <si>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</si>
  <si>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</si>
  <si>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</si>
  <si>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</si>
  <si>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</si>
  <si>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</si>
  <si>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</si>
  <si>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</si>
  <si>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</si>
  <si>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</si>
  <si>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</si>
  <si>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</si>
  <si>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</si>
  <si>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</si>
  <si>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</si>
  <si>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</si>
  <si>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</si>
  <si>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</si>
  <si>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</si>
  <si>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</si>
  <si>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</si>
  <si>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</si>
  <si>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</si>
  <si>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</si>
  <si>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</si>
  <si>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</si>
  <si>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</si>
  <si>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</si>
  <si>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</si>
  <si>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</si>
  <si>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</si>
  <si>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</si>
  <si>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</si>
  <si>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</si>
  <si>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</si>
  <si>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</si>
  <si>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</si>
  <si>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</si>
  <si>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</si>
  <si>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</si>
  <si>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</si>
  <si>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</si>
  <si>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</si>
  <si>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</si>
  <si>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</si>
  <si>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</si>
  <si>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</si>
  <si>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</si>
  <si>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</si>
  <si>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</si>
  <si>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</si>
  <si>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</si>
  <si>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</si>
  <si>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</si>
  <si>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</si>
  <si>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</si>
  <si>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</si>
  <si>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</si>
  <si>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</si>
  <si>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</si>
  <si>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</si>
  <si>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</si>
  <si>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</si>
  <si>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</si>
  <si>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</si>
  <si>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</si>
  <si>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</si>
  <si>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</si>
  <si>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</si>
  <si>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</si>
  <si>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</si>
  <si>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</si>
  <si>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</si>
  <si>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</si>
  <si>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</si>
  <si>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</si>
  <si>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</si>
  <si>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</si>
  <si>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</si>
  <si>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</si>
  <si>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</si>
  <si>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</si>
  <si>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</si>
  <si>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</si>
  <si>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</si>
  <si>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</si>
  <si>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</si>
  <si>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</si>
  <si>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</si>
  <si>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</si>
  <si>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</si>
  <si>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</si>
  <si>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</si>
  <si>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</si>
  <si>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</si>
  <si>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</si>
  <si>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</si>
  <si>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</si>
  <si>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</si>
  <si>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</si>
  <si>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</si>
  <si>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</si>
  <si>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</si>
  <si>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</si>
  <si>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</si>
  <si>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</si>
  <si>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</si>
  <si>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</si>
  <si>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</si>
  <si>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</si>
  <si>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</si>
  <si>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</si>
  <si>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</si>
  <si>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</si>
  <si>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</si>
  <si>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</si>
  <si>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</si>
  <si>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</si>
  <si>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</si>
  <si>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</si>
  <si>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</si>
  <si>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</si>
  <si>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</si>
  <si>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</si>
  <si>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</si>
  <si>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</si>
  <si>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</si>
  <si>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</si>
  <si>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</si>
  <si>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</si>
  <si>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</si>
  <si>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</si>
  <si>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</si>
  <si>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</si>
  <si>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</si>
  <si>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</si>
  <si>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</si>
  <si>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</si>
  <si>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</si>
  <si>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</si>
  <si>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</si>
  <si>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</si>
  <si>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</si>
  <si>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</si>
  <si>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</si>
  <si>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</si>
  <si>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</si>
  <si>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</si>
  <si>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</si>
  <si>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</si>
  <si>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</si>
  <si>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</si>
  <si>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</si>
  <si>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</si>
  <si>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</si>
  <si>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</si>
  <si>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</si>
  <si>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</si>
  <si>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</si>
  <si>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</si>
  <si>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</si>
  <si>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</si>
  <si>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</si>
  <si>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</si>
  <si>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</si>
  <si>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</si>
  <si>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</si>
  <si>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</si>
  <si>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</si>
  <si>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</si>
  <si>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</si>
  <si>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</si>
  <si>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</si>
  <si>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</si>
  <si>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</si>
  <si>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</si>
  <si>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</si>
  <si>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</si>
  <si>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</si>
  <si>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</si>
  <si>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</si>
  <si>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</si>
  <si>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</si>
  <si>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</si>
  <si>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</si>
  <si>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</si>
  <si>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</si>
  <si>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</si>
  <si>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</si>
  <si>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</si>
  <si>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</si>
  <si>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</si>
  <si>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</si>
  <si>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</si>
  <si>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</si>
  <si>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</si>
  <si>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</si>
  <si>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</si>
  <si>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</si>
  <si>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</si>
  <si>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</si>
  <si>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</si>
  <si>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</si>
  <si>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</si>
  <si>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</si>
  <si>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</si>
  <si>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</si>
  <si>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</si>
  <si>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</si>
  <si>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</si>
  <si>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</si>
  <si>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</si>
  <si>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</si>
  <si>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</si>
  <si>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</si>
  <si>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</si>
  <si>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</si>
  <si>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</si>
  <si>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</si>
  <si>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</si>
  <si>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</si>
  <si>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</si>
  <si>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</si>
  <si>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</si>
  <si>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</si>
  <si>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</si>
  <si>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</si>
  <si>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</si>
  <si>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</si>
  <si>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</si>
  <si>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</si>
  <si>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</si>
  <si>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</si>
  <si>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</si>
  <si>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</si>
  <si>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</si>
  <si>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</si>
  <si>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</si>
  <si>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</si>
  <si>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</si>
  <si>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</si>
  <si>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</si>
  <si>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</si>
  <si>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</si>
  <si>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</si>
  <si>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</si>
  <si>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</si>
  <si>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</si>
  <si>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</si>
  <si>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</si>
  <si>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</si>
  <si>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</si>
  <si>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</si>
  <si>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</si>
  <si>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</si>
  <si>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</si>
  <si>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</si>
  <si>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</si>
  <si>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</si>
  <si>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</si>
  <si>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</si>
  <si>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</si>
  <si>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</si>
  <si>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</si>
  <si>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</si>
  <si>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</si>
  <si>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</si>
  <si>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</si>
  <si>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</si>
  <si>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</si>
  <si>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</si>
  <si>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</si>
  <si>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</si>
  <si>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</si>
  <si>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</si>
  <si>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</si>
  <si>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</si>
  <si>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</si>
  <si>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</si>
  <si>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</si>
  <si>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</si>
  <si>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</si>
  <si>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</si>
  <si>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</si>
  <si>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</si>
  <si>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</si>
  <si>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</si>
  <si>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</si>
  <si>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</si>
  <si>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</si>
  <si>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</si>
  <si>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</si>
  <si>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</si>
  <si>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</si>
  <si>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</si>
  <si>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</si>
  <si>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</si>
  <si>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</si>
  <si>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</si>
  <si>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</si>
  <si>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</si>
  <si>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</si>
  <si>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</si>
  <si>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</si>
  <si>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</si>
  <si>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</si>
  <si>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</si>
  <si>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</si>
  <si>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</si>
  <si>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</si>
  <si>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</si>
  <si>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</si>
  <si>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</si>
  <si>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</si>
  <si>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</si>
  <si>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</si>
  <si>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</si>
  <si>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</si>
  <si>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</si>
  <si>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</si>
  <si>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</si>
  <si>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</si>
  <si>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</si>
  <si>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</si>
  <si>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</si>
  <si>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</si>
  <si>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</si>
  <si>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</si>
  <si>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</si>
  <si>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</si>
  <si>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</si>
  <si>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</si>
  <si>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</si>
  <si>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</si>
  <si>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</si>
  <si>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</si>
  <si>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</si>
  <si>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</si>
  <si>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</si>
  <si>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</si>
  <si>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</si>
  <si>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</si>
  <si>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</si>
  <si>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</si>
  <si>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</si>
  <si>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</si>
  <si>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</si>
  <si>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</si>
  <si>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</si>
  <si>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</si>
  <si>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</si>
  <si>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</si>
  <si>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</si>
  <si>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</si>
  <si>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</si>
  <si>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</si>
  <si>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</si>
  <si>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</si>
  <si>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</si>
  <si>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</si>
  <si>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</si>
  <si>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</si>
  <si>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</si>
  <si>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</si>
  <si>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</si>
  <si>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</si>
  <si>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</si>
  <si>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</si>
  <si>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</si>
  <si>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</si>
  <si>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</si>
  <si>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</si>
  <si>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</si>
  <si>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</si>
  <si>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</si>
  <si>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</si>
  <si>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</si>
  <si>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</si>
  <si>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</si>
  <si>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</si>
  <si>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</si>
  <si>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</si>
  <si>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</si>
  <si>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</si>
  <si>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</si>
  <si>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</si>
  <si>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</si>
  <si>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</si>
  <si>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</si>
  <si>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</si>
  <si>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</si>
  <si>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</si>
  <si>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</si>
  <si>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</si>
  <si>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</si>
  <si>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</si>
  <si>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</si>
  <si>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</si>
  <si>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</si>
  <si>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</si>
  <si>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</si>
  <si>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</si>
  <si>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</si>
  <si>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</si>
  <si>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</si>
  <si>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</si>
  <si>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</si>
  <si>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</si>
  <si>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</si>
  <si>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</si>
  <si>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</si>
  <si>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</si>
  <si>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</si>
  <si>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</si>
  <si>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</si>
  <si>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</si>
  <si>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</si>
  <si>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</si>
  <si>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</si>
  <si>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</si>
  <si>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</si>
  <si>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</si>
  <si>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</si>
  <si>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</si>
  <si>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</si>
  <si>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</si>
  <si>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</si>
  <si>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</si>
  <si>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</si>
  <si>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</si>
  <si>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</si>
  <si>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</si>
  <si>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</si>
  <si>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</si>
  <si>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</si>
  <si>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</si>
  <si>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</si>
  <si>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</si>
  <si>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</si>
  <si>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</si>
  <si>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</si>
  <si>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</si>
  <si>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</si>
  <si>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</si>
  <si>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</si>
  <si>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</si>
  <si>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</si>
  <si>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</si>
  <si>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</si>
  <si>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</si>
  <si>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</si>
  <si>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</si>
  <si>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</si>
  <si>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</si>
  <si>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</si>
  <si>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</si>
  <si>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</si>
  <si>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</si>
  <si>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</si>
  <si>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</si>
  <si>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</si>
  <si>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</si>
  <si>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</si>
  <si>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</si>
  <si>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</si>
  <si>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</si>
  <si>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</si>
  <si>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</si>
  <si>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</si>
  <si>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</si>
  <si>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</si>
  <si>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</si>
  <si>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</si>
  <si>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</si>
  <si>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</si>
  <si>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</si>
  <si>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</si>
  <si>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</si>
  <si>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</si>
  <si>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</si>
  <si>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</si>
  <si>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</si>
  <si>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</si>
  <si>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</si>
  <si>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</si>
  <si>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</si>
  <si>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</si>
  <si>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</si>
  <si>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</si>
  <si>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</si>
  <si>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</si>
  <si>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</si>
  <si>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</si>
  <si>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</si>
  <si>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</si>
  <si>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</si>
  <si>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</si>
  <si>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</si>
  <si>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</si>
  <si>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</si>
  <si>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</si>
  <si>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</si>
  <si>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</si>
  <si>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</si>
  <si>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</si>
  <si>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</si>
  <si>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</si>
  <si>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</si>
  <si>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</si>
  <si>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</si>
  <si>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</si>
  <si>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</si>
  <si>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</si>
  <si>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</si>
  <si>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</si>
  <si>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</si>
  <si>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</si>
  <si>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</si>
  <si>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</si>
  <si>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</si>
  <si>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</si>
  <si>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</si>
  <si>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</si>
  <si>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</si>
  <si>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</si>
  <si>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</si>
  <si>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</si>
  <si>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</si>
  <si>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</si>
  <si>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</si>
  <si>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</si>
  <si>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</si>
  <si>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</si>
  <si>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</si>
  <si>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</si>
  <si>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</si>
  <si>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</si>
  <si>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</si>
  <si>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</si>
  <si>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</si>
  <si>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</si>
  <si>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</si>
  <si>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</si>
  <si>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</si>
  <si>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</si>
  <si>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</si>
  <si>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</si>
  <si>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</si>
  <si>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</si>
  <si>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</si>
  <si>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</si>
  <si>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</si>
  <si>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</si>
  <si>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</si>
  <si>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</si>
  <si>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</si>
  <si>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</si>
  <si>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</si>
  <si>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</si>
  <si>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</si>
  <si>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</si>
  <si>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</si>
  <si>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</si>
  <si>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</si>
  <si>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</si>
  <si>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</si>
  <si>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</si>
  <si>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</si>
  <si>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</si>
  <si>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</si>
  <si>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</si>
  <si>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</si>
  <si>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</si>
  <si>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</si>
  <si>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</si>
  <si>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</si>
  <si>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</si>
  <si>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</si>
  <si>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</si>
  <si>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</si>
  <si>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</si>
  <si>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</si>
  <si>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</si>
  <si>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</si>
  <si>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</si>
  <si>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</si>
  <si>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</si>
  <si>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</si>
  <si>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</si>
  <si>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</si>
  <si>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</si>
  <si>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</si>
  <si>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</si>
  <si>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</si>
  <si>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</si>
  <si>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</si>
  <si>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</si>
  <si>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</si>
  <si>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</si>
  <si>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</si>
  <si>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</si>
  <si>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</si>
  <si>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</si>
  <si>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</si>
  <si>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</si>
  <si>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</si>
  <si>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</si>
  <si>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</si>
  <si>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</si>
  <si>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</si>
  <si>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</si>
  <si>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</si>
  <si>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</si>
  <si>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</si>
  <si>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</si>
  <si>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</si>
  <si>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</si>
  <si>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</si>
  <si>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</si>
  <si>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</si>
  <si>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</si>
  <si>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</si>
  <si>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</si>
  <si>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</si>
  <si>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</si>
  <si>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</si>
  <si>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</si>
  <si>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</si>
  <si>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</si>
  <si>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</si>
  <si>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</si>
  <si>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</si>
  <si>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</si>
  <si>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</si>
  <si>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</si>
  <si>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</si>
  <si>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</si>
  <si>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</si>
  <si>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</si>
  <si>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</si>
  <si>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</si>
  <si>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</si>
  <si>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</si>
  <si>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</si>
  <si>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</si>
  <si>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</si>
  <si>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</si>
  <si>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</si>
  <si>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</si>
  <si>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</si>
  <si>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</si>
  <si>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</si>
  <si>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</si>
  <si>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</si>
  <si>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</si>
  <si>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</si>
  <si>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</si>
  <si>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</si>
  <si>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</si>
  <si>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</si>
  <si>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</si>
  <si>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</si>
  <si>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</si>
  <si>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</si>
  <si>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</si>
  <si>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</si>
  <si>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</si>
  <si>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</si>
  <si>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</si>
  <si>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</si>
  <si>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</si>
  <si>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</si>
  <si>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</si>
  <si>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</si>
  <si>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</si>
  <si>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</si>
  <si>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</si>
  <si>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</si>
  <si>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</si>
  <si>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</si>
  <si>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</si>
  <si>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</si>
  <si>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</si>
  <si>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</si>
  <si>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</si>
  <si>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</si>
  <si>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</si>
  <si>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</si>
  <si>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</si>
  <si>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</si>
  <si>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</si>
  <si>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</si>
  <si>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</si>
  <si>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</si>
  <si>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</si>
  <si>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</si>
  <si>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</si>
  <si>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</si>
  <si>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</si>
  <si>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</si>
  <si>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</si>
  <si>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</si>
  <si>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</si>
  <si>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</si>
  <si>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</si>
  <si>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</si>
  <si>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</si>
  <si>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</si>
  <si>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</si>
  <si>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</si>
  <si>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</si>
  <si>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</si>
  <si>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</si>
  <si>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</si>
  <si>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</si>
  <si>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</si>
  <si>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</si>
  <si>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</si>
  <si>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</si>
  <si>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</si>
  <si>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</si>
  <si>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</si>
  <si>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</si>
  <si>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</si>
  <si>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</si>
  <si>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</si>
  <si>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</si>
  <si>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</si>
  <si>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</si>
  <si>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</si>
  <si>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</si>
  <si>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</si>
  <si>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</si>
  <si>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</si>
  <si>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</si>
  <si>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</si>
  <si>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</si>
  <si>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</si>
  <si>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</si>
  <si>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</si>
  <si>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</si>
  <si>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</si>
  <si>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</si>
  <si>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</si>
  <si>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</si>
  <si>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</si>
  <si>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</si>
  <si>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</si>
  <si>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</si>
  <si>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</si>
  <si>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</si>
  <si>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</si>
  <si>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</si>
  <si>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</si>
  <si>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</si>
  <si>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</si>
  <si>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</si>
  <si>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</si>
  <si>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</si>
  <si>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</si>
  <si>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</si>
  <si>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</si>
  <si>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</si>
  <si>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</si>
  <si>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</si>
  <si>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</si>
  <si>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</si>
  <si>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</si>
  <si>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</si>
  <si>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</si>
  <si>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</si>
  <si>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</si>
  <si>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</si>
  <si>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</si>
  <si>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</si>
  <si>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</si>
  <si>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</si>
  <si>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</si>
  <si>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</si>
  <si>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</si>
  <si>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</si>
  <si>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</si>
  <si>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</si>
  <si>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</si>
  <si>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</si>
  <si>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</si>
  <si>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</si>
  <si>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</si>
  <si>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</si>
  <si>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</si>
  <si>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</si>
  <si>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</si>
  <si>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</si>
  <si>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</si>
  <si>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</si>
  <si>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</si>
  <si>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</si>
  <si>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</si>
  <si>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</si>
  <si>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</si>
  <si>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</si>
  <si>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</si>
  <si>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</si>
  <si>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</si>
  <si>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</si>
  <si>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</si>
  <si>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</si>
  <si>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</si>
  <si>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</si>
  <si>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</si>
  <si>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</si>
  <si>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</si>
  <si>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</si>
  <si>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</si>
  <si>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</si>
  <si>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</si>
  <si>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</si>
  <si>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</si>
  <si>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</si>
  <si>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</si>
  <si>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</si>
  <si>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</si>
  <si>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</si>
  <si>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</si>
  <si>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</si>
  <si>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</si>
  <si>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</si>
  <si>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</si>
  <si>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</si>
  <si>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</si>
  <si>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</si>
  <si>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</si>
  <si>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</si>
  <si>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</si>
  <si>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</si>
  <si>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</si>
  <si>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</si>
  <si>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</si>
  <si>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</si>
  <si>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</si>
  <si>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</si>
  <si>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</si>
  <si>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</si>
  <si>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</si>
  <si>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</si>
  <si>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</si>
  <si>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</si>
  <si>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</si>
  <si>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</si>
  <si>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</si>
  <si>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</si>
  <si>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</si>
  <si>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</si>
  <si>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</si>
  <si>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</si>
  <si>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</si>
  <si>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</si>
  <si>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</si>
  <si>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</si>
  <si>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</si>
  <si>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</si>
  <si>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</si>
  <si>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</si>
  <si>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</si>
  <si>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</si>
  <si>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</si>
  <si>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</si>
  <si>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</si>
  <si>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</si>
  <si>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</si>
  <si>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</si>
  <si>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</si>
  <si>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</si>
  <si>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</si>
  <si>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</si>
  <si>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</si>
  <si>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</si>
  <si>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</si>
  <si>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</si>
  <si>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</si>
  <si>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</si>
  <si>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</si>
  <si>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</si>
  <si>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</si>
  <si>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</si>
  <si>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</si>
  <si>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</si>
  <si>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</si>
  <si>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</si>
  <si>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</si>
  <si>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</si>
  <si>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</si>
  <si>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</si>
  <si>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</si>
  <si>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</si>
  <si>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</si>
  <si>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</si>
  <si>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</si>
  <si>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</si>
  <si>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</si>
  <si>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</si>
  <si>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</si>
  <si>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</si>
  <si>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</si>
  <si>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</si>
  <si>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</si>
  <si>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</si>
  <si>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</si>
  <si>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</si>
  <si>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</si>
  <si>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</si>
  <si>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</si>
  <si>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</si>
  <si>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</si>
  <si>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</si>
  <si>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</si>
  <si>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</si>
  <si>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</si>
  <si>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</si>
  <si>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</si>
  <si>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</si>
  <si>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</si>
  <si>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</si>
  <si>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</si>
  <si>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</si>
  <si>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</si>
  <si>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</si>
  <si>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</si>
  <si>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</si>
  <si>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</si>
  <si>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</si>
  <si>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</si>
  <si>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</si>
  <si>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</si>
  <si>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</si>
  <si>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</si>
  <si>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</si>
  <si>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</si>
  <si>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</si>
  <si>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</si>
  <si>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</si>
  <si>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</si>
  <si>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</si>
  <si>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</si>
  <si>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</si>
  <si>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</si>
  <si>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</si>
  <si>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</si>
  <si>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</si>
  <si>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</si>
  <si>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</si>
  <si>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</si>
  <si>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</si>
  <si>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</si>
  <si>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</si>
  <si>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</si>
  <si>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</si>
  <si>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</si>
  <si>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</si>
  <si>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</si>
  <si>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</si>
  <si>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</si>
  <si>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</si>
  <si>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</si>
  <si>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</si>
  <si>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</si>
  <si>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</si>
  <si>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</si>
  <si>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</si>
  <si>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</si>
  <si>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</si>
  <si>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</si>
  <si>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</si>
  <si>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</si>
  <si>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</si>
  <si>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</si>
  <si>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</si>
  <si>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</si>
  <si>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</si>
  <si>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</si>
  <si>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</si>
  <si>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</si>
  <si>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</si>
  <si>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</si>
  <si>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</si>
  <si>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</si>
  <si>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</si>
  <si>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</si>
  <si>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</si>
  <si>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</si>
  <si>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</si>
  <si>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</si>
  <si>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</si>
  <si>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</si>
  <si>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</si>
  <si>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</si>
  <si>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</si>
  <si>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</si>
  <si>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</si>
  <si>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</si>
  <si>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</si>
  <si>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</si>
  <si>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</si>
  <si>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</si>
  <si>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</si>
  <si>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</si>
  <si>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</si>
  <si>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</si>
  <si>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</si>
  <si>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</si>
  <si>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</si>
  <si>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</si>
  <si>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</si>
  <si>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</si>
  <si>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</si>
  <si>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</si>
  <si>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</si>
  <si>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</si>
  <si>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</si>
  <si>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</si>
  <si>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</si>
  <si>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</si>
  <si>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</si>
  <si>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</si>
  <si>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</si>
  <si>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</si>
  <si>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</si>
  <si>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</si>
  <si>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</si>
  <si>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</si>
  <si>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</si>
  <si>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</si>
  <si>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</si>
  <si>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</si>
  <si>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</si>
  <si>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</si>
  <si>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</si>
  <si>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</si>
  <si>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</si>
  <si>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</si>
  <si>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</si>
  <si>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</si>
  <si>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</si>
  <si>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</si>
  <si>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</si>
  <si>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</si>
  <si>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</si>
  <si>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</si>
  <si>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</si>
  <si>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</si>
  <si>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</si>
  <si>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</si>
  <si>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</si>
  <si>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</si>
  <si>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</si>
  <si>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</si>
  <si>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</si>
  <si>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</si>
  <si>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</si>
  <si>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</si>
  <si>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</si>
  <si>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</si>
  <si>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</si>
  <si>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</si>
  <si>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</si>
  <si>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</si>
  <si>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</si>
  <si>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</si>
  <si>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</si>
  <si>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</si>
  <si>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</si>
  <si>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</si>
  <si>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</si>
  <si>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</si>
  <si>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</si>
  <si>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</si>
  <si>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</si>
  <si>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</si>
  <si>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</si>
  <si>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</si>
  <si>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</si>
  <si>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</si>
  <si>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</si>
  <si>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</si>
  <si>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</si>
  <si>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</si>
  <si>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</si>
  <si>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</si>
  <si>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</si>
  <si>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</si>
  <si>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</si>
  <si>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</si>
  <si>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</si>
  <si>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</si>
  <si>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</si>
  <si>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</si>
  <si>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</si>
  <si>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</si>
  <si>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</si>
  <si>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</si>
  <si>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</si>
  <si>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</si>
  <si>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</si>
  <si>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</si>
  <si>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</si>
  <si>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</si>
  <si>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</si>
  <si>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</si>
  <si>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</si>
  <si>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</si>
  <si>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</si>
  <si>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</si>
  <si>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</si>
  <si>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</si>
  <si>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</si>
  <si>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</si>
  <si>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</si>
  <si>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</si>
  <si>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</si>
  <si>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</si>
  <si>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</si>
  <si>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</si>
  <si>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</si>
  <si>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</si>
  <si>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</si>
  <si>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</si>
  <si>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</si>
  <si>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</si>
  <si>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</si>
  <si>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</si>
  <si>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</si>
  <si>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</si>
  <si>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</si>
  <si>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</si>
  <si>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</si>
  <si>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</si>
  <si>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</si>
  <si>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</si>
  <si>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</si>
  <si>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</si>
  <si>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</si>
  <si>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</si>
  <si>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</si>
  <si>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</si>
  <si>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</si>
  <si>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</si>
  <si>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</si>
  <si>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</si>
  <si>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</si>
  <si>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</si>
  <si>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</si>
  <si>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</si>
  <si>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</si>
  <si>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</si>
  <si>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</si>
  <si>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</si>
  <si>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</si>
  <si>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</si>
  <si>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</si>
  <si>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</si>
  <si>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</si>
  <si>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</si>
  <si>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</si>
  <si>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</si>
  <si>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</si>
  <si>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</si>
  <si>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</si>
  <si>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</si>
  <si>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</si>
  <si>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</si>
  <si>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</si>
  <si>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</si>
  <si>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</si>
  <si>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</si>
  <si>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</si>
  <si>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</si>
  <si>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</si>
  <si>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</si>
  <si>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</si>
  <si>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</si>
  <si>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</si>
  <si>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</si>
  <si>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</si>
  <si>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</si>
  <si>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</si>
  <si>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</si>
  <si>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</si>
  <si>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</si>
  <si>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</si>
  <si>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</si>
  <si>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</si>
  <si>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</si>
  <si>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</si>
  <si>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</si>
  <si>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</si>
  <si>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</si>
  <si>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</si>
  <si>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</si>
  <si>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</si>
  <si>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</si>
  <si>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</si>
  <si>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</si>
  <si>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</si>
  <si>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</si>
  <si>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</si>
  <si>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</si>
  <si>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</si>
  <si>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</si>
  <si>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</si>
  <si>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</si>
  <si>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</si>
  <si>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</si>
  <si>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</si>
  <si>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</si>
  <si>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</si>
  <si>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</si>
  <si>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</si>
  <si>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</si>
  <si>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</si>
  <si>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</si>
  <si>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</si>
  <si>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</si>
  <si>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</si>
  <si>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</si>
  <si>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</si>
  <si>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</si>
  <si>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</si>
  <si>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</si>
  <si>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</si>
  <si>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</si>
  <si>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</si>
  <si>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</si>
  <si>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</si>
  <si>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</si>
  <si>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</si>
  <si>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</si>
  <si>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</si>
  <si>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</si>
  <si>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</si>
  <si>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</si>
  <si>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</si>
  <si>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</si>
  <si>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</si>
  <si>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</si>
  <si>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</si>
  <si>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</si>
  <si>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</si>
  <si>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</si>
  <si>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</si>
  <si>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</si>
  <si>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</si>
  <si>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</si>
  <si>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</si>
  <si>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</si>
  <si>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</si>
  <si>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</si>
  <si>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</si>
  <si>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</si>
  <si>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</si>
  <si>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</si>
  <si>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</si>
  <si>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</si>
  <si>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</si>
  <si>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</si>
  <si>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</si>
  <si>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</si>
  <si>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</si>
  <si>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</si>
  <si>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</si>
  <si>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</si>
  <si>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</si>
  <si>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</si>
  <si>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</si>
  <si>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</si>
  <si>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</si>
  <si>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</si>
  <si>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</si>
  <si>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</si>
  <si>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</si>
  <si>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</si>
  <si>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</si>
  <si>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</si>
  <si>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</si>
  <si>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</si>
  <si>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</si>
  <si>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</si>
  <si>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</si>
  <si>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</si>
  <si>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</si>
  <si>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</si>
  <si>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</si>
  <si>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</si>
  <si>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</si>
  <si>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</si>
  <si>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</si>
  <si>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</si>
  <si>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</si>
  <si>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</si>
  <si>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</si>
  <si>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</si>
  <si>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</si>
  <si>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</si>
  <si>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</si>
  <si>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</si>
  <si>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</si>
  <si>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</si>
  <si>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</si>
  <si>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</si>
  <si>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</si>
  <si>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</si>
  <si>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</si>
  <si>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</si>
  <si>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</si>
  <si>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</si>
  <si>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</si>
  <si>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</si>
  <si>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</si>
  <si>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</si>
  <si>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</si>
  <si>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</si>
  <si>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</si>
  <si>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</si>
  <si>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</si>
  <si>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</si>
  <si>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</si>
  <si>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</si>
  <si>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</si>
  <si>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</si>
  <si>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</si>
  <si>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</si>
  <si>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</si>
  <si>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</si>
  <si>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</si>
  <si>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</si>
  <si>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</si>
  <si>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</si>
  <si>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</si>
  <si>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</si>
  <si>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</si>
  <si>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</si>
  <si>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</si>
  <si>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</si>
  <si>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</si>
  <si>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</si>
  <si>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</si>
  <si>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</si>
  <si>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</si>
  <si>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</si>
  <si>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</si>
  <si>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</si>
  <si>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</si>
  <si>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</si>
  <si>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</si>
  <si>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</si>
  <si>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</si>
  <si>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</si>
  <si>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</si>
  <si>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</si>
  <si>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</si>
  <si>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</si>
  <si>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</si>
  <si>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</si>
  <si>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</si>
  <si>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</si>
  <si>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</si>
  <si>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</si>
  <si>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</si>
  <si>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</si>
  <si>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</si>
  <si>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</si>
  <si>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</si>
  <si>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</si>
  <si>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</si>
  <si>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</si>
  <si>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</si>
  <si>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</si>
  <si>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</si>
  <si>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</si>
  <si>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</si>
  <si>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</si>
  <si>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</si>
  <si>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</si>
  <si>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</si>
  <si>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</si>
  <si>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</si>
  <si>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</si>
  <si>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</si>
  <si>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</si>
  <si>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</si>
  <si>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</si>
  <si>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</si>
  <si>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</si>
  <si>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</si>
  <si>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</si>
  <si>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</si>
  <si>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</si>
  <si>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</si>
  <si>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</si>
  <si>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</si>
  <si>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</si>
  <si>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</si>
  <si>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</si>
  <si>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</si>
  <si>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</si>
  <si>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</si>
  <si>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</si>
  <si>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</si>
  <si>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</si>
  <si>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</si>
  <si>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</si>
  <si>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</si>
  <si>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</si>
  <si>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</si>
  <si>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</si>
  <si>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</si>
  <si>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</si>
  <si>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</si>
  <si>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</si>
  <si>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</si>
  <si>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</si>
  <si>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</si>
  <si>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</si>
  <si>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</si>
  <si>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</si>
  <si>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</si>
  <si>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</si>
  <si>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</si>
  <si>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</si>
  <si>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</si>
  <si>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</si>
  <si>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</si>
  <si>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</si>
  <si>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</si>
  <si>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</si>
  <si>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</si>
  <si>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</si>
  <si>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</si>
  <si>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</si>
  <si>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</si>
  <si>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</si>
  <si>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</si>
  <si>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</si>
  <si>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</si>
  <si>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</si>
  <si>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</si>
  <si>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</si>
  <si>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</si>
  <si>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</si>
  <si>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</si>
  <si>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</si>
  <si>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</si>
  <si>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</si>
  <si>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</si>
  <si>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</si>
  <si>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</si>
  <si>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</si>
  <si>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</si>
  <si>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</si>
  <si>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</si>
  <si>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</si>
  <si>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</si>
  <si>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</si>
  <si>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</si>
  <si>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</si>
  <si>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</si>
  <si>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</si>
  <si>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</si>
  <si>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</si>
  <si>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</si>
  <si>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</si>
  <si>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</si>
  <si>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</si>
  <si>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</si>
  <si>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</si>
  <si>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</si>
  <si>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</si>
  <si>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</si>
  <si>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</si>
  <si>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</si>
  <si>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</si>
  <si>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</si>
  <si>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</si>
  <si>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</si>
  <si>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</si>
  <si>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</si>
  <si>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</si>
  <si>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</si>
  <si>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</si>
  <si>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</si>
  <si>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</si>
  <si>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</si>
  <si>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</si>
  <si>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</si>
  <si>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</si>
  <si>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</si>
  <si>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</si>
  <si>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</si>
  <si>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</si>
  <si>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</si>
  <si>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</si>
  <si>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</si>
  <si>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</si>
  <si>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</si>
  <si>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</si>
  <si>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</si>
  <si>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</si>
  <si>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</si>
  <si>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</si>
  <si>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</si>
  <si>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</si>
  <si>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</si>
  <si>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</si>
  <si>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</si>
  <si>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</si>
  <si>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</si>
  <si>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</si>
  <si>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</si>
  <si>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</si>
  <si>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</si>
  <si>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</si>
  <si>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</si>
  <si>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</si>
  <si>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</si>
  <si>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</si>
  <si>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</si>
  <si>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</si>
  <si>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</si>
  <si>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</si>
  <si>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</si>
  <si>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</si>
  <si>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</si>
  <si>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</si>
  <si>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</si>
  <si>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</si>
  <si>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</si>
  <si>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</si>
  <si>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</si>
  <si>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</si>
  <si>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</si>
  <si>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</si>
  <si>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</si>
  <si>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</si>
  <si>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</si>
  <si>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</si>
  <si>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</si>
  <si>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</si>
  <si>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</si>
  <si>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</si>
  <si>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</si>
  <si>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</si>
  <si>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</si>
  <si>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</si>
  <si>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</si>
  <si>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</si>
  <si>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</si>
  <si>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</si>
  <si>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</si>
  <si>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</si>
  <si>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</si>
  <si>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</si>
  <si>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</si>
  <si>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</si>
  <si>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</si>
  <si>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</si>
  <si>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</si>
  <si>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</si>
  <si>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</si>
  <si>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</si>
  <si>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</si>
  <si>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</si>
  <si>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</si>
  <si>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</si>
  <si>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</si>
  <si>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</si>
  <si>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</si>
  <si>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</si>
  <si>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</si>
  <si>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</si>
  <si>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</si>
  <si>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</si>
  <si>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</si>
  <si>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</si>
  <si>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</si>
  <si>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</si>
  <si>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</si>
  <si>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</si>
  <si>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</si>
  <si>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</si>
  <si>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</si>
  <si>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</si>
  <si>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</si>
  <si>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</si>
  <si>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</si>
  <si>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</si>
  <si>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</si>
  <si>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</si>
  <si>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</si>
  <si>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</si>
  <si>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</si>
  <si>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</si>
  <si>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</si>
  <si>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</si>
  <si>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</si>
  <si>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</si>
  <si>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</si>
  <si>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</si>
  <si>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</si>
  <si>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</si>
  <si>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</si>
  <si>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</si>
  <si>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</si>
  <si>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</si>
  <si>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</si>
  <si>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</si>
  <si>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</si>
  <si>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</si>
  <si>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</si>
  <si>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</si>
  <si>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</si>
  <si>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</si>
  <si>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</si>
  <si>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</si>
  <si>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</si>
  <si>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</si>
  <si>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</si>
  <si>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</si>
  <si>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</si>
  <si>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</si>
  <si>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</si>
  <si>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</si>
  <si>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</si>
  <si>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</si>
  <si>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</si>
  <si>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</si>
  <si>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</si>
  <si>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</si>
  <si>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</si>
  <si>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</si>
  <si>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</si>
  <si>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</si>
  <si>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</si>
  <si>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</si>
  <si>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</si>
  <si>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</si>
  <si>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</si>
  <si>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</si>
  <si>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</si>
  <si>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</si>
  <si>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</si>
  <si>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</si>
  <si>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</si>
  <si>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</si>
  <si>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</si>
  <si>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</si>
  <si>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</si>
  <si>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</si>
  <si>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</si>
  <si>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</si>
  <si>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</si>
  <si>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</si>
  <si>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</si>
  <si>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</si>
  <si>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</si>
  <si>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</si>
  <si>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</si>
  <si>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</si>
  <si>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</si>
  <si>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</si>
  <si>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</si>
  <si>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</si>
  <si>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</si>
  <si>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</si>
  <si>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</si>
  <si>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</si>
  <si>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</si>
  <si>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</si>
  <si>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</si>
  <si>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</si>
  <si>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</si>
  <si>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</si>
  <si>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</si>
  <si>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</si>
  <si>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</si>
  <si>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</si>
  <si>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</si>
  <si>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</si>
  <si>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</si>
  <si>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</si>
  <si>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</si>
  <si>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</si>
  <si>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</si>
  <si>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</si>
  <si>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</si>
  <si>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</si>
  <si>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</si>
  <si>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</si>
  <si>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</si>
  <si>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</si>
  <si>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</si>
  <si>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</si>
  <si>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</si>
  <si>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</si>
  <si>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</si>
  <si>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</si>
  <si>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</si>
  <si>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</si>
  <si>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</si>
  <si>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</si>
  <si>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</si>
  <si>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</si>
  <si>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</si>
  <si>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</si>
  <si>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</si>
  <si>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</si>
  <si>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</si>
  <si>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</si>
  <si>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</si>
  <si>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</si>
  <si>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</si>
  <si>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</si>
  <si>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</si>
  <si>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</si>
  <si>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</si>
  <si>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</si>
  <si>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</si>
  <si>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</si>
  <si>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</si>
  <si>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</si>
  <si>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</si>
  <si>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</si>
  <si>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</si>
  <si>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</si>
  <si>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</si>
  <si>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</si>
  <si>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</si>
  <si>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</si>
  <si>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</si>
  <si>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</si>
  <si>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</si>
  <si>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</si>
  <si>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</si>
  <si>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</si>
  <si>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</si>
  <si>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</si>
  <si>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</si>
  <si>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</si>
  <si>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</si>
  <si>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</si>
  <si>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</si>
  <si>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</si>
  <si>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</si>
  <si>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</si>
  <si>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</si>
  <si>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</si>
  <si>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</si>
  <si>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</si>
  <si>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</si>
  <si>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</si>
  <si>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</si>
  <si>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</si>
  <si>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</si>
  <si>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</si>
  <si>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</si>
  <si>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</si>
  <si>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</si>
  <si>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</si>
  <si>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</si>
  <si>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</si>
  <si>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</si>
  <si>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</si>
  <si>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</si>
  <si>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</si>
  <si>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</si>
  <si>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</si>
  <si>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</si>
  <si>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</si>
  <si>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</si>
  <si>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</si>
  <si>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</si>
  <si>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</si>
  <si>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</si>
  <si>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</si>
  <si>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</si>
  <si>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</si>
  <si>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</si>
  <si>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</si>
  <si>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</si>
  <si>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</si>
  <si>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</si>
  <si>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</si>
  <si>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</si>
  <si>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</si>
  <si>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</si>
  <si>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</si>
  <si>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</si>
  <si>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</si>
  <si>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</si>
  <si>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</si>
  <si>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</si>
  <si>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</si>
  <si>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</si>
  <si>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</si>
  <si>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</si>
  <si>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</si>
  <si>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</si>
  <si>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</si>
  <si>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</si>
  <si>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</si>
  <si>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</si>
  <si>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</si>
  <si>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</si>
  <si>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</si>
  <si>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</si>
  <si>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</si>
  <si>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</si>
  <si>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</si>
  <si>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</si>
  <si>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</si>
  <si>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</si>
  <si>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</si>
  <si>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</si>
  <si>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</si>
  <si>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</si>
  <si>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</si>
  <si>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</si>
  <si>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</si>
  <si>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</si>
  <si>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</si>
  <si>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</si>
  <si>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</si>
  <si>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</si>
  <si>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</si>
  <si>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</si>
  <si>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</si>
  <si>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</si>
  <si>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</si>
  <si>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</si>
  <si>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</si>
  <si>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</si>
  <si>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</si>
  <si>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</si>
  <si>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</si>
  <si>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</si>
  <si>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</si>
  <si>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</si>
  <si>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</si>
  <si>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</si>
  <si>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</si>
  <si>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</si>
  <si>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</si>
  <si>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</si>
  <si>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</si>
  <si>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</si>
  <si>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</si>
  <si>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</si>
  <si>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</si>
  <si>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</si>
  <si>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</si>
  <si>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</si>
  <si>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</si>
  <si>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</si>
  <si>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</si>
  <si>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</si>
  <si>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</si>
  <si>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</si>
  <si>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</si>
  <si>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</si>
  <si>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</si>
  <si>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</si>
  <si>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</si>
  <si>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</si>
  <si>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</si>
  <si>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</si>
  <si>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</si>
  <si>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</si>
  <si>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</si>
  <si>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</si>
  <si>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</si>
  <si>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</si>
  <si>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</si>
  <si>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</si>
  <si>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</si>
  <si>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</si>
  <si>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</si>
  <si>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</si>
  <si>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</si>
  <si>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</si>
  <si>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</si>
  <si>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</si>
  <si>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</si>
  <si>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</si>
  <si>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</si>
  <si>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</si>
  <si>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</si>
  <si>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</si>
  <si>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</si>
  <si>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</si>
  <si>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</si>
  <si>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</si>
  <si>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</si>
  <si>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</si>
  <si>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</si>
  <si>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</si>
  <si>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</si>
  <si>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</si>
  <si>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</si>
  <si>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</si>
  <si>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</si>
  <si>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</si>
  <si>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</si>
  <si>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</si>
  <si>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</si>
  <si>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</si>
  <si>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</si>
  <si>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</si>
  <si>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</si>
  <si>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</si>
  <si>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</si>
  <si>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</si>
  <si>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</si>
  <si>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</si>
  <si>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</si>
  <si>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</si>
  <si>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</si>
  <si>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</si>
  <si>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</si>
  <si>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</si>
  <si>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</si>
  <si>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</si>
  <si>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</si>
  <si>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</si>
  <si>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</si>
  <si>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</si>
  <si>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</si>
  <si>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</si>
  <si>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</si>
  <si>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</si>
  <si>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</si>
  <si>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</si>
  <si>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</si>
  <si>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</si>
  <si>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</si>
  <si>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</si>
  <si>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</si>
  <si>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</si>
  <si>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</si>
  <si>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</si>
  <si>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</si>
  <si>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</si>
  <si>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</si>
  <si>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</si>
  <si>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</si>
  <si>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</si>
  <si>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</si>
  <si>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</si>
  <si>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</si>
  <si>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</si>
  <si>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</si>
  <si>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</si>
  <si>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</si>
  <si>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</si>
  <si>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</si>
  <si>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</si>
  <si>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</si>
  <si>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</si>
  <si>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</si>
  <si>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</si>
  <si>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</si>
  <si>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</si>
  <si>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</si>
  <si>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</si>
  <si>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</si>
  <si>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</si>
  <si>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</si>
  <si>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</si>
  <si>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</si>
  <si>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</si>
  <si>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</si>
  <si>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</si>
  <si>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</si>
  <si>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</si>
  <si>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</si>
  <si>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</si>
  <si>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</si>
  <si>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</si>
  <si>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</si>
  <si>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</si>
  <si>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</si>
  <si>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</si>
  <si>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</si>
  <si>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</si>
  <si>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</si>
  <si>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</si>
  <si>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</si>
  <si>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</si>
  <si>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</si>
  <si>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</si>
  <si>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</si>
  <si>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</si>
  <si>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</si>
  <si>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</si>
  <si>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</si>
  <si>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</si>
  <si>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</si>
  <si>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</si>
  <si>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</si>
  <si>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</si>
  <si>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</si>
  <si>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</si>
  <si>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</si>
  <si>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</si>
  <si>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</si>
  <si>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</si>
  <si>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</si>
  <si>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</si>
  <si>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</si>
  <si>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</si>
  <si>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</si>
  <si>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</si>
  <si>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</si>
  <si>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</si>
  <si>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</si>
  <si>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</si>
  <si>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</si>
  <si>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</si>
  <si>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</si>
  <si>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</si>
  <si>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</si>
  <si>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</si>
  <si>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</si>
  <si>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</si>
  <si>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</si>
  <si>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</si>
  <si>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</si>
  <si>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</si>
  <si>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</si>
  <si>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</si>
  <si>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</si>
  <si>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</si>
  <si>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</si>
  <si>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</si>
  <si>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</si>
  <si>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</si>
  <si>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</si>
  <si>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</si>
  <si>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</si>
  <si>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</si>
  <si>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</si>
  <si>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</si>
  <si>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</si>
  <si>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</si>
  <si>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</si>
  <si>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</si>
  <si>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</si>
  <si>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</si>
  <si>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</si>
  <si>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</si>
  <si>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</si>
  <si>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</si>
  <si>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</si>
  <si>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</si>
  <si>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</si>
  <si>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</si>
  <si>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</si>
  <si>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</si>
  <si>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</si>
  <si>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</si>
  <si>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</si>
  <si>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</si>
  <si>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</si>
  <si>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</si>
  <si>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</si>
  <si>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</si>
  <si>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</si>
  <si>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</si>
  <si>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</si>
  <si>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</si>
  <si>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</si>
  <si>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</si>
  <si>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</si>
  <si>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</si>
  <si>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</si>
  <si>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</si>
  <si>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</si>
  <si>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</si>
  <si>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</si>
  <si>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</si>
  <si>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</si>
  <si>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</si>
  <si>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</si>
  <si>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</si>
  <si>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</si>
  <si>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</si>
  <si>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</si>
  <si>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</si>
  <si>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</si>
  <si>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</si>
  <si>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</si>
  <si>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</si>
  <si>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</si>
  <si>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</si>
  <si>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</si>
  <si>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</si>
  <si>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</si>
  <si>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</si>
  <si>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</si>
  <si>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</si>
  <si>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</si>
  <si>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</si>
  <si>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</si>
  <si>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</si>
  <si>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</si>
  <si>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</si>
  <si>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</si>
  <si>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</si>
  <si>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</si>
  <si>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</si>
  <si>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</si>
  <si>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</si>
  <si>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</si>
  <si>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</si>
  <si>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</si>
  <si>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</si>
  <si>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</si>
  <si>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</si>
  <si>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</si>
  <si>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</si>
  <si>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</si>
  <si>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</si>
  <si>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</si>
  <si>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</si>
  <si>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</si>
  <si>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</si>
  <si>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</si>
  <si>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</si>
  <si>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</si>
  <si>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</si>
  <si>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</si>
  <si>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</si>
  <si>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</si>
  <si>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</si>
  <si>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</si>
  <si>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</si>
  <si>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</si>
  <si>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</si>
  <si>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</si>
  <si>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</si>
  <si>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</si>
  <si>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</si>
  <si>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</si>
  <si>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</si>
  <si>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</si>
  <si>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</si>
  <si>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</si>
  <si>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</si>
  <si>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</si>
  <si>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</si>
  <si>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</si>
  <si>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</si>
  <si>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</si>
  <si>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</si>
  <si>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</si>
  <si>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</si>
  <si>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</si>
  <si>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</si>
  <si>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</si>
  <si>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</si>
  <si>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</si>
  <si>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</si>
  <si>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</si>
  <si>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</si>
  <si>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</si>
  <si>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</si>
  <si>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</si>
  <si>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</si>
  <si>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</si>
  <si>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</si>
  <si>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</si>
  <si>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</si>
  <si>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</si>
  <si>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</si>
  <si>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</si>
  <si>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</si>
  <si>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</si>
  <si>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</si>
  <si>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</si>
  <si>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</si>
  <si>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</si>
  <si>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</si>
  <si>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</si>
  <si>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</si>
  <si>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</si>
  <si>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</si>
  <si>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</si>
  <si>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</si>
  <si>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</si>
  <si>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</si>
  <si>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</si>
  <si>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</si>
  <si>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</si>
  <si>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</si>
  <si>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</si>
  <si>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</si>
  <si>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</si>
  <si>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</si>
  <si>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</si>
  <si>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</si>
  <si>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</si>
  <si>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</si>
  <si>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</si>
  <si>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</si>
  <si>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</si>
  <si>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</si>
  <si>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</si>
  <si>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</si>
  <si>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</si>
  <si>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</si>
  <si>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</si>
  <si>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</si>
  <si>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</si>
  <si>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</si>
  <si>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</si>
  <si>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</si>
  <si>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</si>
  <si>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</si>
  <si>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</si>
  <si>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</si>
  <si>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</si>
  <si>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</si>
  <si>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</si>
  <si>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</si>
  <si>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</si>
  <si>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</si>
  <si>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</si>
  <si>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</si>
  <si>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</si>
  <si>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</si>
  <si>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</si>
  <si>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</si>
  <si>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</si>
  <si>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</si>
  <si>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</si>
  <si>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</si>
  <si>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</si>
  <si>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</si>
  <si>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</si>
  <si>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</si>
  <si>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</si>
  <si>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</si>
  <si>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</si>
  <si>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</si>
  <si>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</si>
  <si>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</si>
  <si>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</si>
  <si>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</si>
  <si>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</si>
  <si>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</si>
  <si>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</si>
  <si>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</si>
  <si>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</si>
  <si>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</si>
  <si>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</si>
  <si>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</si>
  <si>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</si>
  <si>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</si>
  <si>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</si>
  <si>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</si>
  <si>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</si>
  <si>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</si>
  <si>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</si>
  <si>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</si>
  <si>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</si>
  <si>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</si>
  <si>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</si>
  <si>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</si>
  <si>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</si>
  <si>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</si>
  <si>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</si>
  <si>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</si>
  <si>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</si>
  <si>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</si>
  <si>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</si>
  <si>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</si>
  <si>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</si>
  <si>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</si>
  <si>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</si>
  <si>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</si>
  <si>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</si>
  <si>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</si>
  <si>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</si>
  <si>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</si>
  <si>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</si>
  <si>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</si>
  <si>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</si>
  <si>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</si>
  <si>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</si>
  <si>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</si>
  <si>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</si>
  <si>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</si>
  <si>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</si>
  <si>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</si>
  <si>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</si>
  <si>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</si>
  <si>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</si>
  <si>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</si>
  <si>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</si>
  <si>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</si>
  <si>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</si>
  <si>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</si>
  <si>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</si>
  <si>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</si>
  <si>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</si>
  <si>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</si>
  <si>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</si>
  <si>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</si>
  <si>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</si>
  <si>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</si>
  <si>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</si>
  <si>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</si>
  <si>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</si>
  <si>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</si>
  <si>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</si>
  <si>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</si>
  <si>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</si>
  <si>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</si>
  <si>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</si>
  <si>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</si>
  <si>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</si>
  <si>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</si>
  <si>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</si>
  <si>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</si>
  <si>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</si>
  <si>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</si>
  <si>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</si>
  <si>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</si>
  <si>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</si>
  <si>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</si>
  <si>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</si>
  <si>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</si>
  <si>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</si>
  <si>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</si>
  <si>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</si>
  <si>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</si>
  <si>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</si>
  <si>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</si>
  <si>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</si>
  <si>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</si>
  <si>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</si>
  <si>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</si>
  <si>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</si>
  <si>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</si>
  <si>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</si>
  <si>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</si>
  <si>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</si>
  <si>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</si>
  <si>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</si>
  <si>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</si>
  <si>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</si>
  <si>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</si>
  <si>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</si>
  <si>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</si>
  <si>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</si>
  <si>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</si>
  <si>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</si>
  <si>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</si>
  <si>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</si>
  <si>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</si>
  <si>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</si>
  <si>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</si>
  <si>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</si>
  <si>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</si>
  <si>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</si>
  <si>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</si>
  <si>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</si>
  <si>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</si>
  <si>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</si>
  <si>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</si>
  <si>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</si>
  <si>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</si>
  <si>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</si>
  <si>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</si>
  <si>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</si>
  <si>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</si>
  <si>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</si>
  <si>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</si>
  <si>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</si>
  <si>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</si>
  <si>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</si>
  <si>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</si>
  <si>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</si>
  <si>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</si>
  <si>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</si>
  <si>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</si>
  <si>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</si>
  <si>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</si>
  <si>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</si>
  <si>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</si>
  <si>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</si>
  <si>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</si>
  <si>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</si>
  <si>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</si>
  <si>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</si>
  <si>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</si>
  <si>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</si>
  <si>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</si>
  <si>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</si>
  <si>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</si>
  <si>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</si>
  <si>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</si>
  <si>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</si>
  <si>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</si>
  <si>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</si>
  <si>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</si>
  <si>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</si>
  <si>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</si>
  <si>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</si>
  <si>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</si>
  <si>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</si>
  <si>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</si>
  <si>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</si>
  <si>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</si>
  <si>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</si>
  <si>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</si>
  <si>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</si>
  <si>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</si>
  <si>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</si>
  <si>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</si>
  <si>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</si>
  <si>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</si>
  <si>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</si>
  <si>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</si>
  <si>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</si>
  <si>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</si>
  <si>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</si>
  <si>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</si>
  <si>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</si>
  <si>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</si>
  <si>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</si>
  <si>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</si>
  <si>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</si>
  <si>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</si>
  <si>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</si>
  <si>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</si>
  <si>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</si>
  <si>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</si>
  <si>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</si>
  <si>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</si>
  <si>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</si>
  <si>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</si>
  <si>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</si>
  <si>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</si>
  <si>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</si>
  <si>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</si>
  <si>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</si>
  <si>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</si>
  <si>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</si>
  <si>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</si>
  <si>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</si>
  <si>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</si>
  <si>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</si>
  <si>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</si>
  <si>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</si>
  <si>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</si>
  <si>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</si>
  <si>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</si>
  <si>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</si>
  <si>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</si>
  <si>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</si>
  <si>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</si>
  <si>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</si>
  <si>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</si>
  <si>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</si>
  <si>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</si>
  <si>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</si>
  <si>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</si>
  <si>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</si>
  <si>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</si>
  <si>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</si>
  <si>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</si>
  <si>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</si>
  <si>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</si>
  <si>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</si>
  <si>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</si>
  <si>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</si>
  <si>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</si>
  <si>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</si>
  <si>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</si>
  <si>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</si>
  <si>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</si>
  <si>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</si>
  <si>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</si>
  <si>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</si>
  <si>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</si>
  <si>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</si>
  <si>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</si>
  <si>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</si>
  <si>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</si>
  <si>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</si>
  <si>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</si>
  <si>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</si>
  <si>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</si>
  <si>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</si>
  <si>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</si>
  <si>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</si>
  <si>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</si>
  <si>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</si>
  <si>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</si>
  <si>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</si>
  <si>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</si>
  <si>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</si>
  <si>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</si>
  <si>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</si>
  <si>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</si>
  <si>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</si>
  <si>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</si>
  <si>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</si>
  <si>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</si>
  <si>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</si>
  <si>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</si>
  <si>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</si>
  <si>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</si>
  <si>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</si>
  <si>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</si>
  <si>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</si>
  <si>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</si>
  <si>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</si>
  <si>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</si>
  <si>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</si>
  <si>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</si>
  <si>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</si>
  <si>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</si>
  <si>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</si>
  <si>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</si>
  <si>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</si>
  <si>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</si>
  <si>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</si>
  <si>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</si>
  <si>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</si>
  <si>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</si>
  <si>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</si>
  <si>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</si>
  <si>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</si>
  <si>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</si>
  <si>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</si>
  <si>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</si>
  <si>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</si>
  <si>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</si>
  <si>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</si>
  <si>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</si>
  <si>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</si>
  <si>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</si>
  <si>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</si>
  <si>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</si>
  <si>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</si>
  <si>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</si>
  <si>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</si>
  <si>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</si>
  <si>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</si>
  <si>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</si>
  <si>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</si>
  <si>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</si>
  <si>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</si>
  <si>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</si>
  <si>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</si>
  <si>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</si>
  <si>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</si>
  <si>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</si>
  <si>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</si>
  <si>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</si>
  <si>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</si>
  <si>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</si>
  <si>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</si>
  <si>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</si>
  <si>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</si>
  <si>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</si>
  <si>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</si>
  <si>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</si>
  <si>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</si>
  <si>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</si>
  <si>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</si>
  <si>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</si>
  <si>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</si>
  <si>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</si>
  <si>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</si>
  <si>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</si>
  <si>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</si>
  <si>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</si>
  <si>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</si>
  <si>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</si>
  <si>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</si>
  <si>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</si>
  <si>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</si>
  <si>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</si>
  <si>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</si>
  <si>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</si>
  <si>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</si>
  <si>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</si>
  <si>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</si>
  <si>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</si>
  <si>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</si>
  <si>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</si>
  <si>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</si>
  <si>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</si>
  <si>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</si>
  <si>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</si>
  <si>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</si>
  <si>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</si>
  <si>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</si>
  <si>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</si>
  <si>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</si>
  <si>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</si>
  <si>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</si>
  <si>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</si>
  <si>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</si>
  <si>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</si>
  <si>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</si>
  <si>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</si>
  <si>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</si>
  <si>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</si>
  <si>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</si>
  <si>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</si>
  <si>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</si>
  <si>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</si>
  <si>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</si>
  <si>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</si>
  <si>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</si>
  <si>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</si>
  <si>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</si>
  <si>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</si>
  <si>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</si>
  <si>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</si>
  <si>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</si>
  <si>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</si>
  <si>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</si>
  <si>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</si>
  <si>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</si>
  <si>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</si>
  <si>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</si>
  <si>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</si>
  <si>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</si>
  <si>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</si>
  <si>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</si>
  <si>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</si>
  <si>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</si>
  <si>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</si>
  <si>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</si>
  <si>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</si>
  <si>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</si>
  <si>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</si>
  <si>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</si>
  <si>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</si>
  <si>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</si>
  <si>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</si>
  <si>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</si>
  <si>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</si>
  <si>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</si>
  <si>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</si>
  <si>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</si>
  <si>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</si>
  <si>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</si>
  <si>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</si>
  <si>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</si>
  <si>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</si>
  <si>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</si>
  <si>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</si>
  <si>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</si>
  <si>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</si>
  <si>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</si>
  <si>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</si>
  <si>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</si>
  <si>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</si>
  <si>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</si>
  <si>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</si>
  <si>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</si>
  <si>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</si>
  <si>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</si>
  <si>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</si>
  <si>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</si>
  <si>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</si>
  <si>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</si>
  <si>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</si>
  <si>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</si>
  <si>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</si>
  <si>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</si>
  <si>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</si>
  <si>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</si>
  <si>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</si>
  <si>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</si>
  <si>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</si>
  <si>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</si>
  <si>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</si>
  <si>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</si>
  <si>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</si>
  <si>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</si>
  <si>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</si>
  <si>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</si>
  <si>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</si>
  <si>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</si>
  <si>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</si>
  <si>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</si>
  <si>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</si>
  <si>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</si>
  <si>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</si>
  <si>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</si>
  <si>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</si>
  <si>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</si>
  <si>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</si>
  <si>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</si>
  <si>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</si>
  <si>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</si>
  <si>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</si>
  <si>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</si>
  <si>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</si>
  <si>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</si>
  <si>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</si>
  <si>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</si>
  <si>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</si>
  <si>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</si>
  <si>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</si>
  <si>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</si>
  <si>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</si>
  <si>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</si>
  <si>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</si>
  <si>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</si>
  <si>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</si>
  <si>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</si>
  <si>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</si>
  <si>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</si>
  <si>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</si>
  <si>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</si>
  <si>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</si>
  <si>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</si>
  <si>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</si>
  <si>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</si>
  <si>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</si>
  <si>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</si>
  <si>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</si>
  <si>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</si>
  <si>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</si>
  <si>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</si>
  <si>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</si>
  <si>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</si>
  <si>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</si>
  <si>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</si>
  <si>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</si>
  <si>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</si>
  <si>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</si>
  <si>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</si>
  <si>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</si>
  <si>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</si>
  <si>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</si>
  <si>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</si>
  <si>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</si>
  <si>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</si>
  <si>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</si>
  <si>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</si>
  <si>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</si>
  <si>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</si>
  <si>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</si>
  <si>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</si>
  <si>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</si>
  <si>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</si>
  <si>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</si>
  <si>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</si>
  <si>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</si>
  <si>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</si>
  <si>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</si>
  <si>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</si>
  <si>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</si>
  <si>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</si>
  <si>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</si>
  <si>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</si>
  <si>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</si>
  <si>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</si>
  <si>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</si>
  <si>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</si>
  <si>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</si>
  <si>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</si>
  <si>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</si>
  <si>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</si>
  <si>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</si>
  <si>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</si>
  <si>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</si>
  <si>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</si>
  <si>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</si>
  <si>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</si>
  <si>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</si>
  <si>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</si>
  <si>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</si>
  <si>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</si>
  <si>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</si>
  <si>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</si>
  <si>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</si>
  <si>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</si>
  <si>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</si>
  <si>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</si>
  <si>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</si>
  <si>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</si>
  <si>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</si>
  <si>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</si>
  <si>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</si>
  <si>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</si>
  <si>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</si>
  <si>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</si>
  <si>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</si>
  <si>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</si>
  <si>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</si>
  <si>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</si>
  <si>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</si>
  <si>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</si>
  <si>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</si>
  <si>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</si>
  <si>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</si>
  <si>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</si>
  <si>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</si>
  <si>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</si>
  <si>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</si>
  <si>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</si>
  <si>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</si>
  <si>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</si>
  <si>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</si>
  <si>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</si>
  <si>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</si>
  <si>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</si>
  <si>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</si>
  <si>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</si>
  <si>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</si>
  <si>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</si>
  <si>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</si>
  <si>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</si>
  <si>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</si>
  <si>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</si>
  <si>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</si>
  <si>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</si>
  <si>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</si>
  <si>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</si>
  <si>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</si>
  <si>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</si>
  <si>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</si>
  <si>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</si>
  <si>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</si>
  <si>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</si>
  <si>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</si>
  <si>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</si>
  <si>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</si>
  <si>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</si>
  <si>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</si>
  <si>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</si>
  <si>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</si>
  <si>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</si>
  <si>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</si>
  <si>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</si>
  <si>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</si>
  <si>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</si>
  <si>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</si>
  <si>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</si>
  <si>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</si>
  <si>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</si>
  <si>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</si>
  <si>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</si>
  <si>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</si>
  <si>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</si>
  <si>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</si>
  <si>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</si>
  <si>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</si>
  <si>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</si>
  <si>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</si>
  <si>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</si>
  <si>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</si>
  <si>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</si>
  <si>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</si>
  <si>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</si>
  <si>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</si>
  <si>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</si>
  <si>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</si>
  <si>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</si>
  <si>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</si>
  <si>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</si>
  <si>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</si>
  <si>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</si>
  <si>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</si>
  <si>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</si>
  <si>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</si>
  <si>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</si>
  <si>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</si>
  <si>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</si>
  <si>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</si>
  <si>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</si>
  <si>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</si>
  <si>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</si>
  <si>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</si>
  <si>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</si>
  <si>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</si>
  <si>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</si>
  <si>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</si>
  <si>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</si>
  <si>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</si>
  <si>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</si>
  <si>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</si>
  <si>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</si>
  <si>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</si>
  <si>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</si>
  <si>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</si>
  <si>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</si>
  <si>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</si>
  <si>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</si>
  <si>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</si>
  <si>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</si>
  <si>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</si>
  <si>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</si>
  <si>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</si>
  <si>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</si>
  <si>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</si>
  <si>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</si>
  <si>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</si>
  <si>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</si>
  <si>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</si>
  <si>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</si>
  <si>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</si>
  <si>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</si>
  <si>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</si>
  <si>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</si>
  <si>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</si>
  <si>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</si>
  <si>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</si>
  <si>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</si>
  <si>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</si>
  <si>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</si>
  <si>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</si>
  <si>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</si>
  <si>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</si>
  <si>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</si>
  <si>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</si>
  <si>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</si>
  <si>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</si>
  <si>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</si>
  <si>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</si>
  <si>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</si>
  <si>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</si>
  <si>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</si>
  <si>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</si>
  <si>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</si>
  <si>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</si>
  <si>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</si>
  <si>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</si>
  <si>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</si>
  <si>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</si>
  <si>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</si>
  <si>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</si>
  <si>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</si>
  <si>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</si>
  <si>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</si>
  <si>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</si>
  <si>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</si>
  <si>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</si>
  <si>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</si>
  <si>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</si>
  <si>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</si>
  <si>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</si>
  <si>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</si>
  <si>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</si>
  <si>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</si>
  <si>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</si>
  <si>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</si>
  <si>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</si>
  <si>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</si>
  <si>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</si>
  <si>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</si>
  <si>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</si>
  <si>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</si>
  <si>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</si>
  <si>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</si>
  <si>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</si>
  <si>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</si>
  <si>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</si>
  <si>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</si>
  <si>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</si>
  <si>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</si>
  <si>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</si>
  <si>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</si>
  <si>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</si>
  <si>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</si>
  <si>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</si>
  <si>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</si>
  <si>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</si>
  <si>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</si>
  <si>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</si>
  <si>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</si>
  <si>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</si>
  <si>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</si>
  <si>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</si>
  <si>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</si>
  <si>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</si>
  <si>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</si>
  <si>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</si>
  <si>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</si>
  <si>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</si>
  <si>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</si>
  <si>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</si>
  <si>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</si>
  <si>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</si>
  <si>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</si>
  <si>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</si>
  <si>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</si>
  <si>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</si>
  <si>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</si>
  <si>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</si>
  <si>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</si>
  <si>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</si>
  <si>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</si>
  <si>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</si>
  <si>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</si>
  <si>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</si>
  <si>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</si>
  <si>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</si>
  <si>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</si>
  <si>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</si>
  <si>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</si>
  <si>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</si>
  <si>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</si>
  <si>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</si>
  <si>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</si>
  <si>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</si>
  <si>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</si>
  <si>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</si>
  <si>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</si>
  <si>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</si>
  <si>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</si>
  <si>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</si>
  <si>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</si>
  <si>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</si>
  <si>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</si>
  <si>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</si>
  <si>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</si>
  <si>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</si>
  <si>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</si>
  <si>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</si>
  <si>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</si>
  <si>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</si>
  <si>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</si>
  <si>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</si>
  <si>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</si>
  <si>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</si>
  <si>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</si>
  <si>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</si>
  <si>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</si>
  <si>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</si>
  <si>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</si>
  <si>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</si>
  <si>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</si>
  <si>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</si>
  <si>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</si>
  <si>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</si>
  <si>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</si>
  <si>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</si>
  <si>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</si>
  <si>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</si>
  <si>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</si>
  <si>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</si>
  <si>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</si>
  <si>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</si>
  <si>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</si>
  <si>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</si>
  <si>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</si>
  <si>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</si>
  <si>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</si>
  <si>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</si>
  <si>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</si>
  <si>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</si>
  <si>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</si>
  <si>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</si>
  <si>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</si>
  <si>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</si>
  <si>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</si>
  <si>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</si>
  <si>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</si>
  <si>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</si>
  <si>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</si>
  <si>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</si>
  <si>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</si>
  <si>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</si>
  <si>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</si>
  <si>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</si>
  <si>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</si>
  <si>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</si>
  <si>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</si>
  <si>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</si>
  <si>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</si>
  <si>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</si>
  <si>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</si>
  <si>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</si>
  <si>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</si>
  <si>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</si>
  <si>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</si>
  <si>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</si>
  <si>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</si>
  <si>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</si>
  <si>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</si>
  <si>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</si>
  <si>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</si>
  <si>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</si>
  <si>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</si>
  <si>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</si>
  <si>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</si>
  <si>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</si>
  <si>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</si>
  <si>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</si>
  <si>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</si>
  <si>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</si>
  <si>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</si>
  <si>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</si>
  <si>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</si>
  <si>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</si>
  <si>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</si>
  <si>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</si>
  <si>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</si>
  <si>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</si>
  <si>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</si>
  <si>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</si>
  <si>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</si>
  <si>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</si>
  <si>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</si>
  <si>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</si>
  <si>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</si>
  <si>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</si>
  <si>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</si>
  <si>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</si>
  <si>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</si>
  <si>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</si>
  <si>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</si>
  <si>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</si>
  <si>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</si>
  <si>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</si>
  <si>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</si>
  <si>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</si>
  <si>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</si>
  <si>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</si>
  <si>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</si>
  <si>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</si>
  <si>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</si>
  <si>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</si>
  <si>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</si>
  <si>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</si>
  <si>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</si>
  <si>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</si>
  <si>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</si>
  <si>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</si>
  <si>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</si>
  <si>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</si>
  <si>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</si>
  <si>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</si>
  <si>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</si>
  <si>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</si>
  <si>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</si>
  <si>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</si>
  <si>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</si>
  <si>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</si>
  <si>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</si>
  <si>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</si>
  <si>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</si>
  <si>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</si>
  <si>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</si>
  <si>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</si>
  <si>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</si>
  <si>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</si>
  <si>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</si>
  <si>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</si>
  <si>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</si>
  <si>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</si>
  <si>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</si>
  <si>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</si>
  <si>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</si>
  <si>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</si>
  <si>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</si>
  <si>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</si>
  <si>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</si>
  <si>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</si>
  <si>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</si>
  <si>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</si>
  <si>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</si>
  <si>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</si>
  <si>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</si>
  <si>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</si>
  <si>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</si>
  <si>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</si>
  <si>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</si>
  <si>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</si>
  <si>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</si>
  <si>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</si>
  <si>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</si>
  <si>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</si>
  <si>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</si>
  <si>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</si>
  <si>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</si>
  <si>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</si>
  <si>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</si>
  <si>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</si>
  <si>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</si>
  <si>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</si>
  <si>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</si>
  <si>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</si>
  <si>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</si>
  <si>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</si>
  <si>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</si>
  <si>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</si>
  <si>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</si>
  <si>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</si>
  <si>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</si>
  <si>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</si>
  <si>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</si>
  <si>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</si>
  <si>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</si>
  <si>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</si>
  <si>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</si>
  <si>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</si>
  <si>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</si>
  <si>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</si>
  <si>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</si>
  <si>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</si>
  <si>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</si>
  <si>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</si>
  <si>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</si>
  <si>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</si>
  <si>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</si>
  <si>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</si>
  <si>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</si>
  <si>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</si>
  <si>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</si>
  <si>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</si>
  <si>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</si>
  <si>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</si>
  <si>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</si>
  <si>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</si>
  <si>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</si>
  <si>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</si>
  <si>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</si>
  <si>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</si>
  <si>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</si>
  <si>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</si>
  <si>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</si>
  <si>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</si>
  <si>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</si>
  <si>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</si>
  <si>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</si>
  <si>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</si>
  <si>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</si>
  <si>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</si>
  <si>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</si>
  <si>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</si>
  <si>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</si>
  <si>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</si>
  <si>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</si>
  <si>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</si>
  <si>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</si>
  <si>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</si>
  <si>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</si>
  <si>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</si>
  <si>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</si>
  <si>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</si>
  <si>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</si>
  <si>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</si>
  <si>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</si>
  <si>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</si>
  <si>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</si>
  <si>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</si>
  <si>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</si>
  <si>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</si>
  <si>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</si>
  <si>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</si>
  <si>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</si>
  <si>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</si>
  <si>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</si>
  <si>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</si>
  <si>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</si>
  <si>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</si>
  <si>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</si>
  <si>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</si>
  <si>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</si>
  <si>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15088 Laute Dirk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</si>
  <si>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</si>
  <si>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</si>
  <si>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</si>
  <si>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</si>
  <si>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</si>
  <si>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</si>
  <si>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</si>
  <si>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</si>
  <si>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</si>
  <si>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</si>
  <si>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</si>
  <si>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</si>
  <si>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</si>
  <si>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</si>
  <si>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</si>
  <si>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</si>
  <si>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</si>
  <si>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</si>
  <si>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</si>
  <si>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</si>
  <si>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</si>
  <si>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</si>
  <si>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</si>
  <si>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</si>
  <si>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</si>
  <si>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</si>
  <si>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</si>
  <si>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</si>
  <si>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</si>
  <si>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</si>
  <si>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</si>
  <si>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</si>
  <si>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</si>
  <si>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</si>
  <si>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</si>
  <si>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</si>
  <si>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</si>
  <si>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</si>
  <si>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</si>
  <si>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</si>
  <si>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</si>
  <si>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</si>
  <si>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</si>
  <si>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</si>
  <si>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</si>
  <si>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</si>
  <si>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</si>
  <si>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</si>
  <si>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</si>
  <si>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</si>
  <si>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</si>
  <si>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</si>
  <si>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</si>
  <si>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</si>
  <si>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</si>
  <si>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</si>
  <si>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</si>
  <si>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</si>
  <si>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</si>
  <si>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</si>
  <si>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</si>
  <si>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</si>
  <si>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</si>
  <si>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</si>
  <si>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</si>
  <si>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</si>
  <si>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</si>
  <si>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</si>
  <si>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</si>
  <si>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</si>
  <si>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</si>
  <si>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</si>
  <si>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</si>
  <si>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</si>
  <si>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</si>
  <si>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</si>
  <si>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</si>
  <si>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</si>
  <si>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</si>
  <si>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</si>
  <si>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</si>
  <si>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</si>
  <si>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</si>
  <si>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</si>
  <si>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</si>
  <si>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</si>
  <si>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</si>
  <si>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</si>
  <si>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</si>
  <si>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>gent</t>
  </si>
  <si>
    <t xml:space="preserve"> https://delijn.sharepoint.com/:b:/r/teams/CTM-OTGentStad/Shared%20Documents/General/EAF/CSI(nieuwe%20sharepoint)%202025/8.%20Augustus/EAF%2014082025%205266%20Gent.pdf?csf=1&amp;web=1&amp;e=lRG0mc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</si>
</sst>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47</c:v>
                </c:pt>
                <c:pt idx="1">
                  <c:v>41</c:v>
                </c:pt>
                <c:pt idx="2">
                  <c:v>37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102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TGentStad-Teamcoaches/Shared%20Documents/Teamcoaches/Alle%20info%20chauffeurs/actieplan%20schade/schade%20met%20macro1.xlsm" TargetMode="External"/><Relationship Id="rId1" Type="http://schemas.openxmlformats.org/officeDocument/2006/relationships/externalLinkPath" Target="schade%20met%20macro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9</v>
          </cell>
          <cell r="B5" t="str">
            <v>Els Vanhoe</v>
          </cell>
          <cell r="D5">
            <v>17</v>
          </cell>
        </row>
        <row r="6">
          <cell r="A6">
            <v>9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9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ieuw Dashboard"/>
      <sheetName val="naar word"/>
      <sheetName val="BRON"/>
      <sheetName val="archief 2024"/>
      <sheetName val="data hastus"/>
    </sheetNames>
    <sheetDataSet>
      <sheetData sheetId="0" refreshError="1"/>
      <sheetData sheetId="1" refreshError="1"/>
      <sheetData sheetId="2"/>
      <sheetData sheetId="3" refreshError="1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 count="366">
        <n v="9999"/>
        <n v="34328"/>
        <n v="39581"/>
        <n v="38346"/>
        <n v="31111"/>
        <n v="37313"/>
        <n v="37808"/>
        <n v="39183"/>
        <n v="39145"/>
        <n v="17566"/>
        <n v="38634"/>
        <n v="15282"/>
        <n v="19917"/>
        <n v="36626"/>
        <n v="39859"/>
        <n v="38931"/>
        <n v="38579"/>
        <n v="39019"/>
        <n v="39673"/>
        <n v="36627"/>
        <n v="31668"/>
        <n v="5063"/>
        <n v="34445"/>
        <n v="20404"/>
        <n v="31731"/>
        <n v="37543"/>
        <n v="15628"/>
        <n v="31733"/>
        <n v="30121"/>
        <n v="38938"/>
        <n v="31092"/>
        <n v="38013"/>
        <n v="27153"/>
        <n v="26384"/>
        <n v="19219"/>
        <n v="39146"/>
        <n v="35463"/>
        <n v="38808"/>
        <n v="38529"/>
        <n v="37564"/>
        <n v="27209"/>
        <n v="39358"/>
        <n v="34198"/>
        <n v="18987"/>
        <n v="5813"/>
        <n v="10324"/>
        <n v="36289"/>
        <n v="39779"/>
        <n v="36635"/>
        <n v="35055"/>
        <n v="36275"/>
        <n v="37261"/>
        <n v="21582"/>
        <n v="34325"/>
        <n v="13345"/>
        <n v="25994"/>
        <n v="36569"/>
        <n v="32369"/>
        <n v="27713"/>
        <n v="38475"/>
        <n v="35120"/>
        <n v="39184"/>
        <n v="24367"/>
        <n v="11236"/>
        <n v="35709"/>
        <n v="21509"/>
        <n v="39013"/>
        <n v="20653"/>
        <n v="39014"/>
        <n v="39929"/>
        <n v="27186"/>
        <n v="39633"/>
        <n v="38648"/>
        <n v="33965"/>
        <n v="39712"/>
        <n v="32951"/>
        <n v="8394"/>
        <n v="39558"/>
        <n v="39660"/>
        <n v="22240"/>
        <n v="40200"/>
        <n v="26198"/>
        <n v="19088"/>
        <n v="32528"/>
        <n v="25993"/>
        <n v="21809"/>
        <n v="23880"/>
        <n v="26331"/>
        <n v="15320"/>
        <n v="31231"/>
        <n v="40223"/>
        <n v="35107"/>
        <n v="5559"/>
        <n v="26960"/>
        <n v="33450"/>
        <n v="21382"/>
        <n v="34286"/>
        <n v="16282"/>
        <n v="39654"/>
        <n v="33400"/>
        <n v="12124"/>
        <n v="37439"/>
        <n v="31600"/>
        <n v="19848"/>
        <n v="38481"/>
        <n v="37216"/>
        <n v="29179"/>
        <n v="34385"/>
        <n v="32620"/>
        <n v="8708"/>
        <n v="38807"/>
        <n v="28717"/>
        <n v="39930"/>
        <n v="36429"/>
        <n v="39829"/>
        <n v="5599"/>
        <n v="35450"/>
        <n v="34351"/>
        <n v="34044"/>
        <n v="11866"/>
        <n v="21124"/>
        <n v="22625"/>
        <n v="39927"/>
        <n v="39899"/>
        <n v="37951"/>
        <n v="30901"/>
        <n v="30321"/>
        <n v="33551"/>
        <n v="9065"/>
        <n v="37609"/>
        <n v="40110"/>
        <n v="15852"/>
        <n v="15088"/>
        <n v="37950"/>
        <n v="40058"/>
        <n v="13088"/>
        <n v="40222"/>
        <n v="25487"/>
        <n v="38688"/>
        <n v="35246"/>
        <n v="10150"/>
        <n v="6310"/>
        <n v="37345"/>
        <n v="11508"/>
        <n v="36503"/>
        <n v="35187"/>
        <n v="39528"/>
        <n v="19087"/>
        <n v="17931"/>
        <n v="23700"/>
        <n v="39907"/>
        <n v="36624"/>
        <n v="19249"/>
        <n v="37936"/>
        <n v="37131"/>
        <n v="29478"/>
        <n v="31689"/>
        <n v="40521"/>
        <n v="37542"/>
        <n v="40036"/>
        <n v="33986"/>
        <n v="14261"/>
        <n v="35493"/>
        <n v="14665"/>
        <n v="35395"/>
        <n v="22244"/>
        <n v="32542"/>
        <n v="35006"/>
        <n v="39532"/>
        <n v="39529"/>
        <n v="39379"/>
        <n v="21581"/>
        <n v="37179"/>
        <n v="21121"/>
        <n v="28830"/>
        <n v="39610"/>
        <n v="28794"/>
        <n v="40478"/>
        <n v="32387"/>
        <n v="36337"/>
        <n v="20375"/>
        <n v="13020"/>
        <n v="40403"/>
        <n v="26137"/>
        <n v="36428"/>
        <n v="36512"/>
        <n v="37662"/>
        <n v="39889"/>
        <n v="8016"/>
        <n v="31165"/>
        <n v="30389"/>
        <n v="40744"/>
        <n v="39858"/>
        <n v="31360"/>
        <n v="38633"/>
        <n v="23790"/>
        <n v="24472"/>
        <n v="40266"/>
        <n v="37496"/>
        <n v="32168"/>
        <n v="39651"/>
        <n v="35588"/>
        <n v="35434"/>
        <n v="37509"/>
        <n v="31635"/>
        <n v="39728"/>
        <n v="27635"/>
        <n v="36559"/>
        <n v="40486"/>
        <n v="40006"/>
        <n v="8391"/>
        <n v="40761"/>
        <n v="37683"/>
        <n v="26266"/>
        <n v="38551"/>
        <n v="5718"/>
        <n v="40608"/>
        <n v="23918"/>
        <n v="35598"/>
        <n v="40652"/>
        <n v="37809"/>
        <n v="30623"/>
        <n v="40859"/>
        <n v="21892"/>
        <n v="12173"/>
        <n v="40278"/>
        <n v="29540"/>
        <n v="33488"/>
        <n v="26102"/>
        <n v="20400"/>
        <n v="16545"/>
        <n v="30119"/>
        <n v="35645"/>
        <n v="15676"/>
        <n v="16895"/>
        <n v="35430"/>
        <n v="36228"/>
        <n v="29821"/>
        <n v="30967"/>
        <n v="40138"/>
        <n v="40134"/>
        <n v="41092"/>
        <n v="12684"/>
        <n v="36438"/>
        <n v="37254"/>
        <n v="35379"/>
        <n v="37794"/>
        <n v="40294"/>
        <n v="17555"/>
        <n v="22767"/>
        <n v="29477"/>
        <n v="16897"/>
        <n v="18173"/>
        <n v="41296"/>
        <n v="36513"/>
        <n v="40005"/>
        <n v="26847"/>
        <n v="40414"/>
        <n v="21812"/>
        <n v="36358"/>
        <n v="4419"/>
        <n v="16546"/>
        <n v="31490"/>
        <n v="36663"/>
        <n v="40969"/>
        <n v="33640"/>
        <n v="35491"/>
        <n v="40444"/>
        <n v="41162"/>
        <n v="36426"/>
        <n v="13398"/>
        <n v="21424"/>
        <n v="40856"/>
        <n v="25679"/>
        <n v="39972"/>
        <n v="6229"/>
        <n v="40055"/>
        <n v="41383"/>
        <n v="35397"/>
        <n v="41246"/>
        <n v="41012"/>
        <n v="41032"/>
        <n v="41091"/>
        <n v="12514"/>
        <n v="17951"/>
        <n v="39267"/>
        <n v="9824"/>
        <n v="26199"/>
        <n v="28737"/>
        <n v="19520"/>
        <n v="40591"/>
        <n v="34019"/>
        <n v="29674"/>
        <n v="32091"/>
        <n v="28910"/>
        <n v="40939"/>
        <n v="41064"/>
        <n v="35216"/>
        <n v="41520"/>
        <n v="32611"/>
        <n v="38580"/>
        <n v="31118"/>
        <n v="35619"/>
        <n v="38035"/>
        <n v="9158"/>
        <n v="36820"/>
        <n v="25733"/>
        <n v="40443"/>
        <n v="37744"/>
        <n v="41230"/>
        <n v="32245"/>
        <n v="41588"/>
        <n v="37132"/>
        <n v="33085"/>
        <n v="24155"/>
        <n v="37908"/>
        <n v="4608"/>
        <n v="38731"/>
        <n v="40938"/>
        <n v="27672"/>
        <n v="39856"/>
        <n v="29746"/>
        <n v="40393"/>
        <n v="41710"/>
        <n v="41671"/>
        <n v="41482"/>
        <n v="15412"/>
        <n v="41619"/>
        <n v="41384"/>
        <n v="36154"/>
        <n v="35490"/>
        <n v="39677"/>
        <n v="39831"/>
        <n v="22052"/>
        <n v="38740"/>
        <n v="11120"/>
        <n v="35495"/>
        <n v="32002"/>
        <n v="37208"/>
        <n v="40645"/>
        <n v="7746"/>
        <n v="31150"/>
        <n v="26695"/>
        <n v="41721"/>
        <n v="41690"/>
        <n v="40362"/>
        <n v="29646"/>
        <n v="22416"/>
        <n v="40745"/>
        <n v="39850"/>
        <n v="31776"/>
        <n v="41859"/>
        <n v="22877"/>
        <n v="4720"/>
        <n v="36577"/>
        <n v="30271"/>
        <n v="11213"/>
        <n v="12819"/>
        <n v="42002"/>
        <n v="10782"/>
        <n v="18051"/>
        <n v="14625"/>
        <n v="36021"/>
        <n v="41874"/>
        <n v="41007"/>
        <n v="41137"/>
      </sharedItems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 count="335">
        <s v="-"/>
        <s v="Kerremans"/>
        <s v="Vandenhaute"/>
        <s v="Van Cleemputte"/>
        <s v="Bonne"/>
        <s v="Dedeci"/>
        <s v="Gök"/>
        <s v="Al Masri"/>
        <s v="Landoulsi"/>
        <s v="Praet"/>
        <s v="Asskale"/>
        <s v="Marinx"/>
        <s v="Vandevyvere"/>
        <s v="Kartal"/>
        <s v="Costers"/>
        <s v="Sancak"/>
        <s v="Haaze"/>
        <s v="De taeye"/>
        <s v="Steurbaut"/>
        <s v="Dobbelaere"/>
        <s v="Weemhof"/>
        <s v="Merre"/>
        <s v="Wulleput"/>
        <s v="Vranken"/>
        <s v="Dedapper"/>
        <s v="Öztürk"/>
        <s v="Wulfranck"/>
        <s v="Sonck"/>
        <s v="Simons"/>
        <s v="Sedighi"/>
        <s v="De Jaeger"/>
        <s v="Mine"/>
        <s v="Oben"/>
        <s v="Van Cauwenberg"/>
        <s v="Aspeslagh"/>
        <s v="Burrick"/>
        <s v="Vandaele"/>
        <s v="Wasen"/>
        <s v="Huyghe"/>
        <s v="Damlakhi"/>
        <s v="Meyvaert"/>
        <s v="Weeks Aracena"/>
        <s v="Pelfrene"/>
        <s v="De Geyter"/>
        <s v="Binard"/>
        <s v="Eggermont"/>
        <s v="Van Rentergem"/>
        <s v="Avci"/>
        <s v="Fadel"/>
        <s v="Kocabas"/>
        <s v="Acosta Salinas"/>
        <s v="Van Wayenbergh"/>
        <s v="De Grom"/>
        <s v="Eid"/>
        <s v="Schijvens"/>
        <s v="Peers"/>
        <s v="Stroobandt"/>
        <s v="Vandenborre"/>
        <s v="Parmentier"/>
        <s v="Verschraegen"/>
        <s v="Delcourt"/>
        <s v="Shinwari"/>
        <s v="Tayefeh Arbab"/>
        <s v="Baert"/>
        <s v="El Gasmi"/>
        <s v="De Craemer"/>
        <s v="Asrih"/>
        <s v="Mestdag"/>
        <s v="Genbrugge"/>
        <s v="Staneva"/>
        <s v="Neghli"/>
        <s v="Duyck"/>
        <s v="Uckuyulu"/>
        <s v="Van de Gehuchte"/>
        <s v="Repaj"/>
        <s v="De Bruyne"/>
        <s v="Smet"/>
        <s v="De Groote"/>
        <s v="Lloyd"/>
        <s v="Delahaye"/>
        <s v="Shahriyari"/>
        <s v="Justé"/>
        <s v="Remmery"/>
        <s v="Benjilali"/>
        <s v="De Wit"/>
        <s v="Dejonghe"/>
        <s v="Wyffels"/>
        <s v="Van Semmertier"/>
        <s v="Vandenberghe"/>
        <s v="Colaes"/>
        <s v="Teetaert"/>
        <s v="Rotsaert"/>
        <s v="Hoste"/>
        <s v="Toubadie"/>
        <s v="Verroeye"/>
        <s v="De Volder"/>
        <s v="Ghani"/>
        <s v="Vandecasteele"/>
        <s v="Camacho Encarnacion"/>
        <s v="Petit"/>
        <s v="Van Vliet"/>
        <s v="Demirkazik"/>
        <s v="Mertens"/>
        <s v="Gevaert"/>
        <s v="Sari"/>
        <s v="Antoniewicz"/>
        <s v="Verwee"/>
        <s v="Goosens"/>
        <s v="Saey"/>
        <s v="Middernacht"/>
        <s v="Dossche"/>
        <s v="Dejonckheere"/>
        <s v="Mirazai"/>
        <s v="Ahlaloum"/>
        <s v="Demirkaya"/>
        <s v="Pretel"/>
        <s v="Roos"/>
        <s v="Callant"/>
        <s v="Wieme"/>
        <s v="Bolle"/>
        <s v="De Ridder"/>
        <s v="Callebert"/>
        <s v="De Wilde"/>
        <s v="Calinalti"/>
        <s v="Van De Voorde"/>
        <s v="vanden Bulcke"/>
        <s v="Unver"/>
        <s v="Dekens"/>
        <s v="Dewispelaere"/>
        <s v="Vanlerberghe"/>
        <s v="Petereyns"/>
        <s v="Laute"/>
        <s v="De Naegel"/>
        <s v="Sögüt"/>
        <s v="Van Iterson"/>
        <s v="Devos"/>
        <s v="Basgurboga"/>
        <s v="De Meyer"/>
        <s v="Vandenbogaerde"/>
        <s v="De Craene"/>
        <s v="Walleyn"/>
        <s v="Beeckman"/>
        <s v="Callens"/>
        <s v="Bastiaen"/>
        <s v="Mihaylov"/>
        <s v="Deschepper"/>
        <s v="Idrisi"/>
        <s v="Byosière"/>
        <s v="Marian"/>
        <s v="De Meulenaere"/>
        <s v="Odaci"/>
        <s v="Detaeye"/>
        <s v="Saritag"/>
        <s v="Priwall"/>
        <s v="Van Achte"/>
        <s v="Mekdad"/>
        <s v="De Tandt"/>
        <s v="Karakaya"/>
        <s v="Göktas"/>
        <s v="van Turnhout"/>
        <s v="De Mulder"/>
        <s v="Limbourg"/>
        <s v="Kirdas"/>
        <s v="Vanderstock"/>
        <s v="Van Hoe"/>
        <s v="Sahin"/>
        <s v="Desmet"/>
        <s v="Bensalah"/>
        <s v="Vanderstraeten"/>
        <s v="Bashir"/>
        <s v="Laforce"/>
        <s v="Isiklar"/>
        <s v="Sayin"/>
        <s v="Van Malderghem"/>
        <s v="Hashimi"/>
        <s v="Meersman"/>
        <s v="Desmadryl"/>
        <s v="Verlaeckt"/>
        <s v="Boutiebi"/>
        <s v="Prové"/>
        <s v="Hublau"/>
        <s v="Abdi Shaiye"/>
        <s v="Van Herreweghe"/>
        <s v="Van den Meerssche"/>
        <s v="Stanikazi"/>
        <s v="Vinck"/>
        <s v="Govaerts"/>
        <s v="De Jonge"/>
        <s v="Gözüküçük"/>
        <s v="Jacobs"/>
        <s v="Simsek"/>
        <s v="Stomphorst"/>
        <s v="Adiyil"/>
        <s v="Taibi"/>
        <s v="Oosterlinck"/>
        <s v="Kallenbach"/>
        <s v="Smesman"/>
        <s v="Kaya"/>
        <s v="Abdulkader"/>
        <s v="Vaeyens"/>
        <s v="Nohut"/>
        <s v="Petrovic"/>
        <s v="De Staercke"/>
        <s v="De Souza"/>
        <s v="Lucq"/>
        <s v="De Vijlder"/>
        <s v="De Boever"/>
        <s v="Alassad"/>
        <s v="Kurti"/>
        <s v="D'Haeyere"/>
        <s v="Braeckman"/>
        <s v="Van Damme"/>
        <s v="Sturtewagen"/>
        <s v="Gassa"/>
        <s v="Yagoub"/>
        <s v="Dierick"/>
        <s v="De Feyter"/>
        <s v="Ates"/>
        <s v="De Keyzer"/>
        <s v="Holub"/>
        <s v="Bral"/>
        <s v="Allan"/>
        <s v="Toch"/>
        <s v="Haerens"/>
        <s v="Jalili"/>
        <s v="Mestdagh"/>
        <s v="Van Lauwe"/>
        <s v="Vlaminck"/>
        <s v="Kilinc"/>
        <s v="Mehman Doust"/>
        <s v="Taser"/>
        <s v="Moerman"/>
        <s v="Cardon"/>
        <s v="De Keyser"/>
        <s v="Van Den Bossche"/>
        <s v="Agil"/>
        <s v="Coulon"/>
        <s v="Engels"/>
        <s v="Khder"/>
        <s v="DeBisschop"/>
        <s v="Osseel"/>
        <s v="De Vuyst"/>
        <s v="VandenDaele"/>
        <s v="De Vos"/>
        <s v="Abulehia"/>
        <s v="Sogut"/>
        <s v="Bernaerts"/>
        <s v="De Meester"/>
        <s v="Ennakaba"/>
        <s v="Ettaibi"/>
        <s v="De Nys"/>
        <s v="Maelbrancke"/>
        <s v="De Weirdt"/>
        <s v="Cesmeli"/>
        <s v="Kerman"/>
        <s v="Hoeckman"/>
        <s v="Mohamed Yassin"/>
        <s v="Verstichel"/>
        <s v="Neissi"/>
        <s v="Vanrenterghem"/>
        <s v="Afara"/>
        <s v="De Pauw"/>
        <s v="Minbari"/>
        <s v="Van Holsbeeck"/>
        <s v="Natad"/>
        <s v="Rocabado Hinojosa"/>
        <s v="Yavas"/>
        <s v="De Smet"/>
        <s v="Lega"/>
        <s v="Wauters"/>
        <s v="El-Mohamed"/>
        <s v="Van Steenbergen"/>
        <s v="Hiloui"/>
        <s v="Martens"/>
        <s v="Köroglu"/>
        <s v="Cisse"/>
        <s v="Ardic"/>
        <s v="Coban"/>
        <s v="Smets"/>
        <s v="Özer"/>
        <s v="Smajla"/>
        <s v="De Sutter"/>
        <s v="El Mezroui"/>
        <s v="Haché"/>
        <s v="Fakash"/>
        <s v="De Lange"/>
        <s v="De Witte"/>
        <s v="Verlinden"/>
        <s v="Naessens"/>
        <s v="Dacic"/>
        <s v="Luttens"/>
        <s v="Steenbrugge"/>
        <s v="Ben Sidhom"/>
        <s v="Hasnaoui"/>
        <s v="Criel"/>
        <s v="Curukcu"/>
        <s v="Huyse"/>
        <s v="Salimova"/>
        <s v="Hasan"/>
        <s v="Özdemir"/>
        <s v="Dhondt"/>
        <s v="Bachiri"/>
        <s v="Hillaert"/>
        <s v="De Clercq"/>
        <s v="Nguetto"/>
        <s v="Tacq"/>
        <s v="Dolgiev"/>
        <s v="Meskens"/>
        <s v="De Vrieze"/>
        <s v="Razzaz"/>
        <s v="Hasni"/>
        <s v="Catar"/>
        <s v="Bytebier"/>
        <s v="Aelterman"/>
        <s v="Oueslati"/>
        <s v="Lippens"/>
        <s v="Nolf"/>
        <s v="Van de Winckel"/>
        <s v="Kuru"/>
        <s v="Bicici"/>
        <s v="Ivanov"/>
        <s v="Helleputte"/>
        <s v="Famelaer"/>
        <s v="Palit"/>
        <s v="Goossens"/>
        <s v="De Roo"/>
        <s v="Bracke"/>
        <s v="De Plus"/>
        <s v="Van Eenaeme"/>
        <s v="Bogaert"/>
        <s v="De Kee"/>
        <s v="Van Wittenberge"/>
        <s v="Rodrigue"/>
        <s v="Boelaert"/>
        <s v="Dobbeleire"/>
      </sharedItems>
    </cacheField>
    <cacheField name="voornaam" numFmtId="0">
      <sharedItems count="292">
        <s v="-"/>
        <s v="Jürgen"/>
        <s v="Linus"/>
        <s v="Thibeaux"/>
        <s v="Niko"/>
        <s v="Mecit"/>
        <s v="Mustafa"/>
        <s v="Anas"/>
        <s v="Sabeur"/>
        <s v="Reginald"/>
        <s v="Zouhir"/>
        <s v="Kristoff"/>
        <s v="Frank"/>
        <s v="Kadir"/>
        <s v="Kelly"/>
        <s v="Eyuphan"/>
        <s v="Sven"/>
        <s v="Henri"/>
        <s v="David"/>
        <s v="Maurice"/>
        <s v="Bart"/>
        <s v="Illya"/>
        <s v="Kenneth"/>
        <s v="Marijke"/>
        <s v="Bilgehan"/>
        <s v="Dominique"/>
        <s v="Kristof"/>
        <s v="Andreas"/>
        <s v="Hamid"/>
        <s v="Kevin"/>
        <s v="Akin"/>
        <s v="Thibaud"/>
        <s v="Steven"/>
        <s v="Geert"/>
        <s v="Alex"/>
        <s v="Tom"/>
        <s v="Jens"/>
        <s v="Jan"/>
        <s v="Nawras"/>
        <s v="Jimmy Alexander"/>
        <s v="Toby"/>
        <s v="Dolly"/>
        <s v="Sabine"/>
        <s v="Wim"/>
        <s v="Steve"/>
        <s v="Muhammet Abdullah"/>
        <s v="Husam"/>
        <s v="Abdülkadir"/>
        <s v="Benigna"/>
        <s v="Yordi"/>
        <s v="Patrick"/>
        <s v="Mathyn"/>
        <s v="Ronny"/>
        <s v="Mario"/>
        <s v="Jonas"/>
        <s v="Katleen"/>
        <s v="Daniel"/>
        <s v="Yasin"/>
        <s v="Ali"/>
        <s v="Freddy"/>
        <s v="Sami"/>
        <s v="Kris"/>
        <s v="Habib"/>
        <s v="Marius"/>
        <s v="Kyllian"/>
        <s v="Mariyana"/>
        <s v="Farid"/>
        <s v="Kimberly"/>
        <s v="Muhammet Emin"/>
        <s v="Gilles"/>
        <s v="Ramazan"/>
        <s v="Sonia"/>
        <s v="Antoon"/>
        <s v="Cedric"/>
        <s v="Glenn"/>
        <s v="Karina"/>
        <s v="Khalil"/>
        <s v="Abdelhak"/>
        <s v="Bruno"/>
        <s v="Elisa"/>
        <s v="Jean-Pierre"/>
        <s v="Pascal"/>
        <s v="Filip"/>
        <s v="Dylan"/>
        <s v="Billy"/>
        <s v="Tania"/>
        <s v="Mossa"/>
        <s v="Chris"/>
        <s v="Marc"/>
        <s v="Mozamil"/>
        <s v="Ruth"/>
        <s v="Lisandro Javier"/>
        <s v="Cynthia"/>
        <s v="Devrim"/>
        <s v="Stephan"/>
        <s v="Dries"/>
        <s v="Wesley"/>
        <s v="Elias"/>
        <s v="Andy"/>
        <s v="Caroline"/>
        <s v="Els"/>
        <s v="Rahmatullah"/>
        <s v="Khalid"/>
        <s v="Serkan"/>
        <s v="Philippe"/>
        <s v="Hugo"/>
        <s v="Dieter"/>
        <s v="Danny"/>
        <s v="Pieter Jan"/>
        <s v="Jordy"/>
        <s v="Abdil"/>
        <s v="Cindy"/>
        <s v="Johan"/>
        <s v="Ismaïl"/>
        <s v="Sandra"/>
        <s v="Vanessa"/>
        <s v="Dirk"/>
        <s v="Can"/>
        <s v="Claudine"/>
        <s v="Sharon"/>
        <s v="Stefaan"/>
        <s v="Selahattin"/>
        <s v="Karel"/>
        <s v="Tony"/>
        <s v="Peter"/>
        <s v="Renaat"/>
        <s v="Nico"/>
        <s v="Dimitri"/>
        <s v="Eric"/>
        <s v="Plamen"/>
        <s v="Hasana"/>
        <s v="Christof"/>
        <s v="Birsanuc"/>
        <s v="Kurt"/>
        <s v="Alexander"/>
        <s v="Mehmed"/>
        <s v="Heike"/>
        <s v="Jay"/>
        <s v="Hans"/>
        <s v="Oguz"/>
        <s v="Muharrem"/>
        <s v="Sofie"/>
        <s v="Mariëlle"/>
        <s v="Philip"/>
        <s v="Heidi"/>
        <s v="Süleyman"/>
        <s v="Kenny"/>
        <s v="Youri"/>
        <s v="Orhan"/>
        <s v="Patricia"/>
        <s v="Mohammed"/>
        <s v="Franky"/>
        <s v="Muhammad Salman"/>
        <s v="Mike"/>
        <s v="Okan"/>
        <s v="Batuhan"/>
        <s v="Niels"/>
        <s v="Ali Mir"/>
        <s v="Herman"/>
        <s v="Lincey"/>
        <s v="Ahmed"/>
        <s v="Michaël"/>
        <s v="Roland"/>
        <s v="Rashid"/>
        <s v="Branco"/>
        <s v="Roien Sadder"/>
        <s v="Sandro"/>
        <s v="Matthew"/>
        <s v="Ugur"/>
        <s v="Elos"/>
        <s v="Fatih"/>
        <s v="Mattanja"/>
        <s v="Attila"/>
        <s v="Davut"/>
        <s v="Yassine"/>
        <s v="Willy"/>
        <s v="Zulkifly"/>
        <s v="Sunny"/>
        <s v="Aytekin"/>
        <s v="Sabah"/>
        <s v="Midas"/>
        <s v="Baki"/>
        <s v="Damir"/>
        <s v="Marcos Eduardo"/>
        <s v="Benjamin"/>
        <s v="Joeri"/>
        <s v="Charlotte"/>
        <s v="Murat"/>
        <s v="Ahmad"/>
        <s v="Inge"/>
        <s v="Domeniko"/>
        <s v="Bernard"/>
        <s v="Wouter"/>
        <s v="Gilyann"/>
        <s v="Abdelali"/>
        <s v="Firat"/>
        <s v="Patrik"/>
        <s v="Jessica"/>
        <s v="Erwin"/>
        <s v="Yaseeb"/>
        <s v="Atilay"/>
        <s v="Farhad"/>
        <s v="Tjimmy"/>
        <s v="Dorien"/>
        <s v="Martine"/>
        <s v="Birol"/>
        <s v="Rayan"/>
        <s v="Sam"/>
        <s v="Kâzim"/>
        <s v="Aram"/>
        <s v="Wendy"/>
        <s v="Boyke"/>
        <s v="Günter"/>
        <s v="Oday"/>
        <s v="Rauf"/>
        <s v="Khaoula"/>
        <s v="Moulay Abdenâzih"/>
        <s v="Elise"/>
        <s v="Eddy"/>
        <s v="Rosita"/>
        <s v="Steph"/>
        <s v="Achraf"/>
        <s v="Melisa"/>
        <s v="Zakaria"/>
        <s v="Jeroen"/>
        <s v="Abdulhamid"/>
        <s v="Jethro"/>
        <s v="Sadegh"/>
        <s v="Serge"/>
        <s v="Ramazav"/>
        <s v="Ammar"/>
        <s v="Ako"/>
        <s v="Yana"/>
        <s v="Younes"/>
        <s v="Lukas"/>
        <s v="Talha"/>
        <s v="Claude"/>
        <s v="Mohamed"/>
        <s v="Mahmoud"/>
        <s v="Geoffrey"/>
        <s v="Ercan"/>
        <s v="Osmane"/>
        <s v="Sayon"/>
        <s v="Atilla"/>
        <s v="Mehmet"/>
        <s v="Avery"/>
        <s v="Özgur"/>
        <s v="Samet"/>
        <s v="Michiel"/>
        <s v="Zouheir"/>
        <s v="Isa"/>
        <s v="Abdullah"/>
        <s v="Bianca"/>
        <s v="Yves"/>
        <s v="Esmir"/>
        <s v="Ivo"/>
        <s v="Koen"/>
        <s v="Michael"/>
        <s v="Samir"/>
        <s v="Nejmeddine"/>
        <s v="Veronique"/>
        <s v="Bayram"/>
        <s v="Annicke"/>
        <s v="Eydzhan"/>
        <s v="Fazal"/>
        <s v="Salem"/>
        <s v="Osman"/>
        <s v="Ousama"/>
        <s v="Thimo"/>
        <s v="Brisco Romeo"/>
        <s v="Joey"/>
        <s v="Mukhamed"/>
        <s v="Anthony"/>
        <s v="Ludo"/>
        <s v="Helmi"/>
        <s v="Gökhan"/>
        <s v="Jason"/>
        <s v="Didier"/>
        <s v="Mohamed Ali"/>
        <s v="Miguel"/>
        <s v="Cetin"/>
        <s v="Mesut"/>
        <s v="Abdul Kadir"/>
        <s v="Ivan"/>
        <s v="William"/>
        <s v="Gunther"/>
        <s v="Jo"/>
        <s v="Gunter"/>
        <s v="Ina"/>
        <s v="Vincent"/>
        <s v="Frederik"/>
        <s v="Cagri"/>
      </sharedItems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x v="0"/>
    <x v="0"/>
    <x v="0"/>
    <x v="0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x v="1"/>
    <x v="1"/>
    <x v="1"/>
    <x v="1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x v="2"/>
    <x v="2"/>
    <x v="2"/>
    <x v="2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x v="3"/>
    <x v="3"/>
    <x v="3"/>
    <x v="3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x v="4"/>
    <x v="4"/>
    <x v="4"/>
    <x v="4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x v="5"/>
    <x v="5"/>
    <x v="5"/>
    <x v="5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x v="6"/>
    <x v="6"/>
    <x v="6"/>
    <x v="6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x v="7"/>
    <x v="7"/>
    <x v="7"/>
    <x v="7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x v="8"/>
    <x v="8"/>
    <x v="8"/>
    <x v="8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x v="9"/>
    <x v="9"/>
    <x v="9"/>
    <x v="9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x v="10"/>
    <x v="10"/>
    <x v="10"/>
    <x v="10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x v="11"/>
    <x v="11"/>
    <x v="11"/>
    <x v="11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x v="0"/>
    <x v="0"/>
    <x v="0"/>
    <x v="0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x v="0"/>
    <x v="0"/>
    <x v="0"/>
    <x v="0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x v="12"/>
    <x v="12"/>
    <x v="12"/>
    <x v="12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x v="13"/>
    <x v="13"/>
    <x v="13"/>
    <x v="13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x v="14"/>
    <x v="14"/>
    <x v="14"/>
    <x v="14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x v="15"/>
    <x v="15"/>
    <x v="15"/>
    <x v="15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x v="16"/>
    <x v="16"/>
    <x v="16"/>
    <x v="16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x v="17"/>
    <x v="17"/>
    <x v="17"/>
    <x v="14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x v="18"/>
    <x v="18"/>
    <x v="18"/>
    <x v="17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x v="19"/>
    <x v="19"/>
    <x v="19"/>
    <x v="18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x v="20"/>
    <x v="20"/>
    <x v="20"/>
    <x v="19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x v="0"/>
    <x v="0"/>
    <x v="0"/>
    <x v="0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x v="0"/>
    <x v="0"/>
    <x v="0"/>
    <x v="0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x v="21"/>
    <x v="21"/>
    <x v="21"/>
    <x v="20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x v="0"/>
    <x v="0"/>
    <x v="0"/>
    <x v="0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x v="13"/>
    <x v="13"/>
    <x v="13"/>
    <x v="13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x v="22"/>
    <x v="22"/>
    <x v="22"/>
    <x v="21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x v="23"/>
    <x v="23"/>
    <x v="23"/>
    <x v="22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x v="24"/>
    <x v="24"/>
    <x v="24"/>
    <x v="23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x v="25"/>
    <x v="25"/>
    <x v="25"/>
    <x v="24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x v="26"/>
    <x v="26"/>
    <x v="26"/>
    <x v="25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x v="27"/>
    <x v="27"/>
    <x v="27"/>
    <x v="26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x v="28"/>
    <x v="28"/>
    <x v="28"/>
    <x v="27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x v="29"/>
    <x v="29"/>
    <x v="29"/>
    <x v="28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x v="30"/>
    <x v="30"/>
    <x v="30"/>
    <x v="29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x v="31"/>
    <x v="31"/>
    <x v="31"/>
    <x v="30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x v="32"/>
    <x v="32"/>
    <x v="32"/>
    <x v="31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x v="33"/>
    <x v="33"/>
    <x v="33"/>
    <x v="32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x v="34"/>
    <x v="34"/>
    <x v="34"/>
    <x v="33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x v="35"/>
    <x v="35"/>
    <x v="35"/>
    <x v="34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x v="35"/>
    <x v="35"/>
    <x v="35"/>
    <x v="34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x v="36"/>
    <x v="36"/>
    <x v="36"/>
    <x v="35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x v="37"/>
    <x v="37"/>
    <x v="37"/>
    <x v="36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x v="38"/>
    <x v="38"/>
    <x v="38"/>
    <x v="37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x v="39"/>
    <x v="39"/>
    <x v="39"/>
    <x v="38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x v="38"/>
    <x v="38"/>
    <x v="38"/>
    <x v="37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x v="40"/>
    <x v="40"/>
    <x v="40"/>
    <x v="32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x v="41"/>
    <x v="41"/>
    <x v="41"/>
    <x v="39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x v="42"/>
    <x v="42"/>
    <x v="42"/>
    <x v="40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x v="43"/>
    <x v="43"/>
    <x v="43"/>
    <x v="41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x v="44"/>
    <x v="44"/>
    <x v="44"/>
    <x v="42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x v="38"/>
    <x v="38"/>
    <x v="38"/>
    <x v="37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x v="45"/>
    <x v="45"/>
    <x v="45"/>
    <x v="43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x v="46"/>
    <x v="46"/>
    <x v="46"/>
    <x v="44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x v="47"/>
    <x v="47"/>
    <x v="47"/>
    <x v="45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x v="48"/>
    <x v="48"/>
    <x v="48"/>
    <x v="46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x v="49"/>
    <x v="49"/>
    <x v="49"/>
    <x v="47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x v="20"/>
    <x v="20"/>
    <x v="20"/>
    <x v="19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x v="50"/>
    <x v="50"/>
    <x v="50"/>
    <x v="48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x v="51"/>
    <x v="51"/>
    <x v="51"/>
    <x v="49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x v="41"/>
    <x v="41"/>
    <x v="41"/>
    <x v="39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x v="52"/>
    <x v="52"/>
    <x v="52"/>
    <x v="50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x v="53"/>
    <x v="53"/>
    <x v="53"/>
    <x v="51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x v="54"/>
    <x v="54"/>
    <x v="54"/>
    <x v="52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x v="47"/>
    <x v="47"/>
    <x v="47"/>
    <x v="45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x v="55"/>
    <x v="55"/>
    <x v="55"/>
    <x v="53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x v="56"/>
    <x v="56"/>
    <x v="56"/>
    <x v="54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x v="57"/>
    <x v="57"/>
    <x v="57"/>
    <x v="50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x v="58"/>
    <x v="58"/>
    <x v="58"/>
    <x v="20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x v="59"/>
    <x v="59"/>
    <x v="59"/>
    <x v="55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x v="60"/>
    <x v="60"/>
    <x v="60"/>
    <x v="56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x v="61"/>
    <x v="61"/>
    <x v="61"/>
    <x v="57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x v="62"/>
    <x v="62"/>
    <x v="62"/>
    <x v="58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x v="63"/>
    <x v="63"/>
    <x v="63"/>
    <x v="59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x v="59"/>
    <x v="59"/>
    <x v="59"/>
    <x v="55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x v="64"/>
    <x v="64"/>
    <x v="64"/>
    <x v="60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x v="65"/>
    <x v="65"/>
    <x v="65"/>
    <x v="61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x v="13"/>
    <x v="13"/>
    <x v="13"/>
    <x v="13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x v="19"/>
    <x v="19"/>
    <x v="19"/>
    <x v="18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x v="50"/>
    <x v="50"/>
    <x v="50"/>
    <x v="48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x v="66"/>
    <x v="66"/>
    <x v="66"/>
    <x v="62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x v="67"/>
    <x v="67"/>
    <x v="67"/>
    <x v="63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x v="68"/>
    <x v="68"/>
    <x v="68"/>
    <x v="64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x v="69"/>
    <x v="69"/>
    <x v="69"/>
    <x v="65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x v="70"/>
    <x v="70"/>
    <x v="70"/>
    <x v="66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x v="71"/>
    <x v="71"/>
    <x v="71"/>
    <x v="67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x v="72"/>
    <x v="72"/>
    <x v="72"/>
    <x v="68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x v="73"/>
    <x v="73"/>
    <x v="73"/>
    <x v="69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x v="25"/>
    <x v="25"/>
    <x v="25"/>
    <x v="24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x v="74"/>
    <x v="74"/>
    <x v="74"/>
    <x v="70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x v="36"/>
    <x v="36"/>
    <x v="36"/>
    <x v="35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x v="0"/>
    <x v="0"/>
    <x v="0"/>
    <x v="0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x v="25"/>
    <x v="25"/>
    <x v="25"/>
    <x v="24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x v="69"/>
    <x v="69"/>
    <x v="69"/>
    <x v="65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x v="75"/>
    <x v="75"/>
    <x v="75"/>
    <x v="71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x v="76"/>
    <x v="76"/>
    <x v="76"/>
    <x v="72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x v="26"/>
    <x v="26"/>
    <x v="26"/>
    <x v="25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x v="0"/>
    <x v="0"/>
    <x v="0"/>
    <x v="0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x v="77"/>
    <x v="77"/>
    <x v="77"/>
    <x v="73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x v="78"/>
    <x v="78"/>
    <x v="78"/>
    <x v="74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x v="13"/>
    <x v="13"/>
    <x v="13"/>
    <x v="13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x v="79"/>
    <x v="79"/>
    <x v="79"/>
    <x v="75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x v="80"/>
    <x v="80"/>
    <x v="80"/>
    <x v="76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x v="81"/>
    <x v="81"/>
    <x v="81"/>
    <x v="32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x v="35"/>
    <x v="35"/>
    <x v="35"/>
    <x v="34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x v="82"/>
    <x v="82"/>
    <x v="82"/>
    <x v="18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x v="47"/>
    <x v="47"/>
    <x v="47"/>
    <x v="45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x v="83"/>
    <x v="83"/>
    <x v="83"/>
    <x v="77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x v="84"/>
    <x v="84"/>
    <x v="84"/>
    <x v="78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x v="72"/>
    <x v="72"/>
    <x v="72"/>
    <x v="68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x v="85"/>
    <x v="85"/>
    <x v="85"/>
    <x v="79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x v="86"/>
    <x v="86"/>
    <x v="86"/>
    <x v="80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x v="87"/>
    <x v="87"/>
    <x v="87"/>
    <x v="81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x v="88"/>
    <x v="88"/>
    <x v="88"/>
    <x v="82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x v="22"/>
    <x v="22"/>
    <x v="22"/>
    <x v="21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x v="15"/>
    <x v="15"/>
    <x v="15"/>
    <x v="15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x v="89"/>
    <x v="89"/>
    <x v="89"/>
    <x v="83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x v="13"/>
    <x v="13"/>
    <x v="13"/>
    <x v="13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x v="90"/>
    <x v="90"/>
    <x v="90"/>
    <x v="84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x v="0"/>
    <x v="0"/>
    <x v="0"/>
    <x v="0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x v="91"/>
    <x v="91"/>
    <x v="91"/>
    <x v="25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x v="92"/>
    <x v="92"/>
    <x v="92"/>
    <x v="85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x v="93"/>
    <x v="93"/>
    <x v="93"/>
    <x v="86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x v="94"/>
    <x v="94"/>
    <x v="94"/>
    <x v="87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x v="75"/>
    <x v="75"/>
    <x v="75"/>
    <x v="71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x v="95"/>
    <x v="95"/>
    <x v="95"/>
    <x v="88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x v="96"/>
    <x v="96"/>
    <x v="96"/>
    <x v="89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x v="97"/>
    <x v="97"/>
    <x v="97"/>
    <x v="90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x v="0"/>
    <x v="0"/>
    <x v="0"/>
    <x v="0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x v="98"/>
    <x v="98"/>
    <x v="98"/>
    <x v="91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x v="99"/>
    <x v="99"/>
    <x v="99"/>
    <x v="92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x v="100"/>
    <x v="100"/>
    <x v="100"/>
    <x v="35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x v="101"/>
    <x v="101"/>
    <x v="101"/>
    <x v="6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x v="102"/>
    <x v="102"/>
    <x v="102"/>
    <x v="35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x v="103"/>
    <x v="103"/>
    <x v="103"/>
    <x v="50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x v="0"/>
    <x v="0"/>
    <x v="0"/>
    <x v="0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x v="104"/>
    <x v="104"/>
    <x v="104"/>
    <x v="93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x v="105"/>
    <x v="105"/>
    <x v="105"/>
    <x v="94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x v="106"/>
    <x v="106"/>
    <x v="106"/>
    <x v="95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x v="107"/>
    <x v="107"/>
    <x v="107"/>
    <x v="96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x v="108"/>
    <x v="108"/>
    <x v="108"/>
    <x v="97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x v="0"/>
    <x v="0"/>
    <x v="0"/>
    <x v="0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x v="109"/>
    <x v="109"/>
    <x v="109"/>
    <x v="98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x v="0"/>
    <x v="0"/>
    <x v="0"/>
    <x v="0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x v="110"/>
    <x v="110"/>
    <x v="110"/>
    <x v="99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x v="111"/>
    <x v="111"/>
    <x v="111"/>
    <x v="100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x v="112"/>
    <x v="112"/>
    <x v="112"/>
    <x v="101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x v="113"/>
    <x v="113"/>
    <x v="113"/>
    <x v="102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x v="10"/>
    <x v="10"/>
    <x v="10"/>
    <x v="10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x v="27"/>
    <x v="27"/>
    <x v="27"/>
    <x v="26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x v="114"/>
    <x v="114"/>
    <x v="114"/>
    <x v="103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x v="90"/>
    <x v="90"/>
    <x v="90"/>
    <x v="84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x v="115"/>
    <x v="115"/>
    <x v="115"/>
    <x v="104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x v="104"/>
    <x v="104"/>
    <x v="104"/>
    <x v="93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x v="116"/>
    <x v="116"/>
    <x v="116"/>
    <x v="105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x v="117"/>
    <x v="117"/>
    <x v="117"/>
    <x v="106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x v="7"/>
    <x v="7"/>
    <x v="7"/>
    <x v="7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x v="65"/>
    <x v="65"/>
    <x v="65"/>
    <x v="61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x v="118"/>
    <x v="118"/>
    <x v="118"/>
    <x v="29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x v="119"/>
    <x v="119"/>
    <x v="119"/>
    <x v="81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x v="0"/>
    <x v="0"/>
    <x v="0"/>
    <x v="0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x v="120"/>
    <x v="120"/>
    <x v="120"/>
    <x v="107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x v="121"/>
    <x v="121"/>
    <x v="121"/>
    <x v="108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x v="13"/>
    <x v="13"/>
    <x v="13"/>
    <x v="13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x v="122"/>
    <x v="122"/>
    <x v="122"/>
    <x v="109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x v="123"/>
    <x v="123"/>
    <x v="123"/>
    <x v="110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x v="124"/>
    <x v="124"/>
    <x v="124"/>
    <x v="111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x v="0"/>
    <x v="0"/>
    <x v="0"/>
    <x v="0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x v="125"/>
    <x v="125"/>
    <x v="125"/>
    <x v="112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x v="126"/>
    <x v="126"/>
    <x v="126"/>
    <x v="113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x v="127"/>
    <x v="127"/>
    <x v="127"/>
    <x v="98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x v="0"/>
    <x v="0"/>
    <x v="0"/>
    <x v="0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x v="52"/>
    <x v="52"/>
    <x v="52"/>
    <x v="50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x v="128"/>
    <x v="128"/>
    <x v="128"/>
    <x v="107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x v="129"/>
    <x v="129"/>
    <x v="77"/>
    <x v="83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x v="130"/>
    <x v="130"/>
    <x v="129"/>
    <x v="114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x v="15"/>
    <x v="15"/>
    <x v="15"/>
    <x v="15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x v="101"/>
    <x v="101"/>
    <x v="101"/>
    <x v="6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x v="131"/>
    <x v="131"/>
    <x v="130"/>
    <x v="115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x v="132"/>
    <x v="132"/>
    <x v="131"/>
    <x v="116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x v="133"/>
    <x v="133"/>
    <x v="132"/>
    <x v="78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x v="73"/>
    <x v="73"/>
    <x v="73"/>
    <x v="69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x v="134"/>
    <x v="134"/>
    <x v="133"/>
    <x v="117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x v="135"/>
    <x v="135"/>
    <x v="43"/>
    <x v="118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x v="136"/>
    <x v="136"/>
    <x v="134"/>
    <x v="119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x v="137"/>
    <x v="137"/>
    <x v="135"/>
    <x v="120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x v="0"/>
    <x v="0"/>
    <x v="0"/>
    <x v="0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x v="17"/>
    <x v="17"/>
    <x v="17"/>
    <x v="14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x v="138"/>
    <x v="138"/>
    <x v="136"/>
    <x v="121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x v="139"/>
    <x v="139"/>
    <x v="137"/>
    <x v="122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x v="140"/>
    <x v="140"/>
    <x v="138"/>
    <x v="123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x v="0"/>
    <x v="0"/>
    <x v="0"/>
    <x v="0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x v="141"/>
    <x v="141"/>
    <x v="139"/>
    <x v="124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x v="142"/>
    <x v="142"/>
    <x v="140"/>
    <x v="125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x v="143"/>
    <x v="143"/>
    <x v="141"/>
    <x v="126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x v="12"/>
    <x v="12"/>
    <x v="12"/>
    <x v="12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x v="37"/>
    <x v="37"/>
    <x v="37"/>
    <x v="36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x v="117"/>
    <x v="117"/>
    <x v="117"/>
    <x v="106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x v="144"/>
    <x v="144"/>
    <x v="142"/>
    <x v="127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x v="101"/>
    <x v="101"/>
    <x v="101"/>
    <x v="6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x v="138"/>
    <x v="138"/>
    <x v="136"/>
    <x v="121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x v="90"/>
    <x v="90"/>
    <x v="90"/>
    <x v="84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x v="145"/>
    <x v="145"/>
    <x v="143"/>
    <x v="128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x v="146"/>
    <x v="146"/>
    <x v="144"/>
    <x v="129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x v="147"/>
    <x v="147"/>
    <x v="145"/>
    <x v="124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x v="74"/>
    <x v="74"/>
    <x v="74"/>
    <x v="70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x v="30"/>
    <x v="30"/>
    <x v="30"/>
    <x v="29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x v="51"/>
    <x v="51"/>
    <x v="51"/>
    <x v="49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x v="0"/>
    <x v="0"/>
    <x v="0"/>
    <x v="0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x v="127"/>
    <x v="127"/>
    <x v="127"/>
    <x v="98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x v="0"/>
    <x v="0"/>
    <x v="0"/>
    <x v="0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x v="0"/>
    <x v="0"/>
    <x v="0"/>
    <x v="0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x v="148"/>
    <x v="148"/>
    <x v="146"/>
    <x v="130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x v="149"/>
    <x v="149"/>
    <x v="147"/>
    <x v="131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x v="0"/>
    <x v="0"/>
    <x v="0"/>
    <x v="0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x v="12"/>
    <x v="12"/>
    <x v="12"/>
    <x v="12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x v="150"/>
    <x v="150"/>
    <x v="148"/>
    <x v="132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x v="151"/>
    <x v="151"/>
    <x v="149"/>
    <x v="133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x v="0"/>
    <x v="0"/>
    <x v="0"/>
    <x v="0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x v="53"/>
    <x v="53"/>
    <x v="53"/>
    <x v="51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x v="152"/>
    <x v="152"/>
    <x v="150"/>
    <x v="13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x v="53"/>
    <x v="53"/>
    <x v="53"/>
    <x v="51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x v="24"/>
    <x v="24"/>
    <x v="24"/>
    <x v="23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x v="74"/>
    <x v="74"/>
    <x v="74"/>
    <x v="70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x v="106"/>
    <x v="106"/>
    <x v="106"/>
    <x v="95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x v="7"/>
    <x v="7"/>
    <x v="7"/>
    <x v="7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x v="0"/>
    <x v="0"/>
    <x v="0"/>
    <x v="0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x v="153"/>
    <x v="153"/>
    <x v="151"/>
    <x v="134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x v="0"/>
    <x v="0"/>
    <x v="0"/>
    <x v="0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x v="70"/>
    <x v="70"/>
    <x v="70"/>
    <x v="66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x v="66"/>
    <x v="66"/>
    <x v="66"/>
    <x v="62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x v="154"/>
    <x v="154"/>
    <x v="152"/>
    <x v="135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x v="37"/>
    <x v="37"/>
    <x v="37"/>
    <x v="36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x v="0"/>
    <x v="0"/>
    <x v="0"/>
    <x v="0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x v="155"/>
    <x v="155"/>
    <x v="153"/>
    <x v="136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x v="0"/>
    <x v="0"/>
    <x v="0"/>
    <x v="0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x v="69"/>
    <x v="69"/>
    <x v="69"/>
    <x v="65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x v="130"/>
    <x v="130"/>
    <x v="129"/>
    <x v="114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x v="156"/>
    <x v="156"/>
    <x v="154"/>
    <x v="137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x v="157"/>
    <x v="157"/>
    <x v="155"/>
    <x v="58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x v="158"/>
    <x v="158"/>
    <x v="156"/>
    <x v="138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x v="158"/>
    <x v="158"/>
    <x v="156"/>
    <x v="138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x v="159"/>
    <x v="159"/>
    <x v="157"/>
    <x v="139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x v="160"/>
    <x v="160"/>
    <x v="158"/>
    <x v="140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x v="78"/>
    <x v="78"/>
    <x v="78"/>
    <x v="74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x v="78"/>
    <x v="78"/>
    <x v="78"/>
    <x v="74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x v="161"/>
    <x v="161"/>
    <x v="36"/>
    <x v="141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x v="162"/>
    <x v="162"/>
    <x v="159"/>
    <x v="142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x v="48"/>
    <x v="48"/>
    <x v="48"/>
    <x v="46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x v="146"/>
    <x v="146"/>
    <x v="144"/>
    <x v="129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x v="90"/>
    <x v="90"/>
    <x v="90"/>
    <x v="84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x v="0"/>
    <x v="0"/>
    <x v="0"/>
    <x v="0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x v="129"/>
    <x v="129"/>
    <x v="77"/>
    <x v="83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x v="0"/>
    <x v="0"/>
    <x v="0"/>
    <x v="0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x v="163"/>
    <x v="163"/>
    <x v="160"/>
    <x v="143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x v="164"/>
    <x v="164"/>
    <x v="161"/>
    <x v="144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x v="81"/>
    <x v="81"/>
    <x v="81"/>
    <x v="32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x v="75"/>
    <x v="75"/>
    <x v="75"/>
    <x v="71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x v="165"/>
    <x v="165"/>
    <x v="162"/>
    <x v="145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x v="166"/>
    <x v="166"/>
    <x v="163"/>
    <x v="146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x v="167"/>
    <x v="167"/>
    <x v="164"/>
    <x v="147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x v="0"/>
    <x v="0"/>
    <x v="0"/>
    <x v="0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x v="14"/>
    <x v="14"/>
    <x v="14"/>
    <x v="14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x v="0"/>
    <x v="0"/>
    <x v="0"/>
    <x v="0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x v="160"/>
    <x v="160"/>
    <x v="158"/>
    <x v="140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x v="3"/>
    <x v="3"/>
    <x v="3"/>
    <x v="3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x v="168"/>
    <x v="168"/>
    <x v="165"/>
    <x v="148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x v="169"/>
    <x v="169"/>
    <x v="166"/>
    <x v="149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x v="170"/>
    <x v="170"/>
    <x v="167"/>
    <x v="150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x v="118"/>
    <x v="118"/>
    <x v="118"/>
    <x v="29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x v="56"/>
    <x v="56"/>
    <x v="56"/>
    <x v="54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x v="0"/>
    <x v="0"/>
    <x v="0"/>
    <x v="0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x v="0"/>
    <x v="0"/>
    <x v="0"/>
    <x v="0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x v="0"/>
    <x v="0"/>
    <x v="0"/>
    <x v="0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x v="158"/>
    <x v="158"/>
    <x v="156"/>
    <x v="138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x v="161"/>
    <x v="161"/>
    <x v="36"/>
    <x v="141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x v="51"/>
    <x v="51"/>
    <x v="51"/>
    <x v="49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x v="168"/>
    <x v="168"/>
    <x v="165"/>
    <x v="148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x v="130"/>
    <x v="130"/>
    <x v="129"/>
    <x v="114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x v="65"/>
    <x v="65"/>
    <x v="65"/>
    <x v="61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x v="51"/>
    <x v="51"/>
    <x v="51"/>
    <x v="49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x v="171"/>
    <x v="171"/>
    <x v="168"/>
    <x v="151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x v="172"/>
    <x v="172"/>
    <x v="169"/>
    <x v="152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x v="168"/>
    <x v="168"/>
    <x v="165"/>
    <x v="148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x v="14"/>
    <x v="14"/>
    <x v="14"/>
    <x v="14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x v="173"/>
    <x v="173"/>
    <x v="170"/>
    <x v="153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x v="155"/>
    <x v="155"/>
    <x v="153"/>
    <x v="136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x v="106"/>
    <x v="106"/>
    <x v="106"/>
    <x v="95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x v="100"/>
    <x v="100"/>
    <x v="100"/>
    <x v="35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x v="0"/>
    <x v="0"/>
    <x v="0"/>
    <x v="0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x v="174"/>
    <x v="174"/>
    <x v="171"/>
    <x v="154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x v="175"/>
    <x v="175"/>
    <x v="172"/>
    <x v="155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x v="154"/>
    <x v="154"/>
    <x v="152"/>
    <x v="135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x v="176"/>
    <x v="176"/>
    <x v="173"/>
    <x v="156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x v="37"/>
    <x v="37"/>
    <x v="37"/>
    <x v="36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x v="177"/>
    <x v="177"/>
    <x v="174"/>
    <x v="157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x v="178"/>
    <x v="178"/>
    <x v="175"/>
    <x v="158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x v="133"/>
    <x v="133"/>
    <x v="132"/>
    <x v="78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x v="81"/>
    <x v="81"/>
    <x v="81"/>
    <x v="32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x v="179"/>
    <x v="179"/>
    <x v="176"/>
    <x v="56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x v="180"/>
    <x v="180"/>
    <x v="177"/>
    <x v="159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x v="181"/>
    <x v="181"/>
    <x v="178"/>
    <x v="160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x v="182"/>
    <x v="182"/>
    <x v="179"/>
    <x v="161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x v="183"/>
    <x v="183"/>
    <x v="180"/>
    <x v="162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x v="184"/>
    <x v="184"/>
    <x v="181"/>
    <x v="163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x v="0"/>
    <x v="0"/>
    <x v="0"/>
    <x v="0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x v="0"/>
    <x v="0"/>
    <x v="0"/>
    <x v="0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x v="185"/>
    <x v="185"/>
    <x v="182"/>
    <x v="164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x v="69"/>
    <x v="69"/>
    <x v="69"/>
    <x v="65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x v="186"/>
    <x v="186"/>
    <x v="183"/>
    <x v="32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x v="187"/>
    <x v="187"/>
    <x v="184"/>
    <x v="165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x v="188"/>
    <x v="188"/>
    <x v="185"/>
    <x v="162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x v="148"/>
    <x v="148"/>
    <x v="146"/>
    <x v="130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x v="106"/>
    <x v="106"/>
    <x v="106"/>
    <x v="95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x v="189"/>
    <x v="189"/>
    <x v="186"/>
    <x v="166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x v="0"/>
    <x v="0"/>
    <x v="0"/>
    <x v="0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x v="188"/>
    <x v="188"/>
    <x v="185"/>
    <x v="162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x v="163"/>
    <x v="163"/>
    <x v="160"/>
    <x v="143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x v="0"/>
    <x v="0"/>
    <x v="0"/>
    <x v="0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x v="89"/>
    <x v="89"/>
    <x v="89"/>
    <x v="83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x v="186"/>
    <x v="186"/>
    <x v="183"/>
    <x v="32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x v="12"/>
    <x v="12"/>
    <x v="12"/>
    <x v="12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x v="190"/>
    <x v="190"/>
    <x v="187"/>
    <x v="167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x v="157"/>
    <x v="157"/>
    <x v="155"/>
    <x v="58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x v="0"/>
    <x v="0"/>
    <x v="0"/>
    <x v="0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x v="191"/>
    <x v="191"/>
    <x v="188"/>
    <x v="168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x v="0"/>
    <x v="0"/>
    <x v="0"/>
    <x v="0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x v="192"/>
    <x v="192"/>
    <x v="189"/>
    <x v="169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x v="20"/>
    <x v="20"/>
    <x v="20"/>
    <x v="19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x v="25"/>
    <x v="25"/>
    <x v="25"/>
    <x v="24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x v="73"/>
    <x v="73"/>
    <x v="73"/>
    <x v="69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x v="193"/>
    <x v="193"/>
    <x v="190"/>
    <x v="170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x v="76"/>
    <x v="76"/>
    <x v="76"/>
    <x v="72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x v="194"/>
    <x v="194"/>
    <x v="191"/>
    <x v="171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x v="195"/>
    <x v="195"/>
    <x v="192"/>
    <x v="172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x v="41"/>
    <x v="41"/>
    <x v="41"/>
    <x v="39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x v="191"/>
    <x v="191"/>
    <x v="188"/>
    <x v="168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x v="0"/>
    <x v="0"/>
    <x v="0"/>
    <x v="0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x v="106"/>
    <x v="106"/>
    <x v="106"/>
    <x v="95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x v="87"/>
    <x v="87"/>
    <x v="87"/>
    <x v="81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x v="196"/>
    <x v="196"/>
    <x v="6"/>
    <x v="173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x v="186"/>
    <x v="186"/>
    <x v="183"/>
    <x v="32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x v="69"/>
    <x v="69"/>
    <x v="69"/>
    <x v="65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x v="197"/>
    <x v="197"/>
    <x v="193"/>
    <x v="174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x v="100"/>
    <x v="100"/>
    <x v="100"/>
    <x v="35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x v="1"/>
    <x v="1"/>
    <x v="1"/>
    <x v="1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x v="198"/>
    <x v="198"/>
    <x v="194"/>
    <x v="175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x v="199"/>
    <x v="199"/>
    <x v="23"/>
    <x v="176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x v="200"/>
    <x v="200"/>
    <x v="195"/>
    <x v="177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x v="116"/>
    <x v="116"/>
    <x v="116"/>
    <x v="105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x v="201"/>
    <x v="201"/>
    <x v="196"/>
    <x v="74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x v="202"/>
    <x v="202"/>
    <x v="197"/>
    <x v="178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x v="29"/>
    <x v="29"/>
    <x v="29"/>
    <x v="28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x v="130"/>
    <x v="130"/>
    <x v="129"/>
    <x v="114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x v="69"/>
    <x v="69"/>
    <x v="69"/>
    <x v="65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x v="203"/>
    <x v="203"/>
    <x v="198"/>
    <x v="179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x v="7"/>
    <x v="7"/>
    <x v="7"/>
    <x v="7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x v="63"/>
    <x v="63"/>
    <x v="63"/>
    <x v="59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x v="204"/>
    <x v="204"/>
    <x v="199"/>
    <x v="180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x v="205"/>
    <x v="205"/>
    <x v="200"/>
    <x v="181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x v="0"/>
    <x v="0"/>
    <x v="0"/>
    <x v="0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x v="206"/>
    <x v="206"/>
    <x v="201"/>
    <x v="182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x v="207"/>
    <x v="207"/>
    <x v="202"/>
    <x v="114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x v="208"/>
    <x v="208"/>
    <x v="203"/>
    <x v="183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x v="1"/>
    <x v="1"/>
    <x v="1"/>
    <x v="1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x v="2"/>
    <x v="2"/>
    <x v="2"/>
    <x v="2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x v="183"/>
    <x v="183"/>
    <x v="180"/>
    <x v="162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x v="151"/>
    <x v="151"/>
    <x v="149"/>
    <x v="133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x v="184"/>
    <x v="184"/>
    <x v="181"/>
    <x v="163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x v="177"/>
    <x v="177"/>
    <x v="174"/>
    <x v="157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x v="3"/>
    <x v="3"/>
    <x v="3"/>
    <x v="3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x v="0"/>
    <x v="0"/>
    <x v="0"/>
    <x v="0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x v="209"/>
    <x v="209"/>
    <x v="120"/>
    <x v="184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x v="49"/>
    <x v="49"/>
    <x v="49"/>
    <x v="47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x v="210"/>
    <x v="210"/>
    <x v="204"/>
    <x v="185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x v="211"/>
    <x v="211"/>
    <x v="205"/>
    <x v="43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x v="23"/>
    <x v="23"/>
    <x v="23"/>
    <x v="22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x v="53"/>
    <x v="53"/>
    <x v="53"/>
    <x v="51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x v="96"/>
    <x v="96"/>
    <x v="96"/>
    <x v="89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x v="183"/>
    <x v="183"/>
    <x v="180"/>
    <x v="162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x v="212"/>
    <x v="212"/>
    <x v="206"/>
    <x v="186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x v="38"/>
    <x v="38"/>
    <x v="38"/>
    <x v="37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x v="66"/>
    <x v="66"/>
    <x v="66"/>
    <x v="62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x v="18"/>
    <x v="18"/>
    <x v="18"/>
    <x v="17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x v="213"/>
    <x v="213"/>
    <x v="6"/>
    <x v="187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x v="13"/>
    <x v="13"/>
    <x v="13"/>
    <x v="13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x v="32"/>
    <x v="32"/>
    <x v="32"/>
    <x v="31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x v="0"/>
    <x v="0"/>
    <x v="0"/>
    <x v="0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x v="214"/>
    <x v="214"/>
    <x v="207"/>
    <x v="188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x v="168"/>
    <x v="168"/>
    <x v="165"/>
    <x v="148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x v="215"/>
    <x v="215"/>
    <x v="111"/>
    <x v="189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x v="216"/>
    <x v="216"/>
    <x v="208"/>
    <x v="190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x v="141"/>
    <x v="141"/>
    <x v="139"/>
    <x v="124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x v="73"/>
    <x v="73"/>
    <x v="73"/>
    <x v="69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x v="47"/>
    <x v="47"/>
    <x v="47"/>
    <x v="45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x v="56"/>
    <x v="56"/>
    <x v="56"/>
    <x v="54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x v="0"/>
    <x v="0"/>
    <x v="0"/>
    <x v="0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x v="217"/>
    <x v="217"/>
    <x v="209"/>
    <x v="191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x v="186"/>
    <x v="186"/>
    <x v="183"/>
    <x v="32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x v="47"/>
    <x v="47"/>
    <x v="47"/>
    <x v="45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x v="160"/>
    <x v="160"/>
    <x v="158"/>
    <x v="140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x v="141"/>
    <x v="141"/>
    <x v="139"/>
    <x v="124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x v="69"/>
    <x v="69"/>
    <x v="69"/>
    <x v="65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x v="178"/>
    <x v="178"/>
    <x v="175"/>
    <x v="158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x v="215"/>
    <x v="215"/>
    <x v="111"/>
    <x v="189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x v="218"/>
    <x v="218"/>
    <x v="210"/>
    <x v="192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x v="136"/>
    <x v="136"/>
    <x v="134"/>
    <x v="119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x v="116"/>
    <x v="116"/>
    <x v="116"/>
    <x v="105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x v="219"/>
    <x v="219"/>
    <x v="211"/>
    <x v="193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x v="220"/>
    <x v="220"/>
    <x v="212"/>
    <x v="146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x v="221"/>
    <x v="221"/>
    <x v="213"/>
    <x v="6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x v="220"/>
    <x v="220"/>
    <x v="212"/>
    <x v="146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x v="222"/>
    <x v="222"/>
    <x v="214"/>
    <x v="194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x v="223"/>
    <x v="223"/>
    <x v="215"/>
    <x v="44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x v="224"/>
    <x v="224"/>
    <x v="216"/>
    <x v="18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x v="158"/>
    <x v="158"/>
    <x v="156"/>
    <x v="138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x v="225"/>
    <x v="225"/>
    <x v="217"/>
    <x v="195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x v="226"/>
    <x v="226"/>
    <x v="218"/>
    <x v="37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x v="125"/>
    <x v="125"/>
    <x v="125"/>
    <x v="112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x v="0"/>
    <x v="0"/>
    <x v="0"/>
    <x v="0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x v="2"/>
    <x v="2"/>
    <x v="2"/>
    <x v="2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x v="227"/>
    <x v="227"/>
    <x v="219"/>
    <x v="196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x v="228"/>
    <x v="228"/>
    <x v="220"/>
    <x v="197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x v="146"/>
    <x v="146"/>
    <x v="144"/>
    <x v="129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x v="75"/>
    <x v="75"/>
    <x v="75"/>
    <x v="71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x v="28"/>
    <x v="28"/>
    <x v="28"/>
    <x v="27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x v="73"/>
    <x v="73"/>
    <x v="73"/>
    <x v="69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x v="90"/>
    <x v="90"/>
    <x v="90"/>
    <x v="84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x v="229"/>
    <x v="229"/>
    <x v="221"/>
    <x v="22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x v="173"/>
    <x v="173"/>
    <x v="170"/>
    <x v="153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x v="198"/>
    <x v="198"/>
    <x v="194"/>
    <x v="175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x v="230"/>
    <x v="230"/>
    <x v="222"/>
    <x v="198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x v="231"/>
    <x v="231"/>
    <x v="223"/>
    <x v="35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x v="13"/>
    <x v="13"/>
    <x v="13"/>
    <x v="13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x v="232"/>
    <x v="232"/>
    <x v="224"/>
    <x v="199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x v="152"/>
    <x v="152"/>
    <x v="150"/>
    <x v="13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x v="233"/>
    <x v="233"/>
    <x v="225"/>
    <x v="123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x v="0"/>
    <x v="0"/>
    <x v="0"/>
    <x v="0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x v="61"/>
    <x v="61"/>
    <x v="61"/>
    <x v="57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x v="234"/>
    <x v="234"/>
    <x v="226"/>
    <x v="59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x v="235"/>
    <x v="235"/>
    <x v="227"/>
    <x v="116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x v="4"/>
    <x v="4"/>
    <x v="4"/>
    <x v="4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x v="236"/>
    <x v="236"/>
    <x v="228"/>
    <x v="200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x v="80"/>
    <x v="80"/>
    <x v="80"/>
    <x v="76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x v="36"/>
    <x v="36"/>
    <x v="36"/>
    <x v="35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x v="237"/>
    <x v="237"/>
    <x v="229"/>
    <x v="201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x v="238"/>
    <x v="238"/>
    <x v="230"/>
    <x v="170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x v="204"/>
    <x v="204"/>
    <x v="199"/>
    <x v="180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x v="22"/>
    <x v="22"/>
    <x v="22"/>
    <x v="21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x v="75"/>
    <x v="75"/>
    <x v="75"/>
    <x v="71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x v="22"/>
    <x v="22"/>
    <x v="22"/>
    <x v="21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x v="239"/>
    <x v="239"/>
    <x v="231"/>
    <x v="202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x v="0"/>
    <x v="0"/>
    <x v="0"/>
    <x v="0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x v="112"/>
    <x v="112"/>
    <x v="112"/>
    <x v="101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x v="240"/>
    <x v="240"/>
    <x v="232"/>
    <x v="119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x v="222"/>
    <x v="222"/>
    <x v="214"/>
    <x v="194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x v="0"/>
    <x v="0"/>
    <x v="0"/>
    <x v="0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x v="241"/>
    <x v="241"/>
    <x v="233"/>
    <x v="203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x v="240"/>
    <x v="240"/>
    <x v="232"/>
    <x v="119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x v="242"/>
    <x v="242"/>
    <x v="234"/>
    <x v="204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x v="73"/>
    <x v="73"/>
    <x v="73"/>
    <x v="69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x v="181"/>
    <x v="181"/>
    <x v="178"/>
    <x v="160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x v="243"/>
    <x v="243"/>
    <x v="235"/>
    <x v="205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x v="12"/>
    <x v="12"/>
    <x v="12"/>
    <x v="12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x v="244"/>
    <x v="244"/>
    <x v="236"/>
    <x v="206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x v="76"/>
    <x v="76"/>
    <x v="76"/>
    <x v="72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x v="43"/>
    <x v="43"/>
    <x v="43"/>
    <x v="41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x v="178"/>
    <x v="178"/>
    <x v="175"/>
    <x v="158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x v="191"/>
    <x v="191"/>
    <x v="188"/>
    <x v="168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x v="245"/>
    <x v="245"/>
    <x v="237"/>
    <x v="207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x v="246"/>
    <x v="246"/>
    <x v="114"/>
    <x v="208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x v="247"/>
    <x v="247"/>
    <x v="238"/>
    <x v="209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x v="186"/>
    <x v="186"/>
    <x v="183"/>
    <x v="32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x v="166"/>
    <x v="166"/>
    <x v="163"/>
    <x v="146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x v="94"/>
    <x v="94"/>
    <x v="94"/>
    <x v="87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x v="248"/>
    <x v="248"/>
    <x v="239"/>
    <x v="210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x v="169"/>
    <x v="169"/>
    <x v="166"/>
    <x v="149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x v="26"/>
    <x v="26"/>
    <x v="26"/>
    <x v="25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x v="219"/>
    <x v="219"/>
    <x v="211"/>
    <x v="193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x v="249"/>
    <x v="249"/>
    <x v="240"/>
    <x v="112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x v="250"/>
    <x v="250"/>
    <x v="241"/>
    <x v="211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x v="251"/>
    <x v="251"/>
    <x v="242"/>
    <x v="98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x v="252"/>
    <x v="252"/>
    <x v="243"/>
    <x v="212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x v="253"/>
    <x v="253"/>
    <x v="244"/>
    <x v="213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x v="254"/>
    <x v="254"/>
    <x v="245"/>
    <x v="214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x v="99"/>
    <x v="99"/>
    <x v="99"/>
    <x v="92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x v="62"/>
    <x v="62"/>
    <x v="62"/>
    <x v="58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x v="255"/>
    <x v="255"/>
    <x v="246"/>
    <x v="143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x v="219"/>
    <x v="219"/>
    <x v="211"/>
    <x v="193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x v="256"/>
    <x v="256"/>
    <x v="247"/>
    <x v="18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x v="29"/>
    <x v="29"/>
    <x v="29"/>
    <x v="28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x v="257"/>
    <x v="257"/>
    <x v="248"/>
    <x v="215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x v="258"/>
    <x v="258"/>
    <x v="249"/>
    <x v="216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x v="29"/>
    <x v="29"/>
    <x v="29"/>
    <x v="28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x v="29"/>
    <x v="29"/>
    <x v="29"/>
    <x v="28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x v="259"/>
    <x v="259"/>
    <x v="250"/>
    <x v="217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x v="260"/>
    <x v="260"/>
    <x v="251"/>
    <x v="218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x v="0"/>
    <x v="0"/>
    <x v="0"/>
    <x v="0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x v="0"/>
    <x v="0"/>
    <x v="0"/>
    <x v="0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x v="261"/>
    <x v="261"/>
    <x v="63"/>
    <x v="219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x v="261"/>
    <x v="261"/>
    <x v="63"/>
    <x v="219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x v="14"/>
    <x v="14"/>
    <x v="14"/>
    <x v="14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x v="106"/>
    <x v="106"/>
    <x v="106"/>
    <x v="95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x v="239"/>
    <x v="239"/>
    <x v="231"/>
    <x v="202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x v="262"/>
    <x v="262"/>
    <x v="252"/>
    <x v="220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x v="89"/>
    <x v="89"/>
    <x v="89"/>
    <x v="83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x v="263"/>
    <x v="263"/>
    <x v="253"/>
    <x v="221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x v="264"/>
    <x v="264"/>
    <x v="254"/>
    <x v="222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x v="137"/>
    <x v="137"/>
    <x v="135"/>
    <x v="120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x v="219"/>
    <x v="219"/>
    <x v="211"/>
    <x v="193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x v="265"/>
    <x v="265"/>
    <x v="59"/>
    <x v="50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x v="76"/>
    <x v="76"/>
    <x v="76"/>
    <x v="72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x v="171"/>
    <x v="171"/>
    <x v="168"/>
    <x v="151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x v="68"/>
    <x v="68"/>
    <x v="68"/>
    <x v="64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x v="46"/>
    <x v="46"/>
    <x v="46"/>
    <x v="44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x v="263"/>
    <x v="263"/>
    <x v="253"/>
    <x v="221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x v="41"/>
    <x v="41"/>
    <x v="41"/>
    <x v="39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x v="266"/>
    <x v="266"/>
    <x v="93"/>
    <x v="223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x v="267"/>
    <x v="267"/>
    <x v="211"/>
    <x v="74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x v="78"/>
    <x v="78"/>
    <x v="78"/>
    <x v="74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x v="160"/>
    <x v="160"/>
    <x v="158"/>
    <x v="140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x v="263"/>
    <x v="263"/>
    <x v="253"/>
    <x v="221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x v="184"/>
    <x v="184"/>
    <x v="181"/>
    <x v="163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x v="12"/>
    <x v="12"/>
    <x v="12"/>
    <x v="12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x v="197"/>
    <x v="197"/>
    <x v="193"/>
    <x v="174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x v="255"/>
    <x v="255"/>
    <x v="246"/>
    <x v="143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x v="18"/>
    <x v="18"/>
    <x v="18"/>
    <x v="17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x v="239"/>
    <x v="239"/>
    <x v="231"/>
    <x v="202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x v="13"/>
    <x v="13"/>
    <x v="13"/>
    <x v="13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x v="268"/>
    <x v="268"/>
    <x v="255"/>
    <x v="224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x v="0"/>
    <x v="0"/>
    <x v="0"/>
    <x v="0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x v="133"/>
    <x v="133"/>
    <x v="132"/>
    <x v="78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x v="269"/>
    <x v="269"/>
    <x v="256"/>
    <x v="225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x v="164"/>
    <x v="164"/>
    <x v="161"/>
    <x v="144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x v="117"/>
    <x v="117"/>
    <x v="117"/>
    <x v="106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x v="193"/>
    <x v="193"/>
    <x v="190"/>
    <x v="170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x v="73"/>
    <x v="73"/>
    <x v="73"/>
    <x v="69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x v="270"/>
    <x v="270"/>
    <x v="162"/>
    <x v="70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x v="238"/>
    <x v="238"/>
    <x v="230"/>
    <x v="170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x v="152"/>
    <x v="152"/>
    <x v="150"/>
    <x v="13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x v="79"/>
    <x v="79"/>
    <x v="79"/>
    <x v="75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x v="13"/>
    <x v="13"/>
    <x v="13"/>
    <x v="13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x v="207"/>
    <x v="207"/>
    <x v="202"/>
    <x v="114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x v="271"/>
    <x v="271"/>
    <x v="257"/>
    <x v="226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x v="260"/>
    <x v="260"/>
    <x v="251"/>
    <x v="218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x v="78"/>
    <x v="78"/>
    <x v="78"/>
    <x v="74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x v="197"/>
    <x v="197"/>
    <x v="193"/>
    <x v="174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x v="28"/>
    <x v="28"/>
    <x v="28"/>
    <x v="27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x v="272"/>
    <x v="272"/>
    <x v="258"/>
    <x v="227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x v="191"/>
    <x v="191"/>
    <x v="188"/>
    <x v="168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x v="241"/>
    <x v="241"/>
    <x v="233"/>
    <x v="203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x v="273"/>
    <x v="273"/>
    <x v="259"/>
    <x v="228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x v="203"/>
    <x v="203"/>
    <x v="198"/>
    <x v="179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x v="114"/>
    <x v="114"/>
    <x v="114"/>
    <x v="103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x v="168"/>
    <x v="168"/>
    <x v="165"/>
    <x v="148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x v="90"/>
    <x v="90"/>
    <x v="90"/>
    <x v="84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x v="90"/>
    <x v="90"/>
    <x v="90"/>
    <x v="84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x v="186"/>
    <x v="186"/>
    <x v="183"/>
    <x v="32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x v="274"/>
    <x v="274"/>
    <x v="74"/>
    <x v="229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x v="275"/>
    <x v="275"/>
    <x v="137"/>
    <x v="72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x v="63"/>
    <x v="63"/>
    <x v="63"/>
    <x v="59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x v="276"/>
    <x v="276"/>
    <x v="260"/>
    <x v="230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x v="222"/>
    <x v="222"/>
    <x v="214"/>
    <x v="194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x v="230"/>
    <x v="230"/>
    <x v="222"/>
    <x v="198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x v="268"/>
    <x v="268"/>
    <x v="255"/>
    <x v="224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x v="277"/>
    <x v="277"/>
    <x v="261"/>
    <x v="123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x v="271"/>
    <x v="271"/>
    <x v="257"/>
    <x v="226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x v="278"/>
    <x v="278"/>
    <x v="262"/>
    <x v="231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x v="279"/>
    <x v="279"/>
    <x v="263"/>
    <x v="232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x v="0"/>
    <x v="0"/>
    <x v="0"/>
    <x v="0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x v="280"/>
    <x v="280"/>
    <x v="264"/>
    <x v="233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x v="47"/>
    <x v="47"/>
    <x v="47"/>
    <x v="45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x v="281"/>
    <x v="281"/>
    <x v="265"/>
    <x v="234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x v="268"/>
    <x v="268"/>
    <x v="255"/>
    <x v="224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x v="282"/>
    <x v="282"/>
    <x v="266"/>
    <x v="235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x v="0"/>
    <x v="0"/>
    <x v="0"/>
    <x v="0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x v="191"/>
    <x v="191"/>
    <x v="188"/>
    <x v="168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x v="241"/>
    <x v="241"/>
    <x v="233"/>
    <x v="203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x v="283"/>
    <x v="283"/>
    <x v="267"/>
    <x v="22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x v="284"/>
    <x v="284"/>
    <x v="268"/>
    <x v="236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x v="285"/>
    <x v="285"/>
    <x v="263"/>
    <x v="36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x v="198"/>
    <x v="198"/>
    <x v="194"/>
    <x v="175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x v="198"/>
    <x v="198"/>
    <x v="194"/>
    <x v="175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x v="56"/>
    <x v="56"/>
    <x v="56"/>
    <x v="54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x v="178"/>
    <x v="178"/>
    <x v="175"/>
    <x v="15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x v="286"/>
    <x v="286"/>
    <x v="149"/>
    <x v="12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x v="287"/>
    <x v="287"/>
    <x v="269"/>
    <x v="151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x v="288"/>
    <x v="288"/>
    <x v="270"/>
    <x v="237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x v="74"/>
    <x v="74"/>
    <x v="74"/>
    <x v="70"/>
    <x v="4"/>
    <x v="0"/>
    <m/>
    <n v="1"/>
    <m/>
    <m/>
    <m/>
    <m/>
    <m/>
    <m/>
    <m/>
    <m/>
    <m/>
    <m/>
    <n v="1"/>
    <x v="298"/>
    <m/>
    <n v="1"/>
    <m/>
    <x v="0"/>
    <x v="151"/>
  </r>
  <r>
    <x v="239"/>
    <x v="239"/>
    <x v="231"/>
    <x v="202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x v="183"/>
    <x v="183"/>
    <x v="180"/>
    <x v="162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x v="289"/>
    <x v="289"/>
    <x v="271"/>
    <x v="61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x v="290"/>
    <x v="290"/>
    <x v="272"/>
    <x v="238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x v="291"/>
    <x v="291"/>
    <x v="92"/>
    <x v="35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x v="241"/>
    <x v="241"/>
    <x v="233"/>
    <x v="203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x v="93"/>
    <x v="93"/>
    <x v="93"/>
    <x v="86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x v="292"/>
    <x v="292"/>
    <x v="273"/>
    <x v="239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x v="251"/>
    <x v="251"/>
    <x v="242"/>
    <x v="98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x v="293"/>
    <x v="293"/>
    <x v="274"/>
    <x v="240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x v="294"/>
    <x v="294"/>
    <x v="213"/>
    <x v="241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x v="295"/>
    <x v="295"/>
    <x v="275"/>
    <x v="242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x v="137"/>
    <x v="137"/>
    <x v="135"/>
    <x v="120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x v="232"/>
    <x v="232"/>
    <x v="224"/>
    <x v="199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x v="239"/>
    <x v="239"/>
    <x v="231"/>
    <x v="202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x v="168"/>
    <x v="168"/>
    <x v="165"/>
    <x v="148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x v="245"/>
    <x v="245"/>
    <x v="237"/>
    <x v="207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x v="186"/>
    <x v="186"/>
    <x v="183"/>
    <x v="32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x v="48"/>
    <x v="48"/>
    <x v="48"/>
    <x v="46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x v="296"/>
    <x v="296"/>
    <x v="276"/>
    <x v="243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x v="280"/>
    <x v="280"/>
    <x v="264"/>
    <x v="233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x v="241"/>
    <x v="241"/>
    <x v="233"/>
    <x v="203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x v="139"/>
    <x v="139"/>
    <x v="137"/>
    <x v="122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x v="116"/>
    <x v="116"/>
    <x v="116"/>
    <x v="105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x v="297"/>
    <x v="297"/>
    <x v="277"/>
    <x v="244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x v="298"/>
    <x v="298"/>
    <x v="278"/>
    <x v="245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x v="299"/>
    <x v="299"/>
    <x v="279"/>
    <x v="246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x v="220"/>
    <x v="220"/>
    <x v="212"/>
    <x v="146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x v="300"/>
    <x v="300"/>
    <x v="280"/>
    <x v="247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x v="172"/>
    <x v="172"/>
    <x v="169"/>
    <x v="152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x v="301"/>
    <x v="301"/>
    <x v="281"/>
    <x v="248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x v="2"/>
    <x v="2"/>
    <x v="2"/>
    <x v="2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x v="56"/>
    <x v="56"/>
    <x v="56"/>
    <x v="54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x v="259"/>
    <x v="259"/>
    <x v="250"/>
    <x v="217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x v="20"/>
    <x v="20"/>
    <x v="20"/>
    <x v="19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x v="9"/>
    <x v="9"/>
    <x v="9"/>
    <x v="9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x v="108"/>
    <x v="108"/>
    <x v="108"/>
    <x v="97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x v="110"/>
    <x v="110"/>
    <x v="110"/>
    <x v="99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x v="295"/>
    <x v="295"/>
    <x v="275"/>
    <x v="242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x v="75"/>
    <x v="75"/>
    <x v="75"/>
    <x v="71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x v="241"/>
    <x v="241"/>
    <x v="233"/>
    <x v="203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x v="302"/>
    <x v="302"/>
    <x v="282"/>
    <x v="249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x v="69"/>
    <x v="69"/>
    <x v="69"/>
    <x v="65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x v="41"/>
    <x v="41"/>
    <x v="41"/>
    <x v="39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x v="303"/>
    <x v="303"/>
    <x v="190"/>
    <x v="250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x v="273"/>
    <x v="273"/>
    <x v="259"/>
    <x v="228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x v="53"/>
    <x v="53"/>
    <x v="53"/>
    <x v="51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x v="232"/>
    <x v="232"/>
    <x v="224"/>
    <x v="199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x v="304"/>
    <x v="304"/>
    <x v="252"/>
    <x v="52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x v="305"/>
    <x v="305"/>
    <x v="283"/>
    <x v="143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x v="306"/>
    <x v="306"/>
    <x v="190"/>
    <x v="251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x v="307"/>
    <x v="307"/>
    <x v="284"/>
    <x v="238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x v="22"/>
    <x v="22"/>
    <x v="22"/>
    <x v="21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x v="308"/>
    <x v="308"/>
    <x v="285"/>
    <x v="12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x v="309"/>
    <x v="309"/>
    <x v="286"/>
    <x v="20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x v="52"/>
    <x v="52"/>
    <x v="52"/>
    <x v="50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x v="29"/>
    <x v="29"/>
    <x v="29"/>
    <x v="28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x v="130"/>
    <x v="130"/>
    <x v="129"/>
    <x v="114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x v="310"/>
    <x v="310"/>
    <x v="287"/>
    <x v="252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x v="298"/>
    <x v="298"/>
    <x v="278"/>
    <x v="245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x v="177"/>
    <x v="177"/>
    <x v="174"/>
    <x v="157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x v="311"/>
    <x v="311"/>
    <x v="288"/>
    <x v="253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x v="312"/>
    <x v="312"/>
    <x v="289"/>
    <x v="254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x v="73"/>
    <x v="73"/>
    <x v="73"/>
    <x v="69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x v="59"/>
    <x v="59"/>
    <x v="59"/>
    <x v="55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x v="0"/>
    <x v="0"/>
    <x v="0"/>
    <x v="0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x v="313"/>
    <x v="313"/>
    <x v="164"/>
    <x v="255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x v="290"/>
    <x v="290"/>
    <x v="272"/>
    <x v="238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x v="240"/>
    <x v="240"/>
    <x v="232"/>
    <x v="119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x v="59"/>
    <x v="59"/>
    <x v="59"/>
    <x v="55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x v="314"/>
    <x v="314"/>
    <x v="290"/>
    <x v="256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x v="241"/>
    <x v="241"/>
    <x v="233"/>
    <x v="203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x v="315"/>
    <x v="315"/>
    <x v="88"/>
    <x v="257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x v="238"/>
    <x v="238"/>
    <x v="230"/>
    <x v="170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x v="219"/>
    <x v="219"/>
    <x v="211"/>
    <x v="193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x v="316"/>
    <x v="316"/>
    <x v="291"/>
    <x v="112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x v="73"/>
    <x v="73"/>
    <x v="73"/>
    <x v="69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x v="317"/>
    <x v="317"/>
    <x v="292"/>
    <x v="258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x v="318"/>
    <x v="318"/>
    <x v="293"/>
    <x v="259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x v="219"/>
    <x v="219"/>
    <x v="211"/>
    <x v="193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x v="15"/>
    <x v="15"/>
    <x v="15"/>
    <x v="15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x v="189"/>
    <x v="189"/>
    <x v="186"/>
    <x v="166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x v="319"/>
    <x v="319"/>
    <x v="294"/>
    <x v="260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x v="239"/>
    <x v="239"/>
    <x v="231"/>
    <x v="202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x v="320"/>
    <x v="320"/>
    <x v="295"/>
    <x v="261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x v="321"/>
    <x v="321"/>
    <x v="296"/>
    <x v="262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x v="184"/>
    <x v="184"/>
    <x v="181"/>
    <x v="163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x v="322"/>
    <x v="322"/>
    <x v="297"/>
    <x v="263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x v="309"/>
    <x v="309"/>
    <x v="286"/>
    <x v="20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x v="323"/>
    <x v="323"/>
    <x v="96"/>
    <x v="264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x v="72"/>
    <x v="72"/>
    <x v="72"/>
    <x v="68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x v="324"/>
    <x v="324"/>
    <x v="298"/>
    <x v="265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x v="325"/>
    <x v="325"/>
    <x v="299"/>
    <x v="266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x v="225"/>
    <x v="225"/>
    <x v="217"/>
    <x v="195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x v="11"/>
    <x v="11"/>
    <x v="11"/>
    <x v="11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x v="243"/>
    <x v="243"/>
    <x v="235"/>
    <x v="205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x v="326"/>
    <x v="326"/>
    <x v="300"/>
    <x v="12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x v="272"/>
    <x v="272"/>
    <x v="258"/>
    <x v="227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x v="327"/>
    <x v="327"/>
    <x v="301"/>
    <x v="267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x v="122"/>
    <x v="122"/>
    <x v="122"/>
    <x v="109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x v="328"/>
    <x v="328"/>
    <x v="302"/>
    <x v="268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x v="159"/>
    <x v="159"/>
    <x v="157"/>
    <x v="139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x v="225"/>
    <x v="225"/>
    <x v="217"/>
    <x v="195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x v="329"/>
    <x v="329"/>
    <x v="303"/>
    <x v="16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x v="217"/>
    <x v="217"/>
    <x v="209"/>
    <x v="191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x v="279"/>
    <x v="279"/>
    <x v="263"/>
    <x v="232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x v="73"/>
    <x v="73"/>
    <x v="73"/>
    <x v="69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x v="279"/>
    <x v="279"/>
    <x v="263"/>
    <x v="232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x v="110"/>
    <x v="110"/>
    <x v="110"/>
    <x v="99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x v="191"/>
    <x v="191"/>
    <x v="188"/>
    <x v="168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x v="330"/>
    <x v="330"/>
    <x v="304"/>
    <x v="269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x v="331"/>
    <x v="331"/>
    <x v="305"/>
    <x v="270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x v="102"/>
    <x v="102"/>
    <x v="102"/>
    <x v="35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x v="203"/>
    <x v="203"/>
    <x v="198"/>
    <x v="179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x v="25"/>
    <x v="25"/>
    <x v="25"/>
    <x v="24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x v="71"/>
    <x v="71"/>
    <x v="71"/>
    <x v="67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x v="332"/>
    <x v="332"/>
    <x v="306"/>
    <x v="271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x v="186"/>
    <x v="186"/>
    <x v="183"/>
    <x v="32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x v="134"/>
    <x v="134"/>
    <x v="133"/>
    <x v="117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x v="47"/>
    <x v="47"/>
    <x v="47"/>
    <x v="45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x v="149"/>
    <x v="149"/>
    <x v="147"/>
    <x v="131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x v="333"/>
    <x v="333"/>
    <x v="40"/>
    <x v="124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x v="93"/>
    <x v="93"/>
    <x v="93"/>
    <x v="86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x v="65"/>
    <x v="65"/>
    <x v="65"/>
    <x v="61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x v="288"/>
    <x v="288"/>
    <x v="270"/>
    <x v="237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x v="334"/>
    <x v="334"/>
    <x v="307"/>
    <x v="272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x v="335"/>
    <x v="335"/>
    <x v="308"/>
    <x v="273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x v="336"/>
    <x v="336"/>
    <x v="309"/>
    <x v="238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x v="152"/>
    <x v="152"/>
    <x v="150"/>
    <x v="13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x v="201"/>
    <x v="201"/>
    <x v="196"/>
    <x v="74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x v="337"/>
    <x v="337"/>
    <x v="310"/>
    <x v="274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x v="231"/>
    <x v="231"/>
    <x v="223"/>
    <x v="35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x v="281"/>
    <x v="281"/>
    <x v="265"/>
    <x v="234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x v="338"/>
    <x v="338"/>
    <x v="311"/>
    <x v="275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x v="339"/>
    <x v="339"/>
    <x v="312"/>
    <x v="276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x v="296"/>
    <x v="296"/>
    <x v="276"/>
    <x v="243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x v="340"/>
    <x v="340"/>
    <x v="313"/>
    <x v="277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x v="341"/>
    <x v="341"/>
    <x v="314"/>
    <x v="278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x v="200"/>
    <x v="200"/>
    <x v="195"/>
    <x v="177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x v="342"/>
    <x v="342"/>
    <x v="315"/>
    <x v="279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x v="185"/>
    <x v="185"/>
    <x v="182"/>
    <x v="164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x v="185"/>
    <x v="185"/>
    <x v="182"/>
    <x v="164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x v="104"/>
    <x v="104"/>
    <x v="104"/>
    <x v="93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x v="321"/>
    <x v="321"/>
    <x v="296"/>
    <x v="262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x v="37"/>
    <x v="37"/>
    <x v="37"/>
    <x v="36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x v="343"/>
    <x v="343"/>
    <x v="316"/>
    <x v="104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x v="269"/>
    <x v="269"/>
    <x v="256"/>
    <x v="225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x v="344"/>
    <x v="344"/>
    <x v="317"/>
    <x v="14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x v="177"/>
    <x v="177"/>
    <x v="174"/>
    <x v="157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x v="256"/>
    <x v="256"/>
    <x v="247"/>
    <x v="18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x v="345"/>
    <x v="345"/>
    <x v="318"/>
    <x v="280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x v="151"/>
    <x v="151"/>
    <x v="149"/>
    <x v="133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x v="19"/>
    <x v="19"/>
    <x v="19"/>
    <x v="18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x v="10"/>
    <x v="10"/>
    <x v="10"/>
    <x v="10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x v="346"/>
    <x v="346"/>
    <x v="279"/>
    <x v="281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x v="326"/>
    <x v="326"/>
    <x v="300"/>
    <x v="12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x v="72"/>
    <x v="72"/>
    <x v="72"/>
    <x v="68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x v="65"/>
    <x v="65"/>
    <x v="65"/>
    <x v="61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x v="260"/>
    <x v="260"/>
    <x v="251"/>
    <x v="218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x v="158"/>
    <x v="158"/>
    <x v="156"/>
    <x v="138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x v="260"/>
    <x v="260"/>
    <x v="251"/>
    <x v="218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x v="347"/>
    <x v="347"/>
    <x v="319"/>
    <x v="282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x v="78"/>
    <x v="78"/>
    <x v="78"/>
    <x v="74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x v="288"/>
    <x v="288"/>
    <x v="270"/>
    <x v="237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x v="56"/>
    <x v="56"/>
    <x v="56"/>
    <x v="54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x v="132"/>
    <x v="132"/>
    <x v="131"/>
    <x v="116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x v="348"/>
    <x v="348"/>
    <x v="320"/>
    <x v="283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x v="12"/>
    <x v="12"/>
    <x v="12"/>
    <x v="12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x v="295"/>
    <x v="295"/>
    <x v="275"/>
    <x v="242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x v="349"/>
    <x v="349"/>
    <x v="321"/>
    <x v="284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x v="83"/>
    <x v="83"/>
    <x v="83"/>
    <x v="77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x v="43"/>
    <x v="43"/>
    <x v="43"/>
    <x v="41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x v="350"/>
    <x v="350"/>
    <x v="322"/>
    <x v="44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x v="351"/>
    <x v="351"/>
    <x v="323"/>
    <x v="70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x v="101"/>
    <x v="101"/>
    <x v="101"/>
    <x v="6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x v="20"/>
    <x v="20"/>
    <x v="20"/>
    <x v="19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x v="337"/>
    <x v="337"/>
    <x v="310"/>
    <x v="274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x v="194"/>
    <x v="194"/>
    <x v="191"/>
    <x v="171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x v="242"/>
    <x v="242"/>
    <x v="234"/>
    <x v="204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x v="352"/>
    <x v="352"/>
    <x v="324"/>
    <x v="285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x v="353"/>
    <x v="353"/>
    <x v="325"/>
    <x v="286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x v="345"/>
    <x v="345"/>
    <x v="318"/>
    <x v="280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x v="184"/>
    <x v="184"/>
    <x v="181"/>
    <x v="163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x v="272"/>
    <x v="272"/>
    <x v="258"/>
    <x v="227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x v="354"/>
    <x v="354"/>
    <x v="267"/>
    <x v="204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x v="242"/>
    <x v="242"/>
    <x v="234"/>
    <x v="204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x v="169"/>
    <x v="169"/>
    <x v="166"/>
    <x v="149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x v="12"/>
    <x v="12"/>
    <x v="12"/>
    <x v="12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x v="90"/>
    <x v="90"/>
    <x v="90"/>
    <x v="84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x v="355"/>
    <x v="355"/>
    <x v="326"/>
    <x v="224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x v="356"/>
    <x v="356"/>
    <x v="327"/>
    <x v="287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x v="2"/>
    <x v="2"/>
    <x v="2"/>
    <x v="2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x v="357"/>
    <x v="357"/>
    <x v="328"/>
    <x v="18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x v="153"/>
    <x v="153"/>
    <x v="151"/>
    <x v="134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x v="328"/>
    <x v="328"/>
    <x v="302"/>
    <x v="268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x v="217"/>
    <x v="217"/>
    <x v="209"/>
    <x v="191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x v="358"/>
    <x v="358"/>
    <x v="329"/>
    <x v="29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x v="87"/>
    <x v="87"/>
    <x v="87"/>
    <x v="81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x v="18"/>
    <x v="18"/>
    <x v="18"/>
    <x v="17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x v="67"/>
    <x v="67"/>
    <x v="67"/>
    <x v="63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x v="359"/>
    <x v="359"/>
    <x v="330"/>
    <x v="288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x v="360"/>
    <x v="360"/>
    <x v="331"/>
    <x v="82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x v="268"/>
    <x v="268"/>
    <x v="255"/>
    <x v="224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x v="222"/>
    <x v="222"/>
    <x v="214"/>
    <x v="194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x v="239"/>
    <x v="239"/>
    <x v="231"/>
    <x v="202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x v="278"/>
    <x v="278"/>
    <x v="262"/>
    <x v="231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x v="361"/>
    <x v="361"/>
    <x v="332"/>
    <x v="289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x v="268"/>
    <x v="268"/>
    <x v="255"/>
    <x v="224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x v="142"/>
    <x v="142"/>
    <x v="140"/>
    <x v="125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x v="362"/>
    <x v="362"/>
    <x v="333"/>
    <x v="290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x v="241"/>
    <x v="241"/>
    <x v="233"/>
    <x v="203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x v="363"/>
    <x v="363"/>
    <x v="334"/>
    <x v="78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x v="244"/>
    <x v="244"/>
    <x v="236"/>
    <x v="206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x v="364"/>
    <x v="364"/>
    <x v="245"/>
    <x v="291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x v="253"/>
    <x v="253"/>
    <x v="244"/>
    <x v="213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x v="334"/>
    <x v="334"/>
    <x v="307"/>
    <x v="272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x v="365"/>
    <x v="365"/>
    <x v="267"/>
    <x v="116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146"/>
    </i>
    <i>
      <x v="188"/>
    </i>
    <i>
      <x v="168"/>
    </i>
    <i>
      <x v="43"/>
    </i>
    <i>
      <x v="223"/>
    </i>
    <i>
      <x v="134"/>
    </i>
    <i>
      <x v="37"/>
    </i>
    <i>
      <x v="42"/>
    </i>
    <i>
      <x v="91"/>
    </i>
    <i>
      <x v="209"/>
    </i>
    <i>
      <x v="35"/>
    </i>
    <i>
      <x v="187"/>
    </i>
    <i>
      <x v="3"/>
    </i>
    <i>
      <x v="144"/>
    </i>
    <i>
      <x v="30"/>
    </i>
    <i>
      <x v="218"/>
    </i>
    <i>
      <x v="66"/>
    </i>
    <i>
      <x v="90"/>
    </i>
    <i>
      <x v="119"/>
    </i>
    <i>
      <x v="137"/>
    </i>
    <i>
      <x v="127"/>
    </i>
    <i>
      <x v="181"/>
    </i>
    <i>
      <x v="45"/>
    </i>
    <i>
      <x v="222"/>
    </i>
    <i>
      <x v="47"/>
    </i>
    <i>
      <x v="147"/>
    </i>
    <i>
      <x v="50"/>
    </i>
    <i>
      <x v="186"/>
    </i>
    <i>
      <x v="54"/>
    </i>
    <i>
      <x v="129"/>
    </i>
    <i>
      <x v="15"/>
    </i>
    <i>
      <x v="224"/>
    </i>
    <i>
      <x v="17"/>
    </i>
    <i>
      <x v="26"/>
    </i>
    <i>
      <x v="77"/>
    </i>
    <i>
      <x v="6"/>
    </i>
    <i>
      <x v="82"/>
    </i>
    <i>
      <x v="183"/>
    </i>
    <i>
      <x v="88"/>
    </i>
    <i>
      <x v="196"/>
    </i>
    <i>
      <x v="95"/>
    </i>
    <i>
      <x v="133"/>
    </i>
    <i>
      <x v="198"/>
    </i>
    <i>
      <x v="175"/>
    </i>
    <i>
      <x v="158"/>
    </i>
    <i>
      <x v="46"/>
    </i>
    <i>
      <x v="33"/>
    </i>
    <i>
      <x v="89"/>
    </i>
    <i>
      <x v="9"/>
    </i>
    <i>
      <x v="23"/>
    </i>
    <i>
      <x v="79"/>
    </i>
    <i>
      <x v="24"/>
    </i>
    <i>
      <x v="81"/>
    </i>
    <i>
      <x v="52"/>
    </i>
    <i>
      <x v="193"/>
    </i>
    <i>
      <x v="97"/>
    </i>
    <i>
      <x v="202"/>
    </i>
    <i>
      <x v="98"/>
    </i>
    <i>
      <x v="215"/>
    </i>
    <i>
      <x v="99"/>
    </i>
    <i>
      <x v="162"/>
    </i>
    <i>
      <x v="100"/>
    </i>
    <i>
      <x v="170"/>
    </i>
    <i>
      <x v="101"/>
    </i>
    <i>
      <x v="177"/>
    </i>
    <i>
      <x v="103"/>
    </i>
    <i>
      <x v="84"/>
    </i>
    <i>
      <x v="108"/>
    </i>
    <i>
      <x v="7"/>
    </i>
    <i>
      <x v="109"/>
    </i>
    <i>
      <x v="195"/>
    </i>
    <i>
      <x v="111"/>
    </i>
    <i>
      <x v="200"/>
    </i>
    <i>
      <x v="112"/>
    </i>
    <i>
      <x v="205"/>
    </i>
    <i>
      <x v="113"/>
    </i>
    <i>
      <x v="212"/>
    </i>
    <i>
      <x v="2"/>
    </i>
    <i>
      <x v="87"/>
    </i>
    <i>
      <x v="121"/>
    </i>
    <i>
      <x v="160"/>
    </i>
    <i>
      <x v="123"/>
    </i>
    <i>
      <x v="163"/>
    </i>
    <i>
      <x v="126"/>
    </i>
    <i>
      <x v="169"/>
    </i>
    <i>
      <x v="65"/>
    </i>
    <i>
      <x v="173"/>
    </i>
    <i>
      <x v="128"/>
    </i>
    <i>
      <x v="176"/>
    </i>
    <i>
      <x v="19"/>
    </i>
    <i>
      <x v="180"/>
    </i>
    <i>
      <x v="131"/>
    </i>
    <i>
      <x v="60"/>
    </i>
    <i>
      <x v="132"/>
    </i>
    <i>
      <x v="31"/>
    </i>
    <i>
      <x v="41"/>
    </i>
    <i>
      <x v="34"/>
    </i>
    <i>
      <x v="67"/>
    </i>
    <i>
      <x v="192"/>
    </i>
    <i>
      <x v="68"/>
    </i>
    <i>
      <x v="194"/>
    </i>
    <i>
      <x v="14"/>
    </i>
    <i>
      <x v="86"/>
    </i>
    <i>
      <x v="74"/>
    </i>
    <i>
      <x v="199"/>
    </i>
    <i>
      <x v="142"/>
    </i>
    <i>
      <x v="201"/>
    </i>
    <i>
      <x v="49"/>
    </i>
    <i>
      <x v="203"/>
    </i>
    <i>
      <x v="29"/>
    </i>
    <i>
      <x v="207"/>
    </i>
    <i>
      <x v="78"/>
    </i>
    <i>
      <x v="211"/>
    </i>
    <i>
      <x v="148"/>
    </i>
    <i>
      <x v="213"/>
    </i>
    <i>
      <x v="151"/>
    </i>
    <i>
      <x v="216"/>
    </i>
    <i>
      <x v="155"/>
    </i>
    <i>
      <x v="157"/>
    </i>
    <i>
      <x v="12"/>
    </i>
    <i>
      <x v="5"/>
    </i>
    <i>
      <x v="228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8" firstHeaderRow="1" firstDataRow="1" firstDataCol="1"/>
  <pivotFields count="28">
    <pivotField showAll="0">
      <items count="367">
        <item x="260"/>
        <item x="316"/>
        <item x="353"/>
        <item x="21"/>
        <item x="92"/>
        <item x="115"/>
        <item x="215"/>
        <item x="44"/>
        <item x="275"/>
        <item x="141"/>
        <item x="340"/>
        <item x="188"/>
        <item x="210"/>
        <item x="76"/>
        <item x="109"/>
        <item x="128"/>
        <item x="304"/>
        <item x="286"/>
        <item x="0"/>
        <item x="140"/>
        <item x="45"/>
        <item x="359"/>
        <item x="335"/>
        <item x="356"/>
        <item x="63"/>
        <item x="143"/>
        <item x="119"/>
        <item x="100"/>
        <item x="224"/>
        <item x="283"/>
        <item x="242"/>
        <item x="357"/>
        <item x="181"/>
        <item x="135"/>
        <item x="54"/>
        <item x="270"/>
        <item x="161"/>
        <item x="361"/>
        <item x="163"/>
        <item x="132"/>
        <item x="11"/>
        <item x="88"/>
        <item x="326"/>
        <item x="26"/>
        <item x="233"/>
        <item x="131"/>
        <item x="97"/>
        <item x="230"/>
        <item x="261"/>
        <item x="234"/>
        <item x="251"/>
        <item x="248"/>
        <item x="9"/>
        <item x="148"/>
        <item x="284"/>
        <item x="360"/>
        <item x="252"/>
        <item x="43"/>
        <item x="147"/>
        <item x="82"/>
        <item x="34"/>
        <item x="152"/>
        <item x="289"/>
        <item x="103"/>
        <item x="12"/>
        <item x="180"/>
        <item x="229"/>
        <item x="23"/>
        <item x="67"/>
        <item x="173"/>
        <item x="120"/>
        <item x="95"/>
        <item x="271"/>
        <item x="65"/>
        <item x="171"/>
        <item x="52"/>
        <item x="85"/>
        <item x="258"/>
        <item x="223"/>
        <item x="333"/>
        <item x="79"/>
        <item x="165"/>
        <item x="347"/>
        <item x="121"/>
        <item x="249"/>
        <item x="352"/>
        <item x="149"/>
        <item x="195"/>
        <item x="86"/>
        <item x="217"/>
        <item x="314"/>
        <item x="62"/>
        <item x="196"/>
        <item x="137"/>
        <item x="273"/>
        <item x="306"/>
        <item x="84"/>
        <item x="55"/>
        <item x="228"/>
        <item x="183"/>
        <item x="81"/>
        <item x="287"/>
        <item x="213"/>
        <item x="87"/>
        <item x="33"/>
        <item x="342"/>
        <item x="256"/>
        <item x="93"/>
        <item x="32"/>
        <item x="70"/>
        <item x="40"/>
        <item x="206"/>
        <item x="319"/>
        <item x="58"/>
        <item x="111"/>
        <item x="288"/>
        <item x="176"/>
        <item x="174"/>
        <item x="294"/>
        <item x="106"/>
        <item x="250"/>
        <item x="155"/>
        <item x="226"/>
        <item x="346"/>
        <item x="292"/>
        <item x="321"/>
        <item x="237"/>
        <item x="231"/>
        <item x="28"/>
        <item x="355"/>
        <item x="126"/>
        <item x="190"/>
        <item x="221"/>
        <item x="125"/>
        <item x="238"/>
        <item x="30"/>
        <item x="4"/>
        <item x="301"/>
        <item x="341"/>
        <item x="189"/>
        <item x="89"/>
        <item x="193"/>
        <item x="262"/>
        <item x="102"/>
        <item x="204"/>
        <item x="20"/>
        <item x="156"/>
        <item x="24"/>
        <item x="27"/>
        <item x="350"/>
        <item x="337"/>
        <item x="293"/>
        <item x="199"/>
        <item x="310"/>
        <item x="57"/>
        <item x="178"/>
        <item x="83"/>
        <item x="166"/>
        <item x="299"/>
        <item x="108"/>
        <item x="75"/>
        <item x="313"/>
        <item x="99"/>
        <item x="94"/>
        <item x="227"/>
        <item x="127"/>
        <item x="265"/>
        <item x="73"/>
        <item x="160"/>
        <item x="291"/>
        <item x="118"/>
        <item x="42"/>
        <item x="96"/>
        <item x="53"/>
        <item x="1"/>
        <item x="117"/>
        <item x="107"/>
        <item x="22"/>
        <item x="167"/>
        <item x="49"/>
        <item x="91"/>
        <item x="60"/>
        <item x="145"/>
        <item x="297"/>
        <item x="139"/>
        <item x="245"/>
        <item x="164"/>
        <item x="278"/>
        <item x="235"/>
        <item x="202"/>
        <item x="116"/>
        <item x="36"/>
        <item x="330"/>
        <item x="266"/>
        <item x="162"/>
        <item x="336"/>
        <item x="201"/>
        <item x="218"/>
        <item x="302"/>
        <item x="232"/>
        <item x="64"/>
        <item x="362"/>
        <item x="329"/>
        <item x="236"/>
        <item x="50"/>
        <item x="46"/>
        <item x="179"/>
        <item x="259"/>
        <item x="269"/>
        <item x="184"/>
        <item x="113"/>
        <item x="243"/>
        <item x="144"/>
        <item x="185"/>
        <item x="254"/>
        <item x="207"/>
        <item x="56"/>
        <item x="354"/>
        <item x="151"/>
        <item x="13"/>
        <item x="19"/>
        <item x="48"/>
        <item x="263"/>
        <item x="305"/>
        <item x="154"/>
        <item x="312"/>
        <item x="172"/>
        <item x="338"/>
        <item x="105"/>
        <item x="24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x="315"/>
        <item x="153"/>
        <item x="133"/>
        <item x="124"/>
        <item x="31"/>
        <item x="303"/>
        <item x="3"/>
        <item x="59"/>
        <item x="104"/>
        <item x="38"/>
        <item x="214"/>
        <item x="16"/>
        <item x="300"/>
        <item x="194"/>
        <item x="10"/>
        <item x="72"/>
        <item x="138"/>
        <item x="317"/>
        <item x="334"/>
        <item x="110"/>
        <item x="37"/>
        <item x="15"/>
        <item x="29"/>
        <item x="66"/>
        <item x="68"/>
        <item x="17"/>
        <item x="8"/>
        <item x="35"/>
        <item x="7"/>
        <item x="61"/>
        <item x="285"/>
        <item x="41"/>
        <item x="170"/>
        <item x="146"/>
        <item x="169"/>
        <item x="168"/>
        <item x="77"/>
        <item x="2"/>
        <item x="175"/>
        <item x="71"/>
        <item x="200"/>
        <item x="98"/>
        <item x="78"/>
        <item x="18"/>
        <item x="331"/>
        <item x="74"/>
        <item x="205"/>
        <item x="47"/>
        <item x="114"/>
        <item x="332"/>
        <item x="349"/>
        <item x="320"/>
        <item x="192"/>
        <item x="14"/>
        <item x="187"/>
        <item x="123"/>
        <item x="150"/>
        <item x="122"/>
        <item x="69"/>
        <item x="112"/>
        <item x="274"/>
        <item x="255"/>
        <item x="209"/>
        <item x="159"/>
        <item x="276"/>
        <item x="134"/>
        <item x="130"/>
        <item x="240"/>
        <item x="239"/>
        <item x="80"/>
        <item x="136"/>
        <item x="90"/>
        <item x="197"/>
        <item x="225"/>
        <item x="247"/>
        <item x="345"/>
        <item x="322"/>
        <item x="182"/>
        <item x="257"/>
        <item x="307"/>
        <item x="267"/>
        <item x="177"/>
        <item x="208"/>
        <item x="157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364"/>
        <item x="280"/>
        <item x="281"/>
        <item x="296"/>
        <item x="282"/>
        <item x="241"/>
        <item x="365"/>
        <item x="268"/>
        <item x="309"/>
        <item x="279"/>
        <item x="253"/>
        <item x="277"/>
        <item x="328"/>
        <item x="325"/>
        <item x="298"/>
        <item x="311"/>
        <item x="327"/>
        <item x="324"/>
        <item x="344"/>
        <item x="323"/>
        <item x="343"/>
        <item x="351"/>
        <item x="363"/>
        <item x="358"/>
        <item t="default"/>
      </items>
    </pivotField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6">
        <item x="0"/>
        <item x="181"/>
        <item x="198"/>
        <item x="244"/>
        <item x="50"/>
        <item x="192"/>
        <item x="313"/>
        <item x="260"/>
        <item x="235"/>
        <item x="113"/>
        <item x="7"/>
        <item x="207"/>
        <item x="221"/>
        <item x="105"/>
        <item x="276"/>
        <item x="34"/>
        <item x="66"/>
        <item x="10"/>
        <item x="217"/>
        <item x="47"/>
        <item x="301"/>
        <item x="63"/>
        <item x="136"/>
        <item x="169"/>
        <item x="143"/>
        <item x="141"/>
        <item x="292"/>
        <item x="83"/>
        <item x="167"/>
        <item x="246"/>
        <item x="319"/>
        <item x="44"/>
        <item x="333"/>
        <item x="329"/>
        <item x="119"/>
        <item x="4"/>
        <item x="178"/>
        <item x="326"/>
        <item x="210"/>
        <item x="220"/>
        <item x="35"/>
        <item x="147"/>
        <item x="312"/>
        <item x="123"/>
        <item x="117"/>
        <item x="121"/>
        <item x="142"/>
        <item x="98"/>
        <item x="232"/>
        <item x="311"/>
        <item x="253"/>
        <item x="275"/>
        <item x="277"/>
        <item x="89"/>
        <item x="14"/>
        <item x="236"/>
        <item x="294"/>
        <item x="295"/>
        <item x="289"/>
        <item x="39"/>
        <item x="206"/>
        <item x="75"/>
        <item x="303"/>
        <item x="65"/>
        <item x="139"/>
        <item x="216"/>
        <item x="43"/>
        <item x="52"/>
        <item x="77"/>
        <item x="30"/>
        <item x="187"/>
        <item x="330"/>
        <item x="233"/>
        <item x="218"/>
        <item x="285"/>
        <item x="247"/>
        <item x="149"/>
        <item x="137"/>
        <item x="160"/>
        <item x="132"/>
        <item x="250"/>
        <item x="261"/>
        <item x="327"/>
        <item x="120"/>
        <item x="325"/>
        <item x="267"/>
        <item x="203"/>
        <item x="202"/>
        <item x="281"/>
        <item x="17"/>
        <item x="156"/>
        <item x="205"/>
        <item x="95"/>
        <item x="243"/>
        <item x="308"/>
        <item x="241"/>
        <item x="252"/>
        <item x="122"/>
        <item x="84"/>
        <item x="286"/>
        <item x="239"/>
        <item x="24"/>
        <item x="5"/>
        <item x="111"/>
        <item x="85"/>
        <item x="127"/>
        <item x="79"/>
        <item x="60"/>
        <item x="114"/>
        <item x="101"/>
        <item x="145"/>
        <item x="176"/>
        <item x="166"/>
        <item x="151"/>
        <item x="135"/>
        <item x="128"/>
        <item x="209"/>
        <item x="300"/>
        <item x="215"/>
        <item x="19"/>
        <item x="334"/>
        <item x="306"/>
        <item x="110"/>
        <item x="71"/>
        <item x="45"/>
        <item x="53"/>
        <item x="64"/>
        <item x="282"/>
        <item x="270"/>
        <item x="237"/>
        <item x="248"/>
        <item x="249"/>
        <item x="48"/>
        <item x="284"/>
        <item x="322"/>
        <item x="213"/>
        <item x="68"/>
        <item x="103"/>
        <item x="96"/>
        <item x="6"/>
        <item x="158"/>
        <item x="107"/>
        <item x="324"/>
        <item x="186"/>
        <item x="188"/>
        <item x="16"/>
        <item x="283"/>
        <item x="223"/>
        <item x="298"/>
        <item x="174"/>
        <item x="293"/>
        <item x="310"/>
        <item x="321"/>
        <item x="302"/>
        <item x="272"/>
        <item x="255"/>
        <item x="219"/>
        <item x="92"/>
        <item x="180"/>
        <item x="38"/>
        <item x="296"/>
        <item x="146"/>
        <item x="171"/>
        <item x="320"/>
        <item x="189"/>
        <item x="224"/>
        <item x="81"/>
        <item x="195"/>
        <item x="157"/>
        <item x="13"/>
        <item x="197"/>
        <item x="254"/>
        <item x="1"/>
        <item x="238"/>
        <item x="228"/>
        <item x="162"/>
        <item x="49"/>
        <item x="274"/>
        <item x="208"/>
        <item x="318"/>
        <item x="170"/>
        <item x="8"/>
        <item x="131"/>
        <item x="268"/>
        <item x="161"/>
        <item x="315"/>
        <item x="78"/>
        <item x="204"/>
        <item x="290"/>
        <item x="251"/>
        <item x="148"/>
        <item x="11"/>
        <item x="273"/>
        <item x="175"/>
        <item x="229"/>
        <item x="155"/>
        <item x="21"/>
        <item x="102"/>
        <item x="307"/>
        <item x="67"/>
        <item x="225"/>
        <item x="40"/>
        <item x="109"/>
        <item x="144"/>
        <item x="262"/>
        <item x="31"/>
        <item x="112"/>
        <item x="231"/>
        <item x="256"/>
        <item x="288"/>
        <item x="264"/>
        <item x="70"/>
        <item x="258"/>
        <item x="304"/>
        <item x="200"/>
        <item x="316"/>
        <item x="32"/>
        <item x="150"/>
        <item x="194"/>
        <item x="240"/>
        <item x="314"/>
        <item x="299"/>
        <item x="279"/>
        <item x="25"/>
        <item x="323"/>
        <item x="58"/>
        <item x="55"/>
        <item x="42"/>
        <item x="130"/>
        <item x="99"/>
        <item x="201"/>
        <item x="9"/>
        <item x="115"/>
        <item x="153"/>
        <item x="179"/>
        <item x="309"/>
        <item x="82"/>
        <item x="74"/>
        <item x="265"/>
        <item x="332"/>
        <item x="116"/>
        <item x="91"/>
        <item x="108"/>
        <item x="165"/>
        <item x="297"/>
        <item x="15"/>
        <item x="104"/>
        <item x="152"/>
        <item x="172"/>
        <item x="54"/>
        <item x="29"/>
        <item x="80"/>
        <item x="61"/>
        <item x="28"/>
        <item x="190"/>
        <item x="280"/>
        <item x="196"/>
        <item x="76"/>
        <item x="278"/>
        <item x="245"/>
        <item x="133"/>
        <item x="27"/>
        <item x="69"/>
        <item x="184"/>
        <item x="291"/>
        <item x="18"/>
        <item x="191"/>
        <item x="56"/>
        <item x="212"/>
        <item x="305"/>
        <item x="193"/>
        <item x="230"/>
        <item x="62"/>
        <item x="90"/>
        <item x="222"/>
        <item x="93"/>
        <item x="72"/>
        <item x="126"/>
        <item x="199"/>
        <item x="154"/>
        <item x="33"/>
        <item x="3"/>
        <item x="211"/>
        <item x="73"/>
        <item x="124"/>
        <item x="317"/>
        <item x="234"/>
        <item x="183"/>
        <item x="328"/>
        <item x="182"/>
        <item x="164"/>
        <item x="263"/>
        <item x="134"/>
        <item x="226"/>
        <item x="173"/>
        <item x="46"/>
        <item x="87"/>
        <item x="271"/>
        <item x="159"/>
        <item x="100"/>
        <item x="51"/>
        <item x="331"/>
        <item x="36"/>
        <item x="97"/>
        <item x="125"/>
        <item x="88"/>
        <item x="138"/>
        <item x="57"/>
        <item x="242"/>
        <item x="2"/>
        <item x="163"/>
        <item x="168"/>
        <item x="12"/>
        <item x="129"/>
        <item x="259"/>
        <item x="177"/>
        <item x="287"/>
        <item x="94"/>
        <item x="59"/>
        <item x="257"/>
        <item x="106"/>
        <item x="185"/>
        <item x="227"/>
        <item x="23"/>
        <item x="140"/>
        <item x="37"/>
        <item x="269"/>
        <item x="41"/>
        <item x="20"/>
        <item x="118"/>
        <item x="26"/>
        <item x="22"/>
        <item x="86"/>
        <item x="214"/>
        <item x="266"/>
        <item t="default"/>
      </items>
    </pivotField>
    <pivotField showAll="0">
      <items count="293">
        <item x="37"/>
        <item x="0"/>
        <item x="194"/>
        <item x="77"/>
        <item x="110"/>
        <item x="282"/>
        <item x="225"/>
        <item x="47"/>
        <item x="251"/>
        <item x="221"/>
        <item x="188"/>
        <item x="160"/>
        <item x="30"/>
        <item x="231"/>
        <item x="34"/>
        <item x="134"/>
        <item x="58"/>
        <item x="157"/>
        <item x="230"/>
        <item x="7"/>
        <item x="27"/>
        <item x="98"/>
        <item x="262"/>
        <item x="272"/>
        <item x="72"/>
        <item x="209"/>
        <item x="200"/>
        <item x="243"/>
        <item x="172"/>
        <item x="245"/>
        <item x="178"/>
        <item x="181"/>
        <item x="20"/>
        <item x="155"/>
        <item x="261"/>
        <item x="48"/>
        <item x="184"/>
        <item x="191"/>
        <item x="252"/>
        <item x="24"/>
        <item x="84"/>
        <item x="205"/>
        <item x="132"/>
        <item x="211"/>
        <item x="164"/>
        <item x="269"/>
        <item x="78"/>
        <item x="291"/>
        <item x="117"/>
        <item x="99"/>
        <item x="73"/>
        <item x="280"/>
        <item x="186"/>
        <item x="87"/>
        <item x="131"/>
        <item x="111"/>
        <item x="236"/>
        <item x="118"/>
        <item x="92"/>
        <item x="182"/>
        <item x="56"/>
        <item x="107"/>
        <item x="18"/>
        <item x="173"/>
        <item x="93"/>
        <item x="277"/>
        <item x="106"/>
        <item x="127"/>
        <item x="116"/>
        <item x="41"/>
        <item x="190"/>
        <item x="25"/>
        <item x="203"/>
        <item x="95"/>
        <item x="83"/>
        <item x="218"/>
        <item x="97"/>
        <item x="79"/>
        <item x="217"/>
        <item x="169"/>
        <item x="100"/>
        <item x="240"/>
        <item x="128"/>
        <item x="198"/>
        <item x="254"/>
        <item x="263"/>
        <item x="15"/>
        <item x="201"/>
        <item x="66"/>
        <item x="170"/>
        <item x="264"/>
        <item x="82"/>
        <item x="195"/>
        <item x="12"/>
        <item x="151"/>
        <item x="59"/>
        <item x="290"/>
        <item x="33"/>
        <item x="239"/>
        <item x="69"/>
        <item x="193"/>
        <item x="74"/>
        <item x="275"/>
        <item x="287"/>
        <item x="212"/>
        <item x="285"/>
        <item x="62"/>
        <item x="28"/>
        <item x="138"/>
        <item x="130"/>
        <item x="144"/>
        <item x="136"/>
        <item x="274"/>
        <item x="17"/>
        <item x="158"/>
        <item x="105"/>
        <item x="46"/>
        <item x="21"/>
        <item x="288"/>
        <item x="189"/>
        <item x="250"/>
        <item x="113"/>
        <item x="283"/>
        <item x="255"/>
        <item x="276"/>
        <item x="137"/>
        <item x="80"/>
        <item x="36"/>
        <item x="224"/>
        <item x="197"/>
        <item x="226"/>
        <item x="39"/>
        <item x="286"/>
        <item x="185"/>
        <item x="270"/>
        <item x="112"/>
        <item x="54"/>
        <item x="109"/>
        <item x="1"/>
        <item x="13"/>
        <item x="122"/>
        <item x="75"/>
        <item x="55"/>
        <item x="208"/>
        <item x="14"/>
        <item x="22"/>
        <item x="146"/>
        <item x="29"/>
        <item x="102"/>
        <item x="76"/>
        <item x="215"/>
        <item x="67"/>
        <item x="256"/>
        <item x="61"/>
        <item x="26"/>
        <item x="11"/>
        <item x="133"/>
        <item x="64"/>
        <item x="159"/>
        <item x="2"/>
        <item x="91"/>
        <item x="273"/>
        <item x="234"/>
        <item x="238"/>
        <item x="88"/>
        <item x="183"/>
        <item x="142"/>
        <item x="23"/>
        <item x="53"/>
        <item x="63"/>
        <item x="65"/>
        <item x="204"/>
        <item x="51"/>
        <item x="171"/>
        <item x="167"/>
        <item x="19"/>
        <item x="5"/>
        <item x="135"/>
        <item x="244"/>
        <item x="222"/>
        <item x="281"/>
        <item x="257"/>
        <item x="161"/>
        <item x="248"/>
        <item x="180"/>
        <item x="279"/>
        <item x="153"/>
        <item x="237"/>
        <item x="278"/>
        <item x="150"/>
        <item x="86"/>
        <item x="216"/>
        <item x="89"/>
        <item x="152"/>
        <item x="45"/>
        <item x="68"/>
        <item x="140"/>
        <item x="271"/>
        <item x="187"/>
        <item x="6"/>
        <item x="38"/>
        <item x="259"/>
        <item x="126"/>
        <item x="156"/>
        <item x="4"/>
        <item x="213"/>
        <item x="139"/>
        <item x="154"/>
        <item x="148"/>
        <item x="266"/>
        <item x="241"/>
        <item x="267"/>
        <item x="246"/>
        <item x="81"/>
        <item x="149"/>
        <item x="50"/>
        <item x="196"/>
        <item x="124"/>
        <item x="143"/>
        <item x="104"/>
        <item x="108"/>
        <item x="129"/>
        <item x="101"/>
        <item x="70"/>
        <item x="229"/>
        <item x="163"/>
        <item x="214"/>
        <item x="206"/>
        <item x="9"/>
        <item x="125"/>
        <item x="165"/>
        <item x="162"/>
        <item x="52"/>
        <item x="219"/>
        <item x="90"/>
        <item x="179"/>
        <item x="8"/>
        <item x="42"/>
        <item x="227"/>
        <item x="265"/>
        <item x="207"/>
        <item x="247"/>
        <item x="60"/>
        <item x="258"/>
        <item x="114"/>
        <item x="166"/>
        <item x="242"/>
        <item x="121"/>
        <item x="228"/>
        <item x="103"/>
        <item x="119"/>
        <item x="141"/>
        <item x="71"/>
        <item x="120"/>
        <item x="220"/>
        <item x="94"/>
        <item x="44"/>
        <item x="32"/>
        <item x="145"/>
        <item x="177"/>
        <item x="16"/>
        <item x="235"/>
        <item x="85"/>
        <item x="31"/>
        <item x="3"/>
        <item x="268"/>
        <item x="202"/>
        <item x="40"/>
        <item x="35"/>
        <item x="123"/>
        <item x="168"/>
        <item x="115"/>
        <item x="260"/>
        <item x="289"/>
        <item x="210"/>
        <item x="96"/>
        <item x="284"/>
        <item x="175"/>
        <item x="43"/>
        <item x="192"/>
        <item x="232"/>
        <item x="199"/>
        <item x="57"/>
        <item x="174"/>
        <item x="49"/>
        <item x="233"/>
        <item x="147"/>
        <item x="253"/>
        <item x="223"/>
        <item x="249"/>
        <item x="10"/>
        <item x="176"/>
        <item t="default"/>
      </items>
    </pivotField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6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13"/>
    </i>
    <i>
      <x v="481"/>
    </i>
    <i>
      <x v="435"/>
    </i>
    <i>
      <x v="112"/>
    </i>
    <i>
      <x v="498"/>
    </i>
    <i>
      <x v="148"/>
    </i>
    <i>
      <x v="428"/>
    </i>
    <i>
      <x v="156"/>
    </i>
    <i>
      <x v="442"/>
    </i>
    <i>
      <x v="157"/>
    </i>
    <i>
      <x v="490"/>
    </i>
    <i>
      <x v="202"/>
    </i>
    <i>
      <x v="506"/>
    </i>
    <i>
      <x v="232"/>
    </i>
    <i>
      <x v="520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8"/>
    </i>
    <i>
      <x v="380"/>
    </i>
    <i>
      <x v="514"/>
    </i>
    <i>
      <x v="397"/>
    </i>
    <i>
      <x v="531"/>
    </i>
    <i>
      <x v="407"/>
    </i>
    <i>
      <x v="374"/>
    </i>
    <i>
      <x v="527"/>
    </i>
    <i>
      <x v="484"/>
    </i>
    <i>
      <x v="449"/>
    </i>
    <i>
      <x v="120"/>
    </i>
    <i>
      <x v="236"/>
    </i>
    <i>
      <x v="254"/>
    </i>
    <i>
      <x v="170"/>
    </i>
    <i>
      <x v="255"/>
    </i>
    <i>
      <x v="469"/>
    </i>
    <i>
      <x v="256"/>
    </i>
    <i>
      <x v="499"/>
    </i>
    <i>
      <x v="260"/>
    </i>
    <i>
      <x v="517"/>
    </i>
    <i>
      <x v="262"/>
    </i>
    <i>
      <x v="414"/>
    </i>
    <i>
      <x v="264"/>
    </i>
    <i>
      <x v="182"/>
    </i>
    <i>
      <x v="266"/>
    </i>
    <i>
      <x v="460"/>
    </i>
    <i>
      <x v="267"/>
    </i>
    <i>
      <x v="37"/>
    </i>
    <i>
      <x v="268"/>
    </i>
    <i>
      <x v="219"/>
    </i>
    <i>
      <x v="270"/>
    </i>
    <i>
      <x v="55"/>
    </i>
    <i>
      <x v="277"/>
    </i>
    <i>
      <x v="237"/>
    </i>
    <i>
      <x v="17"/>
    </i>
    <i>
      <x v="523"/>
    </i>
    <i>
      <x v="282"/>
    </i>
    <i>
      <x v="534"/>
    </i>
    <i>
      <x v="283"/>
    </i>
    <i>
      <x v="417"/>
    </i>
    <i>
      <x v="288"/>
    </i>
    <i>
      <x v="180"/>
    </i>
    <i>
      <x v="290"/>
    </i>
    <i>
      <x v="444"/>
    </i>
    <i>
      <x v="292"/>
    </i>
    <i>
      <x v="452"/>
    </i>
    <i>
      <x v="303"/>
    </i>
    <i>
      <x v="465"/>
    </i>
    <i>
      <x v="305"/>
    </i>
    <i>
      <x v="472"/>
    </i>
    <i>
      <x v="307"/>
    </i>
    <i>
      <x v="118"/>
    </i>
    <i>
      <x v="308"/>
    </i>
    <i>
      <x v="489"/>
    </i>
    <i>
      <x v="131"/>
    </i>
    <i>
      <x v="41"/>
    </i>
    <i>
      <x v="314"/>
    </i>
    <i>
      <x v="502"/>
    </i>
    <i>
      <x v="317"/>
    </i>
    <i>
      <x v="119"/>
    </i>
    <i>
      <x v="323"/>
    </i>
    <i>
      <x v="65"/>
    </i>
    <i>
      <x v="134"/>
    </i>
    <i>
      <x v="515"/>
    </i>
    <i>
      <x v="330"/>
    </i>
    <i>
      <x v="239"/>
    </i>
    <i>
      <x v="333"/>
    </i>
    <i>
      <x v="525"/>
    </i>
    <i>
      <x v="338"/>
    </i>
    <i>
      <x v="240"/>
    </i>
    <i>
      <x v="138"/>
    </i>
    <i>
      <x v="243"/>
    </i>
    <i>
      <x v="83"/>
    </i>
    <i>
      <x v="415"/>
    </i>
    <i>
      <x v="344"/>
    </i>
    <i>
      <x v="427"/>
    </i>
    <i>
      <x v="150"/>
    </i>
    <i>
      <x v="173"/>
    </i>
    <i>
      <x v="350"/>
    </i>
    <i>
      <x v="438"/>
    </i>
    <i>
      <x v="19"/>
    </i>
    <i>
      <x v="184"/>
    </i>
    <i>
      <x v="352"/>
    </i>
    <i>
      <x v="447"/>
    </i>
    <i>
      <x v="353"/>
    </i>
    <i>
      <x v="451"/>
    </i>
    <i>
      <x v="11"/>
    </i>
    <i>
      <x v="459"/>
    </i>
    <i>
      <x v="356"/>
    </i>
    <i>
      <x v="462"/>
    </i>
    <i>
      <x v="357"/>
    </i>
    <i>
      <x v="467"/>
    </i>
    <i>
      <x v="559"/>
    </i>
    <i>
      <x v="471"/>
    </i>
    <i>
      <x v="565"/>
    </i>
    <i>
      <x v="26"/>
    </i>
    <i>
      <x v="10"/>
    </i>
    <i>
      <x v="192"/>
    </i>
    <i>
      <x v="363"/>
    </i>
    <i>
      <x v="207"/>
    </i>
    <i>
      <x v="364"/>
    </i>
    <i>
      <x v="488"/>
    </i>
    <i>
      <x v="373"/>
    </i>
    <i>
      <x v="218"/>
    </i>
    <i>
      <x v="553"/>
    </i>
    <i>
      <x v="496"/>
    </i>
    <i>
      <x v="74"/>
    </i>
    <i>
      <x v="224"/>
    </i>
    <i>
      <x v="376"/>
    </i>
    <i>
      <x v="225"/>
    </i>
    <i>
      <x v="81"/>
    </i>
    <i>
      <x v="503"/>
    </i>
    <i>
      <x v="382"/>
    </i>
    <i>
      <x v="505"/>
    </i>
    <i>
      <x v="385"/>
    </i>
    <i>
      <x v="59"/>
    </i>
    <i>
      <x v="387"/>
    </i>
    <i>
      <x v="510"/>
    </i>
    <i>
      <x v="388"/>
    </i>
    <i>
      <x v="67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413"/>
    </i>
    <i>
      <x v="375"/>
    </i>
    <i>
      <x v="567"/>
    </i>
    <i>
      <x v="359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9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1" totalsRowShown="0" headerRowDxfId="13">
  <autoFilter ref="A1:Y821" xr:uid="{2FDE3AF6-1CE1-4F38-BD72-1F03CD30F4FC}"/>
  <sortState xmlns:xlrd2="http://schemas.microsoft.com/office/spreadsheetml/2017/richdata2" ref="A2:Y819">
    <sortCondition descending="1" ref="T1:T819"/>
  </sortState>
  <tableColumns count="25">
    <tableColumn id="1" xr3:uid="{A89FCEBD-EFF0-43A5-BEAC-9201FF09453E}" name="personeelsnr"/>
    <tableColumn id="23" xr3:uid="{3989647C-F1EB-4322-A586-1EC53B4E823E}" name="volledige naam" dataDxfId="0">
      <calculatedColumnFormula>_xlfn.CONCAT([2]!bron[[#This Row],[personeelsnr]]," ",C2," ",D2)</calculatedColumnFormula>
    </tableColumn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72" zoomScale="90" zoomScaleNormal="90" workbookViewId="0">
      <selection activeCell="C13" sqref="C13:D197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3294</v>
      </c>
      <c r="D13" s="35">
        <v>6</v>
      </c>
      <c r="F13" s="2" t="s">
        <v>19</v>
      </c>
      <c r="G13" s="35">
        <v>13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3295</v>
      </c>
      <c r="D14" s="35">
        <v>5</v>
      </c>
      <c r="F14" s="2" t="s">
        <v>18</v>
      </c>
      <c r="G14" s="35">
        <v>12</v>
      </c>
      <c r="I14" s="2" t="s">
        <v>2914</v>
      </c>
      <c r="J14" s="35">
        <v>29</v>
      </c>
      <c r="K14" s="35">
        <v>12</v>
      </c>
    </row>
    <row r="15" spans="3:19" x14ac:dyDescent="0.25">
      <c r="C15" s="2" t="s">
        <v>3297</v>
      </c>
      <c r="D15" s="35">
        <v>4</v>
      </c>
      <c r="F15" s="2" t="s">
        <v>29</v>
      </c>
      <c r="G15" s="35">
        <v>9</v>
      </c>
      <c r="I15" s="2" t="s">
        <v>2915</v>
      </c>
      <c r="J15" s="35">
        <v>37</v>
      </c>
      <c r="K15" s="35">
        <v>8</v>
      </c>
    </row>
    <row r="16" spans="3:19" x14ac:dyDescent="0.25">
      <c r="C16" s="2" t="s">
        <v>3296</v>
      </c>
      <c r="D16" s="35">
        <v>4</v>
      </c>
      <c r="F16" s="2" t="s">
        <v>21</v>
      </c>
      <c r="G16" s="35">
        <v>9</v>
      </c>
      <c r="I16" s="2" t="s">
        <v>2916</v>
      </c>
      <c r="J16" s="35">
        <v>31</v>
      </c>
      <c r="K16" s="35">
        <v>4</v>
      </c>
    </row>
    <row r="17" spans="2:11" x14ac:dyDescent="0.25">
      <c r="C17" s="2" t="s">
        <v>3298</v>
      </c>
      <c r="D17" s="35">
        <v>3</v>
      </c>
      <c r="F17" s="2" t="s">
        <v>28</v>
      </c>
      <c r="G17" s="35">
        <v>7</v>
      </c>
      <c r="I17" s="2" t="s">
        <v>63</v>
      </c>
      <c r="J17" s="35">
        <v>27</v>
      </c>
      <c r="K17" s="35">
        <v>12</v>
      </c>
    </row>
    <row r="18" spans="2:11" x14ac:dyDescent="0.25">
      <c r="C18" s="2" t="s">
        <v>3301</v>
      </c>
      <c r="D18" s="35">
        <v>3</v>
      </c>
      <c r="F18" s="2" t="s">
        <v>26</v>
      </c>
      <c r="G18" s="35">
        <v>6</v>
      </c>
      <c r="I18" s="2" t="s">
        <v>65</v>
      </c>
      <c r="J18" s="35">
        <v>19</v>
      </c>
      <c r="K18" s="35">
        <v>7</v>
      </c>
    </row>
    <row r="19" spans="2:11" x14ac:dyDescent="0.25">
      <c r="C19" s="2" t="s">
        <v>3300</v>
      </c>
      <c r="D19" s="35">
        <v>3</v>
      </c>
      <c r="F19" s="2" t="s">
        <v>30</v>
      </c>
      <c r="G19" s="35">
        <v>6</v>
      </c>
      <c r="I19" s="2" t="s">
        <v>67</v>
      </c>
      <c r="J19" s="35">
        <v>26</v>
      </c>
      <c r="K19" s="35">
        <v>7</v>
      </c>
    </row>
    <row r="20" spans="2:11" x14ac:dyDescent="0.25">
      <c r="C20" s="2" t="s">
        <v>9</v>
      </c>
      <c r="D20" s="35">
        <v>3</v>
      </c>
      <c r="F20" s="2" t="s">
        <v>24</v>
      </c>
      <c r="G20" s="35">
        <v>6</v>
      </c>
      <c r="I20" s="2" t="s">
        <v>69</v>
      </c>
      <c r="J20" s="35">
        <v>29</v>
      </c>
      <c r="K20" s="35">
        <v>8</v>
      </c>
    </row>
    <row r="21" spans="2:11" x14ac:dyDescent="0.25">
      <c r="C21" s="2" t="s">
        <v>3299</v>
      </c>
      <c r="D21" s="35">
        <v>3</v>
      </c>
      <c r="F21" s="2" t="s">
        <v>41</v>
      </c>
      <c r="G21" s="35">
        <v>6</v>
      </c>
      <c r="I21" s="2" t="s">
        <v>71</v>
      </c>
      <c r="J21" s="35"/>
      <c r="K21" s="35"/>
    </row>
    <row r="22" spans="2:11" x14ac:dyDescent="0.25">
      <c r="C22" s="2" t="s">
        <v>3302</v>
      </c>
      <c r="D22" s="35">
        <v>3</v>
      </c>
      <c r="F22" s="2" t="s">
        <v>25</v>
      </c>
      <c r="G22" s="35">
        <v>6</v>
      </c>
      <c r="I22" s="2" t="s">
        <v>73</v>
      </c>
      <c r="J22" s="35"/>
      <c r="K22" s="35"/>
    </row>
    <row r="23" spans="2:11" x14ac:dyDescent="0.25">
      <c r="C23" s="2" t="s">
        <v>3303</v>
      </c>
      <c r="D23" s="35">
        <v>3</v>
      </c>
      <c r="F23" s="2" t="s">
        <v>53</v>
      </c>
      <c r="G23" s="35">
        <v>5</v>
      </c>
      <c r="I23" s="2" t="s">
        <v>75</v>
      </c>
      <c r="J23" s="35"/>
      <c r="K23" s="35"/>
    </row>
    <row r="24" spans="2:11" x14ac:dyDescent="0.25">
      <c r="C24" s="2" t="s">
        <v>3304</v>
      </c>
      <c r="D24" s="35">
        <v>3</v>
      </c>
      <c r="F24" s="2" t="s">
        <v>20</v>
      </c>
      <c r="G24" s="35">
        <v>5</v>
      </c>
      <c r="I24" s="2" t="s">
        <v>77</v>
      </c>
      <c r="J24" s="35"/>
      <c r="K24" s="35"/>
    </row>
    <row r="25" spans="2:11" x14ac:dyDescent="0.25">
      <c r="C25" s="2" t="s">
        <v>3305</v>
      </c>
      <c r="D25" s="35">
        <v>3</v>
      </c>
      <c r="F25" s="2" t="s">
        <v>45</v>
      </c>
      <c r="G25" s="35">
        <v>5</v>
      </c>
      <c r="I25" s="2" t="s">
        <v>79</v>
      </c>
      <c r="J25" s="35"/>
      <c r="K25" s="35"/>
    </row>
    <row r="26" spans="2:11" x14ac:dyDescent="0.25">
      <c r="C26" s="2" t="s">
        <v>3332</v>
      </c>
      <c r="D26" s="35">
        <v>2</v>
      </c>
      <c r="F26" s="2" t="s">
        <v>52</v>
      </c>
      <c r="G26" s="35">
        <v>5</v>
      </c>
    </row>
    <row r="27" spans="2:11" x14ac:dyDescent="0.25">
      <c r="C27" s="2" t="s">
        <v>3310</v>
      </c>
      <c r="D27" s="35">
        <v>2</v>
      </c>
      <c r="F27" s="2" t="s">
        <v>61</v>
      </c>
      <c r="G27" s="35">
        <v>4</v>
      </c>
      <c r="I27" s="1" t="s">
        <v>2923</v>
      </c>
      <c r="J27" t="s">
        <v>17</v>
      </c>
    </row>
    <row r="28" spans="2:11" x14ac:dyDescent="0.25">
      <c r="C28" s="2" t="s">
        <v>3307</v>
      </c>
      <c r="D28" s="35">
        <v>2</v>
      </c>
      <c r="F28" s="2" t="s">
        <v>97</v>
      </c>
      <c r="G28" s="35">
        <v>3</v>
      </c>
      <c r="I28" s="2" t="s">
        <v>36</v>
      </c>
      <c r="J28" s="35">
        <v>47</v>
      </c>
    </row>
    <row r="29" spans="2:11" x14ac:dyDescent="0.25">
      <c r="C29" s="2" t="s">
        <v>3309</v>
      </c>
      <c r="D29" s="35">
        <v>2</v>
      </c>
      <c r="F29" s="2" t="s">
        <v>140</v>
      </c>
      <c r="G29" s="35">
        <v>3</v>
      </c>
      <c r="I29" s="2" t="s">
        <v>38</v>
      </c>
      <c r="J29" s="35">
        <v>41</v>
      </c>
    </row>
    <row r="30" spans="2:11" x14ac:dyDescent="0.25">
      <c r="C30" s="2" t="s">
        <v>3306</v>
      </c>
      <c r="D30" s="35">
        <v>2</v>
      </c>
      <c r="F30" s="2" t="s">
        <v>88</v>
      </c>
      <c r="G30" s="35">
        <v>3</v>
      </c>
      <c r="I30" s="2" t="s">
        <v>42</v>
      </c>
      <c r="J30" s="35">
        <v>37</v>
      </c>
    </row>
    <row r="31" spans="2:11" x14ac:dyDescent="0.25">
      <c r="B31" s="34">
        <f>AVERAGE(D13:D275)</f>
        <v>2.7204301075268815</v>
      </c>
      <c r="C31" s="2" t="s">
        <v>3311</v>
      </c>
      <c r="D31" s="35">
        <v>2</v>
      </c>
      <c r="F31" s="2" t="s">
        <v>103</v>
      </c>
      <c r="G31" s="35">
        <v>3</v>
      </c>
      <c r="I31" s="2" t="s">
        <v>40</v>
      </c>
      <c r="J31" s="35">
        <v>31</v>
      </c>
    </row>
    <row r="32" spans="2:11" x14ac:dyDescent="0.25">
      <c r="C32" s="2" t="s">
        <v>3314</v>
      </c>
      <c r="D32" s="35">
        <v>2</v>
      </c>
      <c r="F32" s="2" t="s">
        <v>70</v>
      </c>
      <c r="G32" s="35">
        <v>3</v>
      </c>
      <c r="I32" s="2" t="s">
        <v>46</v>
      </c>
      <c r="J32" s="35">
        <v>26</v>
      </c>
    </row>
    <row r="33" spans="3:15" x14ac:dyDescent="0.25">
      <c r="C33" s="2" t="s">
        <v>3313</v>
      </c>
      <c r="D33" s="35">
        <v>2</v>
      </c>
      <c r="F33" s="2" t="s">
        <v>93</v>
      </c>
      <c r="G33" s="35">
        <v>3</v>
      </c>
      <c r="I33" s="2" t="s">
        <v>50</v>
      </c>
      <c r="J33" s="35">
        <v>25</v>
      </c>
    </row>
    <row r="34" spans="3:15" x14ac:dyDescent="0.25">
      <c r="C34" s="2" t="s">
        <v>3316</v>
      </c>
      <c r="D34" s="35">
        <v>2</v>
      </c>
      <c r="F34" s="2" t="s">
        <v>43</v>
      </c>
      <c r="G34" s="35">
        <v>3</v>
      </c>
      <c r="I34" s="2" t="s">
        <v>44</v>
      </c>
      <c r="J34" s="35">
        <v>23</v>
      </c>
    </row>
    <row r="35" spans="3:15" x14ac:dyDescent="0.25">
      <c r="C35" s="2" t="s">
        <v>3315</v>
      </c>
      <c r="D35" s="35">
        <v>2</v>
      </c>
      <c r="F35" s="2" t="s">
        <v>27</v>
      </c>
      <c r="G35" s="35">
        <v>3</v>
      </c>
      <c r="I35" s="2" t="s">
        <v>48</v>
      </c>
      <c r="J35" s="35">
        <v>22</v>
      </c>
    </row>
    <row r="36" spans="3:15" x14ac:dyDescent="0.25">
      <c r="C36" s="2" t="s">
        <v>3317</v>
      </c>
      <c r="D36" s="35">
        <v>2</v>
      </c>
      <c r="F36" s="2" t="s">
        <v>34</v>
      </c>
      <c r="G36" s="35">
        <v>3</v>
      </c>
      <c r="I36" s="2" t="s">
        <v>810</v>
      </c>
      <c r="J36" s="35">
        <v>4</v>
      </c>
    </row>
    <row r="37" spans="3:15" x14ac:dyDescent="0.25">
      <c r="C37" s="2" t="s">
        <v>3</v>
      </c>
      <c r="D37" s="35">
        <v>2</v>
      </c>
      <c r="F37" s="2" t="s">
        <v>89</v>
      </c>
      <c r="G37" s="35">
        <v>2</v>
      </c>
      <c r="I37" s="2" t="s">
        <v>2926</v>
      </c>
      <c r="J37" s="35">
        <v>3</v>
      </c>
    </row>
    <row r="38" spans="3:15" x14ac:dyDescent="0.25">
      <c r="C38" s="2" t="s">
        <v>3335</v>
      </c>
      <c r="D38" s="35">
        <v>2</v>
      </c>
      <c r="F38" s="2" t="s">
        <v>130</v>
      </c>
      <c r="G38" s="35">
        <v>2</v>
      </c>
      <c r="I38" s="2" t="s">
        <v>16</v>
      </c>
      <c r="J38" s="35">
        <v>259</v>
      </c>
    </row>
    <row r="39" spans="3:15" x14ac:dyDescent="0.25">
      <c r="C39" s="2" t="s">
        <v>3318</v>
      </c>
      <c r="D39" s="35">
        <v>2</v>
      </c>
      <c r="F39" s="2" t="s">
        <v>68</v>
      </c>
      <c r="G39" s="35">
        <v>2</v>
      </c>
      <c r="I39"/>
      <c r="J39"/>
    </row>
    <row r="40" spans="3:15" x14ac:dyDescent="0.25">
      <c r="C40" s="2" t="s">
        <v>3334</v>
      </c>
      <c r="D40" s="35">
        <v>2</v>
      </c>
      <c r="F40" s="2" t="s">
        <v>96</v>
      </c>
      <c r="G40" s="35">
        <v>2</v>
      </c>
    </row>
    <row r="41" spans="3:15" x14ac:dyDescent="0.25">
      <c r="C41" s="2" t="s">
        <v>3320</v>
      </c>
      <c r="D41" s="35">
        <v>2</v>
      </c>
      <c r="F41" s="2" t="s">
        <v>87</v>
      </c>
      <c r="G41" s="35">
        <v>2</v>
      </c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25">
      <c r="C42" s="2" t="s">
        <v>3323</v>
      </c>
      <c r="D42" s="35">
        <v>2</v>
      </c>
      <c r="F42" s="2" t="s">
        <v>105</v>
      </c>
      <c r="G42" s="35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7</v>
      </c>
      <c r="D43" s="35">
        <v>2</v>
      </c>
      <c r="F43" s="2" t="s">
        <v>222</v>
      </c>
      <c r="G43" s="35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3325</v>
      </c>
      <c r="D44" s="35">
        <v>2</v>
      </c>
      <c r="F44" s="2" t="s">
        <v>64</v>
      </c>
      <c r="G44" s="35">
        <v>2</v>
      </c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3322</v>
      </c>
      <c r="D45" s="35">
        <v>2</v>
      </c>
      <c r="F45" s="2" t="s">
        <v>138</v>
      </c>
      <c r="G45" s="35">
        <v>2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3327</v>
      </c>
      <c r="D46" s="35">
        <v>2</v>
      </c>
      <c r="F46" s="2" t="s">
        <v>114</v>
      </c>
      <c r="G46" s="35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3324</v>
      </c>
      <c r="D47" s="35">
        <v>2</v>
      </c>
      <c r="F47" s="2" t="s">
        <v>2896</v>
      </c>
      <c r="G47" s="35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3329</v>
      </c>
      <c r="D48" s="35">
        <v>2</v>
      </c>
      <c r="F48" s="2" t="s">
        <v>62</v>
      </c>
      <c r="G48" s="35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3326</v>
      </c>
      <c r="D49" s="35">
        <v>2</v>
      </c>
      <c r="F49" s="2" t="s">
        <v>3293</v>
      </c>
      <c r="G49" s="35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 s="2" t="s">
        <v>3331</v>
      </c>
      <c r="D50" s="35">
        <v>2</v>
      </c>
      <c r="F50" s="2" t="s">
        <v>142</v>
      </c>
      <c r="G50" s="35">
        <v>2</v>
      </c>
      <c r="I50" s="14">
        <f>SUM(I42:I49)</f>
        <v>64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 s="2" t="s">
        <v>3328</v>
      </c>
      <c r="D51" s="35">
        <v>2</v>
      </c>
      <c r="F51" s="2" t="s">
        <v>116</v>
      </c>
      <c r="G51" s="35">
        <v>2</v>
      </c>
    </row>
    <row r="52" spans="3:15" x14ac:dyDescent="0.25">
      <c r="C52" s="2" t="s">
        <v>3333</v>
      </c>
      <c r="D52" s="35">
        <v>2</v>
      </c>
      <c r="F52" s="2" t="s">
        <v>51</v>
      </c>
      <c r="G52" s="35">
        <v>2</v>
      </c>
    </row>
    <row r="53" spans="3:15" x14ac:dyDescent="0.25">
      <c r="C53" s="2" t="s">
        <v>3330</v>
      </c>
      <c r="D53" s="35">
        <v>2</v>
      </c>
      <c r="F53" s="2" t="s">
        <v>178</v>
      </c>
      <c r="G53" s="35">
        <v>2</v>
      </c>
    </row>
    <row r="54" spans="3:15" x14ac:dyDescent="0.25">
      <c r="C54" s="2" t="s">
        <v>3312</v>
      </c>
      <c r="D54" s="35">
        <v>2</v>
      </c>
      <c r="F54" s="2" t="s">
        <v>157</v>
      </c>
      <c r="G54" s="35">
        <v>2</v>
      </c>
    </row>
    <row r="55" spans="3:15" x14ac:dyDescent="0.25">
      <c r="C55" s="2" t="s">
        <v>3321</v>
      </c>
      <c r="D55" s="35">
        <v>2</v>
      </c>
      <c r="F55" s="2" t="s">
        <v>108</v>
      </c>
      <c r="G55" s="35">
        <v>2</v>
      </c>
    </row>
    <row r="56" spans="3:15" x14ac:dyDescent="0.25">
      <c r="C56" s="2" t="s">
        <v>3337</v>
      </c>
      <c r="D56" s="35">
        <v>2</v>
      </c>
      <c r="F56" s="2" t="s">
        <v>39</v>
      </c>
      <c r="G56" s="35">
        <v>2</v>
      </c>
    </row>
    <row r="57" spans="3:15" x14ac:dyDescent="0.25">
      <c r="C57" s="2" t="s">
        <v>3308</v>
      </c>
      <c r="D57" s="35">
        <v>2</v>
      </c>
      <c r="F57" s="2" t="s">
        <v>22</v>
      </c>
      <c r="G57" s="35">
        <v>2</v>
      </c>
    </row>
    <row r="58" spans="3:15" x14ac:dyDescent="0.25">
      <c r="C58" s="2" t="s">
        <v>13</v>
      </c>
      <c r="D58" s="35">
        <v>2</v>
      </c>
      <c r="F58" s="2" t="s">
        <v>95</v>
      </c>
      <c r="G58" s="35">
        <v>2</v>
      </c>
    </row>
    <row r="59" spans="3:15" x14ac:dyDescent="0.25">
      <c r="C59" s="2" t="s">
        <v>10</v>
      </c>
      <c r="D59" s="35">
        <v>2</v>
      </c>
      <c r="F59" s="2" t="s">
        <v>111</v>
      </c>
      <c r="G59" s="35">
        <v>2</v>
      </c>
    </row>
    <row r="60" spans="3:15" x14ac:dyDescent="0.25">
      <c r="C60" s="2" t="s">
        <v>3336</v>
      </c>
      <c r="D60" s="35">
        <v>2</v>
      </c>
      <c r="F60" s="2" t="s">
        <v>47</v>
      </c>
      <c r="G60" s="35">
        <v>1</v>
      </c>
    </row>
    <row r="61" spans="3:15" x14ac:dyDescent="0.25">
      <c r="C61" s="2" t="s">
        <v>3423</v>
      </c>
      <c r="D61" s="35">
        <v>1</v>
      </c>
      <c r="F61" s="2" t="s">
        <v>181</v>
      </c>
      <c r="G61" s="35">
        <v>1</v>
      </c>
    </row>
    <row r="62" spans="3:15" x14ac:dyDescent="0.25">
      <c r="C62" s="2" t="s">
        <v>3380</v>
      </c>
      <c r="D62" s="35">
        <v>1</v>
      </c>
      <c r="F62" s="2" t="s">
        <v>124</v>
      </c>
      <c r="G62" s="35">
        <v>1</v>
      </c>
    </row>
    <row r="63" spans="3:15" x14ac:dyDescent="0.25">
      <c r="C63" s="2" t="s">
        <v>12</v>
      </c>
      <c r="D63" s="35">
        <v>1</v>
      </c>
      <c r="F63" s="2" t="s">
        <v>162</v>
      </c>
      <c r="G63" s="35">
        <v>1</v>
      </c>
    </row>
    <row r="64" spans="3:15" x14ac:dyDescent="0.25">
      <c r="C64" s="2" t="s">
        <v>3389</v>
      </c>
      <c r="D64" s="35">
        <v>1</v>
      </c>
      <c r="F64" s="2" t="s">
        <v>2911</v>
      </c>
      <c r="G64" s="35">
        <v>1</v>
      </c>
    </row>
    <row r="65" spans="3:7" x14ac:dyDescent="0.25">
      <c r="C65" s="2" t="s">
        <v>3382</v>
      </c>
      <c r="D65" s="35">
        <v>1</v>
      </c>
      <c r="F65" s="2" t="s">
        <v>156</v>
      </c>
      <c r="G65" s="35">
        <v>1</v>
      </c>
    </row>
    <row r="66" spans="3:7" x14ac:dyDescent="0.25">
      <c r="C66" s="2" t="s">
        <v>3341</v>
      </c>
      <c r="D66" s="35">
        <v>1</v>
      </c>
      <c r="F66" s="2" t="s">
        <v>2899</v>
      </c>
      <c r="G66" s="35">
        <v>1</v>
      </c>
    </row>
    <row r="67" spans="3:7" x14ac:dyDescent="0.25">
      <c r="C67" s="2" t="s">
        <v>3428</v>
      </c>
      <c r="D67" s="35">
        <v>1</v>
      </c>
      <c r="F67" s="2" t="s">
        <v>35</v>
      </c>
      <c r="G67" s="35">
        <v>1</v>
      </c>
    </row>
    <row r="68" spans="3:7" x14ac:dyDescent="0.25">
      <c r="C68" s="2" t="s">
        <v>3343</v>
      </c>
      <c r="D68" s="35">
        <v>1</v>
      </c>
      <c r="F68" s="2" t="s">
        <v>91</v>
      </c>
      <c r="G68" s="35">
        <v>1</v>
      </c>
    </row>
    <row r="69" spans="3:7" x14ac:dyDescent="0.25">
      <c r="C69" s="2" t="s">
        <v>3376</v>
      </c>
      <c r="D69" s="35">
        <v>1</v>
      </c>
      <c r="F69" s="2" t="s">
        <v>170</v>
      </c>
      <c r="G69" s="35">
        <v>1</v>
      </c>
    </row>
    <row r="70" spans="3:7" x14ac:dyDescent="0.25">
      <c r="C70" s="2" t="s">
        <v>3345</v>
      </c>
      <c r="D70" s="35">
        <v>1</v>
      </c>
      <c r="F70" s="2" t="s">
        <v>155</v>
      </c>
      <c r="G70" s="35">
        <v>1</v>
      </c>
    </row>
    <row r="71" spans="3:7" x14ac:dyDescent="0.25">
      <c r="C71" s="2" t="s">
        <v>3384</v>
      </c>
      <c r="D71" s="35">
        <v>1</v>
      </c>
      <c r="F71" s="2" t="s">
        <v>246</v>
      </c>
      <c r="G71" s="35">
        <v>1</v>
      </c>
    </row>
    <row r="72" spans="3:7" x14ac:dyDescent="0.25">
      <c r="C72" s="2" t="s">
        <v>3347</v>
      </c>
      <c r="D72" s="35">
        <v>1</v>
      </c>
      <c r="F72" s="2" t="s">
        <v>182</v>
      </c>
      <c r="G72" s="35">
        <v>1</v>
      </c>
    </row>
    <row r="73" spans="3:7" x14ac:dyDescent="0.25">
      <c r="C73" s="2" t="s">
        <v>3415</v>
      </c>
      <c r="D73" s="35">
        <v>1</v>
      </c>
      <c r="F73" s="2" t="s">
        <v>86</v>
      </c>
      <c r="G73" s="35">
        <v>1</v>
      </c>
    </row>
    <row r="74" spans="3:7" x14ac:dyDescent="0.25">
      <c r="C74" s="2" t="s">
        <v>3349</v>
      </c>
      <c r="D74" s="35">
        <v>1</v>
      </c>
      <c r="F74" s="2" t="s">
        <v>228</v>
      </c>
      <c r="G74" s="35">
        <v>1</v>
      </c>
    </row>
    <row r="75" spans="3:7" x14ac:dyDescent="0.25">
      <c r="C75" s="2" t="s">
        <v>3368</v>
      </c>
      <c r="D75" s="35">
        <v>1</v>
      </c>
      <c r="F75" s="2" t="s">
        <v>60</v>
      </c>
      <c r="G75" s="35">
        <v>1</v>
      </c>
    </row>
    <row r="76" spans="3:7" x14ac:dyDescent="0.25">
      <c r="C76" s="2" t="s">
        <v>3351</v>
      </c>
      <c r="D76" s="35">
        <v>1</v>
      </c>
      <c r="F76" s="2" t="s">
        <v>199</v>
      </c>
      <c r="G76" s="35">
        <v>1</v>
      </c>
    </row>
    <row r="77" spans="3:7" x14ac:dyDescent="0.25">
      <c r="C77" s="2" t="s">
        <v>3395</v>
      </c>
      <c r="D77" s="35">
        <v>1</v>
      </c>
      <c r="F77" s="2" t="s">
        <v>143</v>
      </c>
      <c r="G77" s="35">
        <v>1</v>
      </c>
    </row>
    <row r="78" spans="3:7" x14ac:dyDescent="0.25">
      <c r="C78" s="2" t="s">
        <v>3353</v>
      </c>
      <c r="D78" s="35">
        <v>1</v>
      </c>
      <c r="F78" s="2" t="s">
        <v>94</v>
      </c>
      <c r="G78" s="35">
        <v>1</v>
      </c>
    </row>
    <row r="79" spans="3:7" x14ac:dyDescent="0.25">
      <c r="C79" s="2" t="s">
        <v>3374</v>
      </c>
      <c r="D79" s="35">
        <v>1</v>
      </c>
      <c r="F79" s="2" t="s">
        <v>187</v>
      </c>
      <c r="G79" s="35">
        <v>1</v>
      </c>
    </row>
    <row r="80" spans="3:7" x14ac:dyDescent="0.25">
      <c r="C80" s="2" t="s">
        <v>3355</v>
      </c>
      <c r="D80" s="35">
        <v>1</v>
      </c>
      <c r="F80" s="2" t="s">
        <v>158</v>
      </c>
      <c r="G80" s="35">
        <v>1</v>
      </c>
    </row>
    <row r="81" spans="3:7" x14ac:dyDescent="0.25">
      <c r="C81" s="2" t="s">
        <v>3378</v>
      </c>
      <c r="D81" s="35">
        <v>1</v>
      </c>
      <c r="F81" s="2" t="s">
        <v>76</v>
      </c>
      <c r="G81" s="35">
        <v>1</v>
      </c>
    </row>
    <row r="82" spans="3:7" x14ac:dyDescent="0.25">
      <c r="C82" s="2" t="s">
        <v>5</v>
      </c>
      <c r="D82" s="35">
        <v>1</v>
      </c>
      <c r="F82" s="2" t="s">
        <v>55</v>
      </c>
      <c r="G82" s="35">
        <v>1</v>
      </c>
    </row>
    <row r="83" spans="3:7" x14ac:dyDescent="0.25">
      <c r="C83" s="2" t="s">
        <v>3422</v>
      </c>
      <c r="D83" s="35">
        <v>1</v>
      </c>
      <c r="F83" s="2" t="s">
        <v>173</v>
      </c>
      <c r="G83" s="35">
        <v>1</v>
      </c>
    </row>
    <row r="84" spans="3:7" x14ac:dyDescent="0.25">
      <c r="C84" s="2" t="s">
        <v>3358</v>
      </c>
      <c r="D84" s="35">
        <v>1</v>
      </c>
      <c r="F84" s="2" t="s">
        <v>150</v>
      </c>
      <c r="G84" s="35">
        <v>1</v>
      </c>
    </row>
    <row r="85" spans="3:7" x14ac:dyDescent="0.25">
      <c r="C85" s="2" t="s">
        <v>3386</v>
      </c>
      <c r="D85" s="35">
        <v>1</v>
      </c>
      <c r="F85" s="2" t="s">
        <v>151</v>
      </c>
      <c r="G85" s="35">
        <v>1</v>
      </c>
    </row>
    <row r="86" spans="3:7" x14ac:dyDescent="0.25">
      <c r="C86" s="2" t="s">
        <v>3360</v>
      </c>
      <c r="D86" s="35">
        <v>1</v>
      </c>
      <c r="F86" s="2" t="s">
        <v>2907</v>
      </c>
      <c r="G86" s="35">
        <v>1</v>
      </c>
    </row>
    <row r="87" spans="3:7" x14ac:dyDescent="0.25">
      <c r="C87" s="2" t="s">
        <v>3431</v>
      </c>
      <c r="D87" s="35">
        <v>1</v>
      </c>
      <c r="F87" s="2" t="s">
        <v>31</v>
      </c>
      <c r="G87" s="35">
        <v>1</v>
      </c>
    </row>
    <row r="88" spans="3:7" x14ac:dyDescent="0.25">
      <c r="C88" s="2" t="s">
        <v>0</v>
      </c>
      <c r="D88" s="35">
        <v>1</v>
      </c>
      <c r="F88" s="2" t="s">
        <v>122</v>
      </c>
      <c r="G88" s="35">
        <v>1</v>
      </c>
    </row>
    <row r="89" spans="3:7" x14ac:dyDescent="0.25">
      <c r="C89" s="2" t="s">
        <v>3419</v>
      </c>
      <c r="D89" s="35">
        <v>1</v>
      </c>
      <c r="F89" s="2" t="s">
        <v>189</v>
      </c>
      <c r="G89" s="35">
        <v>1</v>
      </c>
    </row>
    <row r="90" spans="3:7" x14ac:dyDescent="0.25">
      <c r="C90" s="2" t="s">
        <v>3363</v>
      </c>
      <c r="D90" s="35">
        <v>1</v>
      </c>
      <c r="F90" s="2" t="s">
        <v>218</v>
      </c>
      <c r="G90" s="35">
        <v>1</v>
      </c>
    </row>
    <row r="91" spans="3:7" x14ac:dyDescent="0.25">
      <c r="C91" s="2" t="s">
        <v>3447</v>
      </c>
      <c r="D91" s="35">
        <v>1</v>
      </c>
      <c r="F91" s="2" t="s">
        <v>112</v>
      </c>
      <c r="G91" s="35">
        <v>1</v>
      </c>
    </row>
    <row r="92" spans="3:7" x14ac:dyDescent="0.25">
      <c r="C92" s="2" t="s">
        <v>3365</v>
      </c>
      <c r="D92" s="35">
        <v>1</v>
      </c>
      <c r="F92" s="2" t="s">
        <v>92</v>
      </c>
      <c r="G92" s="35">
        <v>1</v>
      </c>
    </row>
    <row r="93" spans="3:7" x14ac:dyDescent="0.25">
      <c r="C93" s="2" t="s">
        <v>3344</v>
      </c>
      <c r="D93" s="35">
        <v>1</v>
      </c>
      <c r="F93" s="2" t="s">
        <v>160</v>
      </c>
      <c r="G93" s="35">
        <v>1</v>
      </c>
    </row>
    <row r="94" spans="3:7" x14ac:dyDescent="0.25">
      <c r="C94" s="2" t="s">
        <v>3367</v>
      </c>
      <c r="D94" s="35">
        <v>1</v>
      </c>
      <c r="F94" s="2" t="s">
        <v>2906</v>
      </c>
      <c r="G94" s="35">
        <v>1</v>
      </c>
    </row>
    <row r="95" spans="3:7" x14ac:dyDescent="0.25">
      <c r="C95" s="2" t="s">
        <v>3350</v>
      </c>
      <c r="D95" s="35">
        <v>1</v>
      </c>
      <c r="F95" s="2" t="s">
        <v>245</v>
      </c>
      <c r="G95" s="35">
        <v>1</v>
      </c>
    </row>
    <row r="96" spans="3:7" x14ac:dyDescent="0.25">
      <c r="C96" s="2" t="s">
        <v>3369</v>
      </c>
      <c r="D96" s="35">
        <v>1</v>
      </c>
      <c r="F96" s="2" t="s">
        <v>243</v>
      </c>
      <c r="G96" s="35">
        <v>1</v>
      </c>
    </row>
    <row r="97" spans="3:7" x14ac:dyDescent="0.25">
      <c r="C97" s="2" t="s">
        <v>3340</v>
      </c>
      <c r="D97" s="35">
        <v>1</v>
      </c>
      <c r="F97" s="2" t="s">
        <v>2905</v>
      </c>
      <c r="G97" s="35">
        <v>1</v>
      </c>
    </row>
    <row r="98" spans="3:7" x14ac:dyDescent="0.25">
      <c r="C98" s="2" t="s">
        <v>3371</v>
      </c>
      <c r="D98" s="35">
        <v>1</v>
      </c>
      <c r="F98" s="2" t="s">
        <v>233</v>
      </c>
      <c r="G98" s="35">
        <v>1</v>
      </c>
    </row>
    <row r="99" spans="3:7" x14ac:dyDescent="0.25">
      <c r="C99" s="2" t="s">
        <v>3356</v>
      </c>
      <c r="D99" s="35">
        <v>1</v>
      </c>
      <c r="F99" s="2" t="s">
        <v>148</v>
      </c>
      <c r="G99" s="35">
        <v>1</v>
      </c>
    </row>
    <row r="100" spans="3:7" x14ac:dyDescent="0.25">
      <c r="C100" s="2" t="s">
        <v>6</v>
      </c>
      <c r="D100" s="35">
        <v>1</v>
      </c>
      <c r="F100" s="2" t="s">
        <v>209</v>
      </c>
      <c r="G100" s="35">
        <v>1</v>
      </c>
    </row>
    <row r="101" spans="3:7" x14ac:dyDescent="0.25">
      <c r="C101" s="2" t="s">
        <v>3346</v>
      </c>
      <c r="D101" s="35">
        <v>1</v>
      </c>
      <c r="F101" s="2" t="s">
        <v>74</v>
      </c>
      <c r="G101" s="35">
        <v>1</v>
      </c>
    </row>
    <row r="102" spans="3:7" x14ac:dyDescent="0.25">
      <c r="C102" s="2" t="s">
        <v>3373</v>
      </c>
      <c r="D102" s="35">
        <v>1</v>
      </c>
      <c r="F102" s="2" t="s">
        <v>215</v>
      </c>
      <c r="G102" s="35">
        <v>1</v>
      </c>
    </row>
    <row r="103" spans="3:7" x14ac:dyDescent="0.25">
      <c r="C103" s="2" t="s">
        <v>3357</v>
      </c>
      <c r="D103" s="35">
        <v>1</v>
      </c>
      <c r="F103" s="2" t="s">
        <v>132</v>
      </c>
      <c r="G103" s="35">
        <v>1</v>
      </c>
    </row>
    <row r="104" spans="3:7" x14ac:dyDescent="0.25">
      <c r="C104" s="2" t="s">
        <v>3375</v>
      </c>
      <c r="D104" s="35">
        <v>1</v>
      </c>
      <c r="F104" s="2" t="s">
        <v>179</v>
      </c>
      <c r="G104" s="35">
        <v>1</v>
      </c>
    </row>
    <row r="105" spans="3:7" x14ac:dyDescent="0.25">
      <c r="C105" s="2" t="s">
        <v>3354</v>
      </c>
      <c r="D105" s="35">
        <v>1</v>
      </c>
      <c r="F105" s="2" t="s">
        <v>134</v>
      </c>
      <c r="G105" s="35">
        <v>1</v>
      </c>
    </row>
    <row r="106" spans="3:7" x14ac:dyDescent="0.25">
      <c r="C106" s="2" t="s">
        <v>3377</v>
      </c>
      <c r="D106" s="35">
        <v>1</v>
      </c>
      <c r="F106" s="2" t="s">
        <v>229</v>
      </c>
      <c r="G106" s="35">
        <v>1</v>
      </c>
    </row>
    <row r="107" spans="3:7" x14ac:dyDescent="0.25">
      <c r="C107" s="2" t="s">
        <v>3359</v>
      </c>
      <c r="D107" s="35">
        <v>1</v>
      </c>
      <c r="F107" s="2" t="s">
        <v>2904</v>
      </c>
      <c r="G107" s="35">
        <v>1</v>
      </c>
    </row>
    <row r="108" spans="3:7" x14ac:dyDescent="0.25">
      <c r="C108" s="2" t="s">
        <v>3379</v>
      </c>
      <c r="D108" s="35">
        <v>1</v>
      </c>
      <c r="F108" s="2" t="s">
        <v>154</v>
      </c>
      <c r="G108" s="35">
        <v>1</v>
      </c>
    </row>
    <row r="109" spans="3:7" x14ac:dyDescent="0.25">
      <c r="C109" s="2" t="s">
        <v>3348</v>
      </c>
      <c r="D109" s="35">
        <v>1</v>
      </c>
      <c r="F109" s="2" t="s">
        <v>174</v>
      </c>
      <c r="G109" s="35">
        <v>1</v>
      </c>
    </row>
    <row r="110" spans="3:7" x14ac:dyDescent="0.25">
      <c r="C110" s="2" t="s">
        <v>3381</v>
      </c>
      <c r="D110" s="35">
        <v>1</v>
      </c>
      <c r="F110" s="2" t="s">
        <v>113</v>
      </c>
      <c r="G110" s="35">
        <v>1</v>
      </c>
    </row>
    <row r="111" spans="3:7" x14ac:dyDescent="0.25">
      <c r="C111" s="2" t="s">
        <v>3319</v>
      </c>
      <c r="D111" s="35">
        <v>1</v>
      </c>
      <c r="F111" s="2" t="s">
        <v>81</v>
      </c>
      <c r="G111" s="35">
        <v>1</v>
      </c>
    </row>
    <row r="112" spans="3:7" x14ac:dyDescent="0.25">
      <c r="C112" s="2" t="s">
        <v>3383</v>
      </c>
      <c r="D112" s="35">
        <v>1</v>
      </c>
      <c r="F112" s="2" t="s">
        <v>212</v>
      </c>
      <c r="G112" s="35">
        <v>1</v>
      </c>
    </row>
    <row r="113" spans="3:7" x14ac:dyDescent="0.25">
      <c r="C113" s="2" t="s">
        <v>2</v>
      </c>
      <c r="D113" s="35">
        <v>1</v>
      </c>
      <c r="F113" s="2" t="s">
        <v>37</v>
      </c>
      <c r="G113" s="35">
        <v>1</v>
      </c>
    </row>
    <row r="114" spans="3:7" x14ac:dyDescent="0.25">
      <c r="C114" s="2" t="s">
        <v>3385</v>
      </c>
      <c r="D114" s="35">
        <v>1</v>
      </c>
      <c r="F114" s="2" t="s">
        <v>166</v>
      </c>
      <c r="G114" s="35">
        <v>1</v>
      </c>
    </row>
    <row r="115" spans="3:7" x14ac:dyDescent="0.25">
      <c r="C115" s="2" t="s">
        <v>3362</v>
      </c>
      <c r="D115" s="35">
        <v>1</v>
      </c>
      <c r="F115" s="2" t="s">
        <v>235</v>
      </c>
      <c r="G115" s="35">
        <v>1</v>
      </c>
    </row>
    <row r="116" spans="3:7" x14ac:dyDescent="0.25">
      <c r="C116" s="2" t="s">
        <v>3387</v>
      </c>
      <c r="D116" s="35">
        <v>1</v>
      </c>
      <c r="F116" s="2" t="s">
        <v>106</v>
      </c>
      <c r="G116" s="35">
        <v>1</v>
      </c>
    </row>
    <row r="117" spans="3:7" x14ac:dyDescent="0.25">
      <c r="C117" s="2" t="s">
        <v>3413</v>
      </c>
      <c r="D117" s="35">
        <v>1</v>
      </c>
      <c r="F117" s="2" t="s">
        <v>161</v>
      </c>
      <c r="G117" s="35">
        <v>1</v>
      </c>
    </row>
    <row r="118" spans="3:7" x14ac:dyDescent="0.25">
      <c r="C118" s="2" t="s">
        <v>8</v>
      </c>
      <c r="D118" s="35">
        <v>1</v>
      </c>
      <c r="F118" s="2" t="s">
        <v>186</v>
      </c>
      <c r="G118" s="35">
        <v>1</v>
      </c>
    </row>
    <row r="119" spans="3:7" x14ac:dyDescent="0.25">
      <c r="C119" s="2" t="s">
        <v>3361</v>
      </c>
      <c r="D119" s="35">
        <v>1</v>
      </c>
      <c r="F119" s="2" t="s">
        <v>206</v>
      </c>
      <c r="G119" s="35">
        <v>1</v>
      </c>
    </row>
    <row r="120" spans="3:7" x14ac:dyDescent="0.25">
      <c r="C120" s="2" t="s">
        <v>3390</v>
      </c>
      <c r="D120" s="35">
        <v>1</v>
      </c>
      <c r="F120" s="2" t="s">
        <v>110</v>
      </c>
      <c r="G120" s="35">
        <v>1</v>
      </c>
    </row>
    <row r="121" spans="3:7" x14ac:dyDescent="0.25">
      <c r="C121" s="2" t="s">
        <v>3421</v>
      </c>
      <c r="D121" s="35">
        <v>1</v>
      </c>
      <c r="F121" s="2" t="s">
        <v>2909</v>
      </c>
      <c r="G121" s="35">
        <v>1</v>
      </c>
    </row>
    <row r="122" spans="3:7" x14ac:dyDescent="0.25">
      <c r="C122" s="2" t="s">
        <v>3392</v>
      </c>
      <c r="D122" s="35">
        <v>1</v>
      </c>
      <c r="F122" s="2" t="s">
        <v>128</v>
      </c>
      <c r="G122" s="35">
        <v>1</v>
      </c>
    </row>
    <row r="123" spans="3:7" x14ac:dyDescent="0.25">
      <c r="C123" s="2" t="s">
        <v>3342</v>
      </c>
      <c r="D123" s="35">
        <v>1</v>
      </c>
      <c r="F123" s="2" t="s">
        <v>2897</v>
      </c>
      <c r="G123" s="35">
        <v>1</v>
      </c>
    </row>
    <row r="124" spans="3:7" x14ac:dyDescent="0.25">
      <c r="C124" s="2" t="s">
        <v>3394</v>
      </c>
      <c r="D124" s="35">
        <v>1</v>
      </c>
      <c r="F124" s="2" t="s">
        <v>102</v>
      </c>
      <c r="G124" s="35">
        <v>1</v>
      </c>
    </row>
    <row r="125" spans="3:7" x14ac:dyDescent="0.25">
      <c r="C125" s="2" t="s">
        <v>3388</v>
      </c>
      <c r="D125" s="35">
        <v>1</v>
      </c>
      <c r="F125" s="2" t="s">
        <v>59</v>
      </c>
      <c r="G125" s="35">
        <v>1</v>
      </c>
    </row>
    <row r="126" spans="3:7" x14ac:dyDescent="0.25">
      <c r="C126" s="2" t="s">
        <v>3396</v>
      </c>
      <c r="D126" s="35">
        <v>1</v>
      </c>
      <c r="F126" s="2" t="s">
        <v>234</v>
      </c>
      <c r="G126" s="35">
        <v>1</v>
      </c>
    </row>
    <row r="127" spans="3:7" x14ac:dyDescent="0.25">
      <c r="C127" s="2" t="s">
        <v>11</v>
      </c>
      <c r="D127" s="35">
        <v>1</v>
      </c>
      <c r="F127" s="2" t="s">
        <v>198</v>
      </c>
      <c r="G127" s="35">
        <v>1</v>
      </c>
    </row>
    <row r="128" spans="3:7" x14ac:dyDescent="0.25">
      <c r="C128" s="2" t="s">
        <v>3397</v>
      </c>
      <c r="D128" s="35">
        <v>1</v>
      </c>
      <c r="F128" s="2" t="s">
        <v>2912</v>
      </c>
      <c r="G128" s="35">
        <v>1</v>
      </c>
    </row>
    <row r="129" spans="3:7" x14ac:dyDescent="0.25">
      <c r="C129" s="2" t="s">
        <v>3401</v>
      </c>
      <c r="D129" s="35">
        <v>1</v>
      </c>
      <c r="F129" s="2" t="s">
        <v>2908</v>
      </c>
      <c r="G129" s="35">
        <v>1</v>
      </c>
    </row>
    <row r="130" spans="3:7" x14ac:dyDescent="0.25">
      <c r="C130" s="2" t="s">
        <v>3399</v>
      </c>
      <c r="D130" s="35">
        <v>1</v>
      </c>
      <c r="F130" s="2" t="s">
        <v>197</v>
      </c>
      <c r="G130" s="35">
        <v>1</v>
      </c>
    </row>
    <row r="131" spans="3:7" x14ac:dyDescent="0.25">
      <c r="C131" s="2" t="s">
        <v>3433</v>
      </c>
      <c r="D131" s="35">
        <v>1</v>
      </c>
      <c r="F131" s="2" t="s">
        <v>193</v>
      </c>
      <c r="G131" s="35">
        <v>1</v>
      </c>
    </row>
    <row r="132" spans="3:7" x14ac:dyDescent="0.25">
      <c r="C132" s="2" t="s">
        <v>3400</v>
      </c>
      <c r="D132" s="35">
        <v>1</v>
      </c>
      <c r="F132" s="2" t="s">
        <v>149</v>
      </c>
      <c r="G132" s="35">
        <v>1</v>
      </c>
    </row>
    <row r="133" spans="3:7" x14ac:dyDescent="0.25">
      <c r="C133" s="2" t="s">
        <v>3405</v>
      </c>
      <c r="D133" s="35">
        <v>1</v>
      </c>
      <c r="F133" s="2" t="s">
        <v>139</v>
      </c>
      <c r="G133" s="35">
        <v>1</v>
      </c>
    </row>
    <row r="134" spans="3:7" x14ac:dyDescent="0.25">
      <c r="C134" s="2" t="s">
        <v>3402</v>
      </c>
      <c r="D134" s="35">
        <v>1</v>
      </c>
      <c r="F134" s="2" t="s">
        <v>66</v>
      </c>
      <c r="G134" s="35">
        <v>1</v>
      </c>
    </row>
    <row r="135" spans="3:7" x14ac:dyDescent="0.25">
      <c r="C135" s="2" t="s">
        <v>3370</v>
      </c>
      <c r="D135" s="35">
        <v>1</v>
      </c>
      <c r="F135" s="2" t="s">
        <v>169</v>
      </c>
      <c r="G135" s="35">
        <v>1</v>
      </c>
    </row>
    <row r="136" spans="3:7" x14ac:dyDescent="0.25">
      <c r="C136" s="2" t="s">
        <v>3404</v>
      </c>
      <c r="D136" s="35">
        <v>1</v>
      </c>
      <c r="F136" s="2" t="s">
        <v>201</v>
      </c>
      <c r="G136" s="35">
        <v>1</v>
      </c>
    </row>
    <row r="137" spans="3:7" x14ac:dyDescent="0.25">
      <c r="C137" s="2" t="s">
        <v>3409</v>
      </c>
      <c r="D137" s="35">
        <v>1</v>
      </c>
      <c r="F137" s="2" t="s">
        <v>137</v>
      </c>
      <c r="G137" s="35">
        <v>1</v>
      </c>
    </row>
    <row r="138" spans="3:7" x14ac:dyDescent="0.25">
      <c r="C138" s="2" t="s">
        <v>3406</v>
      </c>
      <c r="D138" s="35">
        <v>1</v>
      </c>
      <c r="F138" s="2" t="s">
        <v>2900</v>
      </c>
      <c r="G138" s="35">
        <v>1</v>
      </c>
    </row>
    <row r="139" spans="3:7" x14ac:dyDescent="0.25">
      <c r="C139" s="2" t="s">
        <v>3411</v>
      </c>
      <c r="D139" s="35">
        <v>1</v>
      </c>
      <c r="F139" s="2" t="s">
        <v>2949</v>
      </c>
      <c r="G139" s="35">
        <v>1</v>
      </c>
    </row>
    <row r="140" spans="3:7" x14ac:dyDescent="0.25">
      <c r="C140" s="2" t="s">
        <v>3408</v>
      </c>
      <c r="D140" s="35">
        <v>1</v>
      </c>
      <c r="F140" s="2" t="s">
        <v>2902</v>
      </c>
      <c r="G140" s="35">
        <v>1</v>
      </c>
    </row>
    <row r="141" spans="3:7" x14ac:dyDescent="0.25">
      <c r="C141" s="2" t="s">
        <v>3412</v>
      </c>
      <c r="D141" s="35">
        <v>1</v>
      </c>
      <c r="F141" s="2" t="s">
        <v>180</v>
      </c>
      <c r="G141" s="35">
        <v>1</v>
      </c>
    </row>
    <row r="142" spans="3:7" x14ac:dyDescent="0.25">
      <c r="C142" s="2" t="s">
        <v>3410</v>
      </c>
      <c r="D142" s="35">
        <v>1</v>
      </c>
      <c r="F142"/>
      <c r="G142"/>
    </row>
    <row r="143" spans="3:7" x14ac:dyDescent="0.25">
      <c r="C143" s="2" t="s">
        <v>3414</v>
      </c>
      <c r="D143" s="35">
        <v>1</v>
      </c>
      <c r="F143"/>
      <c r="G143"/>
    </row>
    <row r="144" spans="3:7" x14ac:dyDescent="0.25">
      <c r="C144" s="2" t="s">
        <v>3445</v>
      </c>
      <c r="D144" s="35">
        <v>1</v>
      </c>
      <c r="F144"/>
      <c r="G144"/>
    </row>
    <row r="145" spans="3:7" x14ac:dyDescent="0.25">
      <c r="C145" s="2" t="s">
        <v>3416</v>
      </c>
      <c r="D145" s="35">
        <v>1</v>
      </c>
      <c r="F145"/>
      <c r="G145"/>
    </row>
    <row r="146" spans="3:7" x14ac:dyDescent="0.25">
      <c r="C146" s="2" t="s">
        <v>15</v>
      </c>
      <c r="D146" s="35">
        <v>1</v>
      </c>
      <c r="F146"/>
      <c r="G146"/>
    </row>
    <row r="147" spans="3:7" x14ac:dyDescent="0.25">
      <c r="C147" s="2" t="s">
        <v>3418</v>
      </c>
      <c r="D147" s="35">
        <v>1</v>
      </c>
      <c r="F147"/>
      <c r="G147"/>
    </row>
    <row r="148" spans="3:7" x14ac:dyDescent="0.25">
      <c r="C148" s="2" t="s">
        <v>3459</v>
      </c>
      <c r="D148" s="35">
        <v>1</v>
      </c>
      <c r="F148"/>
      <c r="G148"/>
    </row>
    <row r="149" spans="3:7" x14ac:dyDescent="0.25">
      <c r="C149" s="2" t="s">
        <v>3420</v>
      </c>
      <c r="D149" s="35">
        <v>1</v>
      </c>
      <c r="F149"/>
      <c r="G149"/>
    </row>
    <row r="150" spans="3:7" x14ac:dyDescent="0.25">
      <c r="C150" s="2" t="s">
        <v>3461</v>
      </c>
      <c r="D150" s="35">
        <v>1</v>
      </c>
      <c r="F150"/>
      <c r="G150"/>
    </row>
    <row r="151" spans="3:7" x14ac:dyDescent="0.25">
      <c r="C151" s="2" t="s">
        <v>3403</v>
      </c>
      <c r="D151" s="35">
        <v>1</v>
      </c>
      <c r="F151"/>
      <c r="G151"/>
    </row>
    <row r="152" spans="3:7" x14ac:dyDescent="0.25">
      <c r="C152" s="2" t="s">
        <v>3462</v>
      </c>
      <c r="D152" s="35">
        <v>1</v>
      </c>
      <c r="F152"/>
      <c r="G152"/>
    </row>
    <row r="153" spans="3:7" x14ac:dyDescent="0.25">
      <c r="C153" s="2" t="s">
        <v>3372</v>
      </c>
      <c r="D153" s="35">
        <v>1</v>
      </c>
      <c r="F153"/>
      <c r="G153"/>
    </row>
    <row r="154" spans="3:7" x14ac:dyDescent="0.25">
      <c r="C154" s="2" t="s">
        <v>3454</v>
      </c>
      <c r="D154" s="35">
        <v>1</v>
      </c>
      <c r="F154"/>
      <c r="G154"/>
    </row>
    <row r="155" spans="3:7" x14ac:dyDescent="0.25">
      <c r="C155" s="2" t="s">
        <v>3426</v>
      </c>
      <c r="D155" s="35">
        <v>1</v>
      </c>
      <c r="F155"/>
      <c r="G155"/>
    </row>
    <row r="156" spans="3:7" x14ac:dyDescent="0.25">
      <c r="C156" s="2" t="s">
        <v>3456</v>
      </c>
      <c r="D156" s="35">
        <v>1</v>
      </c>
      <c r="F156"/>
      <c r="G156"/>
    </row>
    <row r="157" spans="3:7" x14ac:dyDescent="0.25">
      <c r="C157" s="2" t="s">
        <v>3407</v>
      </c>
      <c r="D157" s="35">
        <v>1</v>
      </c>
      <c r="F157"/>
      <c r="G157"/>
    </row>
    <row r="158" spans="3:7" x14ac:dyDescent="0.25">
      <c r="C158" s="2" t="s">
        <v>3457</v>
      </c>
      <c r="D158" s="35">
        <v>1</v>
      </c>
      <c r="F158"/>
      <c r="G158"/>
    </row>
    <row r="159" spans="3:7" x14ac:dyDescent="0.25">
      <c r="C159" s="2" t="s">
        <v>3429</v>
      </c>
      <c r="D159" s="35">
        <v>1</v>
      </c>
      <c r="F159"/>
      <c r="G159"/>
    </row>
    <row r="160" spans="3:7" x14ac:dyDescent="0.25">
      <c r="C160" s="2" t="s">
        <v>3427</v>
      </c>
      <c r="D160" s="35">
        <v>1</v>
      </c>
      <c r="F160"/>
      <c r="G160"/>
    </row>
    <row r="161" spans="3:7" x14ac:dyDescent="0.25">
      <c r="C161" s="2" t="s">
        <v>3339</v>
      </c>
      <c r="D161" s="35">
        <v>1</v>
      </c>
      <c r="F161"/>
      <c r="G161"/>
    </row>
    <row r="162" spans="3:7" x14ac:dyDescent="0.25">
      <c r="C162" s="2" t="s">
        <v>3432</v>
      </c>
      <c r="D162" s="35">
        <v>1</v>
      </c>
      <c r="F162"/>
      <c r="G162"/>
    </row>
    <row r="163" spans="3:7" x14ac:dyDescent="0.25">
      <c r="C163" s="2" t="s">
        <v>3424</v>
      </c>
      <c r="D163" s="35">
        <v>1</v>
      </c>
      <c r="F163"/>
      <c r="G163"/>
    </row>
    <row r="164" spans="3:7" x14ac:dyDescent="0.25">
      <c r="C164" s="2" t="s">
        <v>1</v>
      </c>
      <c r="D164" s="35">
        <v>1</v>
      </c>
      <c r="F164"/>
      <c r="G164"/>
    </row>
    <row r="165" spans="3:7" x14ac:dyDescent="0.25">
      <c r="C165" s="2" t="s">
        <v>3434</v>
      </c>
      <c r="D165" s="35">
        <v>1</v>
      </c>
      <c r="F165"/>
      <c r="G165"/>
    </row>
    <row r="166" spans="3:7" x14ac:dyDescent="0.25">
      <c r="C166" s="2" t="s">
        <v>3435</v>
      </c>
      <c r="D166" s="35">
        <v>1</v>
      </c>
      <c r="F166"/>
      <c r="G166"/>
    </row>
    <row r="167" spans="3:7" x14ac:dyDescent="0.25">
      <c r="C167" s="2" t="s">
        <v>3436</v>
      </c>
      <c r="D167" s="35">
        <v>1</v>
      </c>
      <c r="F167"/>
      <c r="G167"/>
    </row>
    <row r="168" spans="3:7" x14ac:dyDescent="0.25">
      <c r="C168" s="2" t="s">
        <v>3437</v>
      </c>
      <c r="D168" s="35">
        <v>1</v>
      </c>
      <c r="F168"/>
      <c r="G168"/>
    </row>
    <row r="169" spans="3:7" x14ac:dyDescent="0.25">
      <c r="C169" s="2" t="s">
        <v>3438</v>
      </c>
      <c r="D169" s="35">
        <v>1</v>
      </c>
      <c r="F169"/>
      <c r="G169"/>
    </row>
    <row r="170" spans="3:7" x14ac:dyDescent="0.25">
      <c r="C170" s="2" t="s">
        <v>3439</v>
      </c>
      <c r="D170" s="35">
        <v>1</v>
      </c>
      <c r="F170"/>
      <c r="G170"/>
    </row>
    <row r="171" spans="3:7" x14ac:dyDescent="0.25">
      <c r="C171" s="2" t="s">
        <v>3440</v>
      </c>
      <c r="D171" s="35">
        <v>1</v>
      </c>
      <c r="F171"/>
      <c r="G171"/>
    </row>
    <row r="172" spans="3:7" x14ac:dyDescent="0.25">
      <c r="C172" s="2" t="s">
        <v>3441</v>
      </c>
      <c r="D172" s="35">
        <v>1</v>
      </c>
      <c r="F172"/>
      <c r="G172"/>
    </row>
    <row r="173" spans="3:7" x14ac:dyDescent="0.25">
      <c r="C173" s="2" t="s">
        <v>3442</v>
      </c>
      <c r="D173" s="35">
        <v>1</v>
      </c>
      <c r="F173"/>
      <c r="G173"/>
    </row>
    <row r="174" spans="3:7" x14ac:dyDescent="0.25">
      <c r="C174" s="2" t="s">
        <v>3443</v>
      </c>
      <c r="D174" s="35">
        <v>1</v>
      </c>
      <c r="F174"/>
      <c r="G174"/>
    </row>
    <row r="175" spans="3:7" x14ac:dyDescent="0.25">
      <c r="C175" s="2" t="s">
        <v>4</v>
      </c>
      <c r="D175" s="35">
        <v>1</v>
      </c>
      <c r="F175"/>
      <c r="G175"/>
    </row>
    <row r="176" spans="3:7" x14ac:dyDescent="0.25">
      <c r="C176" s="2" t="s">
        <v>3444</v>
      </c>
      <c r="D176" s="35">
        <v>1</v>
      </c>
      <c r="F176"/>
      <c r="G176"/>
    </row>
    <row r="177" spans="3:7" x14ac:dyDescent="0.25">
      <c r="C177" s="2" t="s">
        <v>3446</v>
      </c>
      <c r="D177" s="35">
        <v>1</v>
      </c>
      <c r="F177"/>
      <c r="G177"/>
    </row>
    <row r="178" spans="3:7" x14ac:dyDescent="0.25">
      <c r="C178" s="2" t="s">
        <v>3417</v>
      </c>
      <c r="D178" s="35">
        <v>1</v>
      </c>
      <c r="F178"/>
      <c r="G178"/>
    </row>
    <row r="179" spans="3:7" x14ac:dyDescent="0.25">
      <c r="C179" s="2" t="s">
        <v>3448</v>
      </c>
      <c r="D179" s="35">
        <v>1</v>
      </c>
      <c r="F179"/>
      <c r="G179"/>
    </row>
    <row r="180" spans="3:7" x14ac:dyDescent="0.25">
      <c r="C180" s="2" t="s">
        <v>3391</v>
      </c>
      <c r="D180" s="35">
        <v>1</v>
      </c>
      <c r="F180"/>
      <c r="G180"/>
    </row>
    <row r="181" spans="3:7" x14ac:dyDescent="0.25">
      <c r="C181" s="2" t="s">
        <v>3450</v>
      </c>
      <c r="D181" s="35">
        <v>1</v>
      </c>
      <c r="F181"/>
      <c r="G181"/>
    </row>
    <row r="182" spans="3:7" x14ac:dyDescent="0.25">
      <c r="C182" s="2" t="s">
        <v>3364</v>
      </c>
      <c r="D182" s="35">
        <v>1</v>
      </c>
      <c r="F182"/>
      <c r="G182"/>
    </row>
    <row r="183" spans="3:7" x14ac:dyDescent="0.25">
      <c r="C183" s="2" t="s">
        <v>3451</v>
      </c>
      <c r="D183" s="35">
        <v>1</v>
      </c>
      <c r="F183"/>
      <c r="G183"/>
    </row>
    <row r="184" spans="3:7" x14ac:dyDescent="0.25">
      <c r="C184" s="2" t="s">
        <v>3393</v>
      </c>
      <c r="D184" s="35">
        <v>1</v>
      </c>
      <c r="F184"/>
      <c r="G184"/>
    </row>
    <row r="185" spans="3:7" x14ac:dyDescent="0.25">
      <c r="C185" s="2" t="s">
        <v>3453</v>
      </c>
      <c r="D185" s="35">
        <v>1</v>
      </c>
      <c r="F185"/>
      <c r="G185"/>
    </row>
    <row r="186" spans="3:7" x14ac:dyDescent="0.25">
      <c r="C186" s="2" t="s">
        <v>3338</v>
      </c>
      <c r="D186" s="35">
        <v>1</v>
      </c>
      <c r="F186"/>
      <c r="G186"/>
    </row>
    <row r="187" spans="3:7" x14ac:dyDescent="0.25">
      <c r="C187" s="2" t="s">
        <v>3455</v>
      </c>
      <c r="D187" s="35">
        <v>1</v>
      </c>
      <c r="F187"/>
      <c r="G187"/>
    </row>
    <row r="188" spans="3:7" x14ac:dyDescent="0.25">
      <c r="C188" s="2" t="s">
        <v>3425</v>
      </c>
      <c r="D188" s="35">
        <v>1</v>
      </c>
      <c r="F188"/>
      <c r="G188"/>
    </row>
    <row r="189" spans="3:7" x14ac:dyDescent="0.25">
      <c r="C189" s="2" t="s">
        <v>14</v>
      </c>
      <c r="D189" s="35">
        <v>1</v>
      </c>
      <c r="F189"/>
      <c r="G189"/>
    </row>
    <row r="190" spans="3:7" x14ac:dyDescent="0.25">
      <c r="C190" s="2" t="s">
        <v>3366</v>
      </c>
      <c r="D190" s="35">
        <v>1</v>
      </c>
      <c r="F190"/>
      <c r="G190"/>
    </row>
    <row r="191" spans="3:7" x14ac:dyDescent="0.25">
      <c r="C191" s="2" t="s">
        <v>3449</v>
      </c>
      <c r="D191" s="35">
        <v>1</v>
      </c>
      <c r="F191"/>
      <c r="G191"/>
    </row>
    <row r="192" spans="3:7" x14ac:dyDescent="0.25">
      <c r="C192" s="2" t="s">
        <v>3352</v>
      </c>
      <c r="D192" s="35">
        <v>1</v>
      </c>
      <c r="F192"/>
      <c r="G192"/>
    </row>
    <row r="193" spans="3:7" x14ac:dyDescent="0.25">
      <c r="C193" s="2" t="s">
        <v>3398</v>
      </c>
      <c r="D193" s="35">
        <v>1</v>
      </c>
      <c r="F193"/>
      <c r="G193"/>
    </row>
    <row r="194" spans="3:7" x14ac:dyDescent="0.25">
      <c r="C194" s="2" t="s">
        <v>3430</v>
      </c>
      <c r="D194" s="35">
        <v>1</v>
      </c>
      <c r="F194"/>
      <c r="G194"/>
    </row>
    <row r="195" spans="3:7" x14ac:dyDescent="0.25">
      <c r="C195" s="2" t="s">
        <v>3452</v>
      </c>
      <c r="D195" s="35">
        <v>1</v>
      </c>
      <c r="F195"/>
      <c r="G195"/>
    </row>
    <row r="196" spans="3:7" x14ac:dyDescent="0.25">
      <c r="C196" s="2" t="s">
        <v>3458</v>
      </c>
      <c r="D196" s="35">
        <v>1</v>
      </c>
      <c r="F196"/>
      <c r="G196"/>
    </row>
    <row r="197" spans="3:7" x14ac:dyDescent="0.25">
      <c r="C197" s="2" t="s">
        <v>3460</v>
      </c>
      <c r="D197" s="35">
        <v>1</v>
      </c>
      <c r="F197"/>
      <c r="G197"/>
    </row>
    <row r="198" spans="3:7" x14ac:dyDescent="0.25">
      <c r="C198" s="2" t="s">
        <v>16</v>
      </c>
      <c r="D198" s="35">
        <v>253</v>
      </c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F717"/>
  <sheetViews>
    <sheetView workbookViewId="0">
      <selection activeCell="B186" sqref="B2:B186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6" x14ac:dyDescent="0.25">
      <c r="A1" t="s">
        <v>248</v>
      </c>
      <c r="B1" t="s">
        <v>3463</v>
      </c>
      <c r="C1" t="s">
        <v>3465</v>
      </c>
      <c r="D1" t="s">
        <v>252</v>
      </c>
      <c r="E1" t="s">
        <v>251</v>
      </c>
      <c r="F1" t="s">
        <v>3464</v>
      </c>
    </row>
    <row r="2" spans="1:6" x14ac:dyDescent="0.25">
      <c r="A2" s="2" t="s">
        <v>3294</v>
      </c>
      <c r="B2" s="2" t="str">
        <f t="shared" ref="B2:B65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7</v>
      </c>
    </row>
    <row r="3" spans="1:6" x14ac:dyDescent="0.25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6</v>
      </c>
    </row>
    <row r="4" spans="1:6" x14ac:dyDescent="0.25">
      <c r="A4" s="2" t="s">
        <v>3297</v>
      </c>
      <c r="B4" s="2" t="str">
        <f t="shared" si="0"/>
        <v>41032</v>
      </c>
      <c r="C4" s="2" t="str">
        <f t="shared" ref="C4:C19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</row>
    <row r="5" spans="1:6" x14ac:dyDescent="0.25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</row>
    <row r="6" spans="1:6" x14ac:dyDescent="0.25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5</v>
      </c>
    </row>
    <row r="7" spans="1:6" x14ac:dyDescent="0.25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4</v>
      </c>
    </row>
    <row r="8" spans="1:6" x14ac:dyDescent="0.25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6" x14ac:dyDescent="0.25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6" x14ac:dyDescent="0.25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6" x14ac:dyDescent="0.25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6" x14ac:dyDescent="0.25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</row>
    <row r="13" spans="1:6" x14ac:dyDescent="0.25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</row>
    <row r="14" spans="1:6" x14ac:dyDescent="0.25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</row>
    <row r="15" spans="1:6" x14ac:dyDescent="0.25">
      <c r="A15" s="2" t="s">
        <v>3332</v>
      </c>
      <c r="B15" s="2" t="str">
        <f t="shared" si="0"/>
        <v>41230</v>
      </c>
      <c r="C15" s="2" t="str">
        <f t="shared" si="1"/>
        <v>De Witte Bart</v>
      </c>
      <c r="D15" s="2" t="e">
        <f>VLOOKUP(Tabel2[[#This Row],[nr]],'data hastus'!A:C,3,FALSE)</f>
        <v>#N/A</v>
      </c>
      <c r="E15" s="2" t="e">
        <f>VLOOKUP(Tabel2[[#This Row],[nr]],'data hastus'!A:C,2,FALSE)</f>
        <v>#N/A</v>
      </c>
      <c r="F15">
        <v>3</v>
      </c>
    </row>
    <row r="16" spans="1:6" x14ac:dyDescent="0.25">
      <c r="A16" s="2" t="s">
        <v>3310</v>
      </c>
      <c r="B16" s="2" t="str">
        <f t="shared" si="0"/>
        <v>40278</v>
      </c>
      <c r="C16" s="2" t="str">
        <f t="shared" si="1"/>
        <v>Ates Firat</v>
      </c>
      <c r="D16" s="2" t="e">
        <f>VLOOKUP(Tabel2[[#This Row],[nr]],'data hastus'!A:C,3,FALSE)</f>
        <v>#N/A</v>
      </c>
      <c r="E16" s="2" t="e">
        <f>VLOOKUP(Tabel2[[#This Row],[nr]],'data hastus'!A:C,2,FALSE)</f>
        <v>#N/A</v>
      </c>
      <c r="F16">
        <v>3</v>
      </c>
    </row>
    <row r="17" spans="1:6" x14ac:dyDescent="0.25">
      <c r="A17" s="2" t="s">
        <v>3307</v>
      </c>
      <c r="B17" s="2" t="str">
        <f t="shared" si="0"/>
        <v>39581</v>
      </c>
      <c r="C17" s="2" t="str">
        <f t="shared" si="1"/>
        <v>Vandenhaute Linus</v>
      </c>
      <c r="D17" s="2" t="e">
        <f>VLOOKUP(Tabel2[[#This Row],[nr]],'data hastus'!A:C,3,FALSE)</f>
        <v>#N/A</v>
      </c>
      <c r="E17" s="2" t="e">
        <f>VLOOKUP(Tabel2[[#This Row],[nr]],'data hastus'!A:C,2,FALSE)</f>
        <v>#N/A</v>
      </c>
      <c r="F17">
        <v>2</v>
      </c>
    </row>
    <row r="18" spans="1:6" x14ac:dyDescent="0.25">
      <c r="A18" s="2" t="s">
        <v>3309</v>
      </c>
      <c r="B18" s="2" t="str">
        <f t="shared" si="0"/>
        <v>21424</v>
      </c>
      <c r="C18" s="2" t="str">
        <f t="shared" si="1"/>
        <v>Verstichel Jethro</v>
      </c>
      <c r="D18" s="2" t="e">
        <f>VLOOKUP(Tabel2[[#This Row],[nr]],'data hastus'!A:C,3,FALSE)</f>
        <v>#N/A</v>
      </c>
      <c r="E18" s="2" t="e">
        <f>VLOOKUP(Tabel2[[#This Row],[nr]],'data hastus'!A:C,2,FALSE)</f>
        <v>#N/A</v>
      </c>
      <c r="F18">
        <v>2</v>
      </c>
    </row>
    <row r="19" spans="1:6" x14ac:dyDescent="0.25">
      <c r="A19" s="2" t="s">
        <v>3306</v>
      </c>
      <c r="B19" s="2" t="str">
        <f t="shared" si="0"/>
        <v>40744</v>
      </c>
      <c r="C19" s="2" t="str">
        <f t="shared" si="1"/>
        <v>Gözüküçük Ugur</v>
      </c>
      <c r="D19" s="2" t="e">
        <f>VLOOKUP(Tabel2[[#This Row],[nr]],'data hastus'!A:C,3,FALSE)</f>
        <v>#N/A</v>
      </c>
      <c r="E19" s="2" t="e">
        <f>VLOOKUP(Tabel2[[#This Row],[nr]],'data hastus'!A:C,2,FALSE)</f>
        <v>#N/A</v>
      </c>
      <c r="F19">
        <v>2</v>
      </c>
    </row>
    <row r="20" spans="1:6" x14ac:dyDescent="0.25">
      <c r="A20" s="2" t="s">
        <v>3311</v>
      </c>
      <c r="B20" s="2" t="str">
        <f t="shared" si="0"/>
        <v>23918</v>
      </c>
      <c r="C20" s="2" t="str">
        <f>MID(A20,SEARCH(" ",A20)+1,99)</f>
        <v>D'Haeyere Bernard</v>
      </c>
      <c r="D20" s="2" t="e">
        <f>VLOOKUP(Tabel2[[#This Row],[nr]],'data hastus'!A:C,3,FALSE)</f>
        <v>#N/A</v>
      </c>
      <c r="E20" s="2" t="e">
        <f>VLOOKUP(Tabel2[[#This Row],[nr]],'data hastus'!A:C,2,FALSE)</f>
        <v>#N/A</v>
      </c>
    </row>
    <row r="21" spans="1:6" x14ac:dyDescent="0.25">
      <c r="A21" s="2" t="s">
        <v>3314</v>
      </c>
      <c r="B21" s="2" t="str">
        <f t="shared" si="0"/>
        <v>39358</v>
      </c>
      <c r="C21" s="2" t="str">
        <f t="shared" ref="C21:C84" si="2">MID(A21,SEARCH(" ",A21)+1,99)</f>
        <v>Weeks Aracena Jimmy Alexander</v>
      </c>
      <c r="D21" s="2" t="e">
        <f>VLOOKUP(Tabel2[[#This Row],[nr]],'data hastus'!A:C,3,FALSE)</f>
        <v>#N/A</v>
      </c>
      <c r="E21" s="2" t="e">
        <f>VLOOKUP(Tabel2[[#This Row],[nr]],'data hastus'!A:C,2,FALSE)</f>
        <v>#N/A</v>
      </c>
      <c r="F21">
        <v>2</v>
      </c>
    </row>
    <row r="22" spans="1:6" x14ac:dyDescent="0.25">
      <c r="A22" s="2" t="s">
        <v>3313</v>
      </c>
      <c r="B22" s="2" t="str">
        <f t="shared" si="0"/>
        <v>25487</v>
      </c>
      <c r="C22" s="2" t="str">
        <f t="shared" si="2"/>
        <v>Devos Stefaan</v>
      </c>
      <c r="D22" s="2" t="e">
        <f>VLOOKUP(Tabel2[[#This Row],[nr]],'data hastus'!A:C,3,FALSE)</f>
        <v>#N/A</v>
      </c>
      <c r="E22" s="2" t="e">
        <f>VLOOKUP(Tabel2[[#This Row],[nr]],'data hastus'!A:C,2,FALSE)</f>
        <v>#N/A</v>
      </c>
      <c r="F22">
        <v>2</v>
      </c>
    </row>
    <row r="23" spans="1:6" x14ac:dyDescent="0.25">
      <c r="A23" s="2" t="s">
        <v>3316</v>
      </c>
      <c r="B23" s="2" t="str">
        <f t="shared" si="0"/>
        <v>39673</v>
      </c>
      <c r="C23" s="2" t="str">
        <f t="shared" si="2"/>
        <v>Steurbaut Henri</v>
      </c>
      <c r="D23" s="2" t="e">
        <f>VLOOKUP(Tabel2[[#This Row],[nr]],'data hastus'!A:C,3,FALSE)</f>
        <v>#N/A</v>
      </c>
      <c r="E23" s="2" t="e">
        <f>VLOOKUP(Tabel2[[#This Row],[nr]],'data hastus'!A:C,2,FALSE)</f>
        <v>#N/A</v>
      </c>
      <c r="F23">
        <v>2</v>
      </c>
    </row>
    <row r="24" spans="1:6" x14ac:dyDescent="0.25">
      <c r="A24" s="2" t="s">
        <v>3315</v>
      </c>
      <c r="B24" s="2" t="str">
        <f t="shared" si="0"/>
        <v>25679</v>
      </c>
      <c r="C24" s="2" t="str">
        <f t="shared" si="2"/>
        <v>Vanrenterghem Serge</v>
      </c>
      <c r="D24" s="2" t="e">
        <f>VLOOKUP(Tabel2[[#This Row],[nr]],'data hastus'!A:C,3,FALSE)</f>
        <v>#N/A</v>
      </c>
      <c r="E24" s="2" t="e">
        <f>VLOOKUP(Tabel2[[#This Row],[nr]],'data hastus'!A:C,2,FALSE)</f>
        <v>#N/A</v>
      </c>
    </row>
    <row r="25" spans="1:6" x14ac:dyDescent="0.25">
      <c r="A25" s="2" t="s">
        <v>3317</v>
      </c>
      <c r="B25" s="2" t="str">
        <f t="shared" si="0"/>
        <v>40478</v>
      </c>
      <c r="C25" s="2" t="str">
        <f t="shared" si="2"/>
        <v>Hashimi Ali Mir</v>
      </c>
      <c r="D25" s="2" t="e">
        <f>VLOOKUP(Tabel2[[#This Row],[nr]],'data hastus'!A:C,3,FALSE)</f>
        <v>#N/A</v>
      </c>
      <c r="E25" s="2" t="e">
        <f>VLOOKUP(Tabel2[[#This Row],[nr]],'data hastus'!A:C,2,FALSE)</f>
        <v>#N/A</v>
      </c>
      <c r="F25">
        <v>2</v>
      </c>
    </row>
    <row r="26" spans="1:6" x14ac:dyDescent="0.25">
      <c r="A26" s="2" t="s">
        <v>3</v>
      </c>
      <c r="B26" s="2" t="str">
        <f t="shared" si="0"/>
        <v>28737</v>
      </c>
      <c r="C26" s="2" t="str">
        <f t="shared" si="2"/>
        <v>El-Mohamed Mohamed</v>
      </c>
      <c r="D26" s="2" t="e">
        <f>VLOOKUP(Tabel2[[#This Row],[nr]],'data hastus'!A:C,3,FALSE)</f>
        <v>#N/A</v>
      </c>
      <c r="E26" s="2" t="e">
        <f>VLOOKUP(Tabel2[[#This Row],[nr]],'data hastus'!A:C,2,FALSE)</f>
        <v>#N/A</v>
      </c>
      <c r="F26">
        <v>2</v>
      </c>
    </row>
    <row r="27" spans="1:6" x14ac:dyDescent="0.25">
      <c r="A27" s="2" t="s">
        <v>3335</v>
      </c>
      <c r="B27" s="2" t="str">
        <f t="shared" si="0"/>
        <v>41012</v>
      </c>
      <c r="C27" s="2" t="str">
        <f t="shared" si="2"/>
        <v>Natad Younes</v>
      </c>
      <c r="D27" s="2" t="e">
        <f>VLOOKUP(Tabel2[[#This Row],[nr]],'data hastus'!A:C,3,FALSE)</f>
        <v>#N/A</v>
      </c>
      <c r="E27" s="2" t="e">
        <f>VLOOKUP(Tabel2[[#This Row],[nr]],'data hastus'!A:C,2,FALSE)</f>
        <v>#N/A</v>
      </c>
      <c r="F27">
        <v>2</v>
      </c>
    </row>
    <row r="28" spans="1:6" x14ac:dyDescent="0.25">
      <c r="A28" s="2" t="s">
        <v>3318</v>
      </c>
      <c r="B28" s="2" t="str">
        <f t="shared" si="0"/>
        <v>30967</v>
      </c>
      <c r="C28" s="2" t="str">
        <f t="shared" si="2"/>
        <v>Taser Fatih</v>
      </c>
      <c r="D28" s="2" t="e">
        <f>VLOOKUP(Tabel2[[#This Row],[nr]],'data hastus'!A:C,3,FALSE)</f>
        <v>#N/A</v>
      </c>
      <c r="E28" s="2" t="e">
        <f>VLOOKUP(Tabel2[[#This Row],[nr]],'data hastus'!A:C,2,FALSE)</f>
        <v>#N/A</v>
      </c>
      <c r="F28">
        <v>2</v>
      </c>
    </row>
    <row r="29" spans="1:6" x14ac:dyDescent="0.25">
      <c r="A29" s="2" t="s">
        <v>3334</v>
      </c>
      <c r="B29" s="2" t="str">
        <f t="shared" si="0"/>
        <v>41520</v>
      </c>
      <c r="C29" s="2" t="str">
        <f t="shared" si="2"/>
        <v>Smets Avery</v>
      </c>
      <c r="D29" s="2" t="e">
        <f>VLOOKUP(Tabel2[[#This Row],[nr]],'data hastus'!A:C,3,FALSE)</f>
        <v>#N/A</v>
      </c>
      <c r="E29" s="2" t="e">
        <f>VLOOKUP(Tabel2[[#This Row],[nr]],'data hastus'!A:C,2,FALSE)</f>
        <v>#N/A</v>
      </c>
      <c r="F29">
        <v>2</v>
      </c>
    </row>
    <row r="30" spans="1:6" x14ac:dyDescent="0.25">
      <c r="A30" s="2" t="s">
        <v>3320</v>
      </c>
      <c r="B30" s="2" t="str">
        <f t="shared" si="0"/>
        <v>31668</v>
      </c>
      <c r="C30" s="2" t="str">
        <f t="shared" si="2"/>
        <v>Weemhof Maurice</v>
      </c>
      <c r="D30" s="2" t="e">
        <f>VLOOKUP(Tabel2[[#This Row],[nr]],'data hastus'!A:C,3,FALSE)</f>
        <v>#N/A</v>
      </c>
      <c r="E30" s="2" t="e">
        <f>VLOOKUP(Tabel2[[#This Row],[nr]],'data hastus'!A:C,2,FALSE)</f>
        <v>#N/A</v>
      </c>
    </row>
    <row r="31" spans="1:6" x14ac:dyDescent="0.25">
      <c r="A31" s="2" t="s">
        <v>3323</v>
      </c>
      <c r="B31" s="2" t="str">
        <f t="shared" si="0"/>
        <v>39532</v>
      </c>
      <c r="C31" s="2" t="str">
        <f t="shared" si="2"/>
        <v>Sahin Orhan</v>
      </c>
      <c r="D31" s="2" t="e">
        <f>VLOOKUP(Tabel2[[#This Row],[nr]],'data hastus'!A:C,3,FALSE)</f>
        <v>#N/A</v>
      </c>
      <c r="E31" s="2" t="e">
        <f>VLOOKUP(Tabel2[[#This Row],[nr]],'data hastus'!A:C,2,FALSE)</f>
        <v>#N/A</v>
      </c>
      <c r="F31">
        <v>2</v>
      </c>
    </row>
    <row r="32" spans="1:6" x14ac:dyDescent="0.25">
      <c r="A32" s="2" t="s">
        <v>7</v>
      </c>
      <c r="B32" s="2" t="str">
        <f t="shared" si="0"/>
        <v>35397</v>
      </c>
      <c r="C32" s="2" t="str">
        <f t="shared" si="2"/>
        <v>Minbari Ako</v>
      </c>
      <c r="D32" s="2" t="e">
        <f>VLOOKUP(Tabel2[[#This Row],[nr]],'data hastus'!A:C,3,FALSE)</f>
        <v>#N/A</v>
      </c>
      <c r="E32" s="2" t="e">
        <f>VLOOKUP(Tabel2[[#This Row],[nr]],'data hastus'!A:C,2,FALSE)</f>
        <v>#N/A</v>
      </c>
      <c r="F32">
        <v>2</v>
      </c>
    </row>
    <row r="33" spans="1:6" x14ac:dyDescent="0.25">
      <c r="A33" s="2" t="s">
        <v>3325</v>
      </c>
      <c r="B33" s="2" t="str">
        <f t="shared" si="0"/>
        <v>39660</v>
      </c>
      <c r="C33" s="2" t="str">
        <f t="shared" si="2"/>
        <v>Lloyd Glenn</v>
      </c>
      <c r="D33" s="2" t="e">
        <f>VLOOKUP(Tabel2[[#This Row],[nr]],'data hastus'!A:C,3,FALSE)</f>
        <v>#N/A</v>
      </c>
      <c r="E33" s="2" t="e">
        <f>VLOOKUP(Tabel2[[#This Row],[nr]],'data hastus'!A:C,2,FALSE)</f>
        <v>#N/A</v>
      </c>
      <c r="F33">
        <v>2</v>
      </c>
    </row>
    <row r="34" spans="1:6" x14ac:dyDescent="0.25">
      <c r="A34" s="2" t="s">
        <v>3322</v>
      </c>
      <c r="B34" s="2" t="str">
        <f t="shared" si="0"/>
        <v>35645</v>
      </c>
      <c r="C34" s="2" t="str">
        <f t="shared" si="2"/>
        <v>Jalili Yaseeb</v>
      </c>
      <c r="D34" s="2" t="e">
        <f>VLOOKUP(Tabel2[[#This Row],[nr]],'data hastus'!A:C,3,FALSE)</f>
        <v>#N/A</v>
      </c>
      <c r="E34" s="2" t="e">
        <f>VLOOKUP(Tabel2[[#This Row],[nr]],'data hastus'!A:C,2,FALSE)</f>
        <v>#N/A</v>
      </c>
      <c r="F34">
        <v>2</v>
      </c>
    </row>
    <row r="35" spans="1:6" x14ac:dyDescent="0.25">
      <c r="A35" s="2" t="s">
        <v>3327</v>
      </c>
      <c r="B35" s="2" t="str">
        <f t="shared" si="0"/>
        <v>40266</v>
      </c>
      <c r="C35" s="2" t="str">
        <f t="shared" si="2"/>
        <v>Taibi Yassine</v>
      </c>
      <c r="D35" s="2" t="e">
        <f>VLOOKUP(Tabel2[[#This Row],[nr]],'data hastus'!A:C,3,FALSE)</f>
        <v>#N/A</v>
      </c>
      <c r="E35" s="2" t="e">
        <f>VLOOKUP(Tabel2[[#This Row],[nr]],'data hastus'!A:C,2,FALSE)</f>
        <v>#N/A</v>
      </c>
      <c r="F35">
        <v>2</v>
      </c>
    </row>
    <row r="36" spans="1:6" x14ac:dyDescent="0.25">
      <c r="A36" s="2" t="s">
        <v>3324</v>
      </c>
      <c r="B36" s="2" t="str">
        <f t="shared" si="0"/>
        <v>36426</v>
      </c>
      <c r="C36" s="2" t="str">
        <f t="shared" si="2"/>
        <v>Mohamed Yassin Abdulhamid</v>
      </c>
      <c r="D36" s="2" t="e">
        <f>VLOOKUP(Tabel2[[#This Row],[nr]],'data hastus'!A:C,3,FALSE)</f>
        <v>#N/A</v>
      </c>
      <c r="E36" s="2" t="e">
        <f>VLOOKUP(Tabel2[[#This Row],[nr]],'data hastus'!A:C,2,FALSE)</f>
        <v>#N/A</v>
      </c>
    </row>
    <row r="37" spans="1:6" x14ac:dyDescent="0.25">
      <c r="A37" s="2" t="s">
        <v>3329</v>
      </c>
      <c r="B37" s="2" t="str">
        <f t="shared" si="0"/>
        <v>40362</v>
      </c>
      <c r="C37" s="2" t="str">
        <f t="shared" si="2"/>
        <v>Kuru Cetin</v>
      </c>
      <c r="D37" s="2" t="e">
        <f>VLOOKUP(Tabel2[[#This Row],[nr]],'data hastus'!A:C,3,FALSE)</f>
        <v>#N/A</v>
      </c>
      <c r="E37" s="2" t="e">
        <f>VLOOKUP(Tabel2[[#This Row],[nr]],'data hastus'!A:C,2,FALSE)</f>
        <v>#N/A</v>
      </c>
      <c r="F37">
        <v>2</v>
      </c>
    </row>
    <row r="38" spans="1:6" x14ac:dyDescent="0.25">
      <c r="A38" s="2" t="s">
        <v>3326</v>
      </c>
      <c r="B38" s="2" t="str">
        <f t="shared" si="0"/>
        <v>12684</v>
      </c>
      <c r="C38" s="2" t="str">
        <f t="shared" si="2"/>
        <v>Van Den Bossche Martine</v>
      </c>
      <c r="D38" s="2" t="e">
        <f>VLOOKUP(Tabel2[[#This Row],[nr]],'data hastus'!A:C,3,FALSE)</f>
        <v>#N/A</v>
      </c>
      <c r="E38" s="2" t="e">
        <f>VLOOKUP(Tabel2[[#This Row],[nr]],'data hastus'!A:C,2,FALSE)</f>
        <v>#N/A</v>
      </c>
    </row>
    <row r="39" spans="1:6" x14ac:dyDescent="0.25">
      <c r="A39" s="2" t="s">
        <v>3331</v>
      </c>
      <c r="B39" s="2" t="str">
        <f t="shared" si="0"/>
        <v>40591</v>
      </c>
      <c r="C39" s="2" t="str">
        <f t="shared" si="2"/>
        <v>Hiloui Mahmoud</v>
      </c>
      <c r="D39" s="2" t="e">
        <f>VLOOKUP(Tabel2[[#This Row],[nr]],'data hastus'!A:C,3,FALSE)</f>
        <v>#N/A</v>
      </c>
      <c r="E39" s="2" t="e">
        <f>VLOOKUP(Tabel2[[#This Row],[nr]],'data hastus'!A:C,2,FALSE)</f>
        <v>#N/A</v>
      </c>
      <c r="F39">
        <v>2</v>
      </c>
    </row>
    <row r="40" spans="1:6" x14ac:dyDescent="0.25">
      <c r="A40" s="2" t="s">
        <v>3328</v>
      </c>
      <c r="B40" s="2" t="str">
        <f t="shared" si="0"/>
        <v>36512</v>
      </c>
      <c r="C40" s="2" t="str">
        <f t="shared" si="2"/>
        <v>Van Herreweghe Branco</v>
      </c>
      <c r="D40" s="2" t="e">
        <f>VLOOKUP(Tabel2[[#This Row],[nr]],'data hastus'!A:C,3,FALSE)</f>
        <v>#N/A</v>
      </c>
      <c r="E40" s="2" t="e">
        <f>VLOOKUP(Tabel2[[#This Row],[nr]],'data hastus'!A:C,2,FALSE)</f>
        <v>#N/A</v>
      </c>
      <c r="F40">
        <v>2</v>
      </c>
    </row>
    <row r="41" spans="1:6" x14ac:dyDescent="0.25">
      <c r="A41" s="2" t="s">
        <v>3333</v>
      </c>
      <c r="B41" s="2" t="str">
        <f t="shared" si="0"/>
        <v>15412</v>
      </c>
      <c r="C41" s="2" t="str">
        <f t="shared" si="2"/>
        <v>Dhondt Frank</v>
      </c>
      <c r="D41" s="2" t="e">
        <f>VLOOKUP(Tabel2[[#This Row],[nr]],'data hastus'!A:C,3,FALSE)</f>
        <v>#N/A</v>
      </c>
      <c r="E41" s="2" t="e">
        <f>VLOOKUP(Tabel2[[#This Row],[nr]],'data hastus'!A:C,2,FALSE)</f>
        <v>#N/A</v>
      </c>
      <c r="F41">
        <v>2</v>
      </c>
    </row>
    <row r="42" spans="1:6" x14ac:dyDescent="0.25">
      <c r="A42" s="2" t="s">
        <v>3330</v>
      </c>
      <c r="B42" s="2" t="str">
        <f t="shared" si="0"/>
        <v>36626</v>
      </c>
      <c r="C42" s="2" t="str">
        <f t="shared" si="2"/>
        <v>Kartal Kadir</v>
      </c>
      <c r="D42" s="2" t="e">
        <f>VLOOKUP(Tabel2[[#This Row],[nr]],'data hastus'!A:C,3,FALSE)</f>
        <v>#N/A</v>
      </c>
      <c r="E42" s="2" t="e">
        <f>VLOOKUP(Tabel2[[#This Row],[nr]],'data hastus'!A:C,2,FALSE)</f>
        <v>#N/A</v>
      </c>
      <c r="F42">
        <v>2</v>
      </c>
    </row>
    <row r="43" spans="1:6" x14ac:dyDescent="0.25">
      <c r="A43" s="2" t="s">
        <v>3312</v>
      </c>
      <c r="B43" s="2" t="str">
        <f t="shared" si="0"/>
        <v>41064</v>
      </c>
      <c r="C43" s="2" t="str">
        <f t="shared" si="2"/>
        <v>Ardic Atilla</v>
      </c>
      <c r="D43" s="2" t="e">
        <f>VLOOKUP(Tabel2[[#This Row],[nr]],'data hastus'!A:C,3,FALSE)</f>
        <v>#N/A</v>
      </c>
      <c r="E43" s="2" t="e">
        <f>VLOOKUP(Tabel2[[#This Row],[nr]],'data hastus'!A:C,2,FALSE)</f>
        <v>#N/A</v>
      </c>
      <c r="F43">
        <v>2</v>
      </c>
    </row>
    <row r="44" spans="1:6" x14ac:dyDescent="0.25">
      <c r="A44" s="2" t="s">
        <v>3321</v>
      </c>
      <c r="B44" s="2" t="str">
        <f t="shared" si="0"/>
        <v>37662</v>
      </c>
      <c r="C44" s="2" t="str">
        <f t="shared" si="2"/>
        <v>Van den Meerssche Steven</v>
      </c>
      <c r="D44" s="2" t="e">
        <f>VLOOKUP(Tabel2[[#This Row],[nr]],'data hastus'!A:C,3,FALSE)</f>
        <v>#N/A</v>
      </c>
      <c r="E44" s="2" t="e">
        <f>VLOOKUP(Tabel2[[#This Row],[nr]],'data hastus'!A:C,2,FALSE)</f>
        <v>#N/A</v>
      </c>
      <c r="F44">
        <v>2</v>
      </c>
    </row>
    <row r="45" spans="1:6" x14ac:dyDescent="0.25">
      <c r="A45" s="2" t="s">
        <v>3337</v>
      </c>
      <c r="B45" s="2" t="str">
        <f t="shared" si="0"/>
        <v>41246</v>
      </c>
      <c r="C45" s="2" t="str">
        <f t="shared" si="2"/>
        <v>Van Holsbeeck Yana</v>
      </c>
      <c r="D45" s="2" t="e">
        <f>VLOOKUP(Tabel2[[#This Row],[nr]],'data hastus'!A:C,3,FALSE)</f>
        <v>#N/A</v>
      </c>
      <c r="E45" s="2" t="e">
        <f>VLOOKUP(Tabel2[[#This Row],[nr]],'data hastus'!A:C,2,FALSE)</f>
        <v>#N/A</v>
      </c>
      <c r="F45">
        <v>2</v>
      </c>
    </row>
    <row r="46" spans="1:6" x14ac:dyDescent="0.25">
      <c r="A46" s="2" t="s">
        <v>3308</v>
      </c>
      <c r="B46" s="2" t="str">
        <f t="shared" si="0"/>
        <v>38475</v>
      </c>
      <c r="C46" s="2" t="str">
        <f t="shared" si="2"/>
        <v>Verschraegen Katleen</v>
      </c>
      <c r="D46" s="2" t="e">
        <f>VLOOKUP(Tabel2[[#This Row],[nr]],'data hastus'!A:C,3,FALSE)</f>
        <v>#N/A</v>
      </c>
      <c r="E46" s="2" t="e">
        <f>VLOOKUP(Tabel2[[#This Row],[nr]],'data hastus'!A:C,2,FALSE)</f>
        <v>#N/A</v>
      </c>
      <c r="F46">
        <v>2</v>
      </c>
    </row>
    <row r="47" spans="1:6" x14ac:dyDescent="0.25">
      <c r="A47" s="2" t="s">
        <v>13</v>
      </c>
      <c r="B47" s="2" t="str">
        <f t="shared" si="0"/>
        <v>4419</v>
      </c>
      <c r="C47" s="2" t="str">
        <f t="shared" si="2"/>
        <v>Maelbrancke Eddy</v>
      </c>
      <c r="D47" s="2" t="e">
        <f>VLOOKUP(Tabel2[[#This Row],[nr]],'data hastus'!A:C,3,FALSE)</f>
        <v>#N/A</v>
      </c>
      <c r="E47" s="2" t="e">
        <f>VLOOKUP(Tabel2[[#This Row],[nr]],'data hastus'!A:C,2,FALSE)</f>
        <v>#N/A</v>
      </c>
    </row>
    <row r="48" spans="1:6" x14ac:dyDescent="0.25">
      <c r="A48" s="2" t="s">
        <v>10</v>
      </c>
      <c r="B48" s="2" t="str">
        <f t="shared" si="0"/>
        <v>38648</v>
      </c>
      <c r="C48" s="2" t="str">
        <f t="shared" si="2"/>
        <v>Uckuyulu Muhammet Emin</v>
      </c>
      <c r="D48" s="2" t="e">
        <f>VLOOKUP(Tabel2[[#This Row],[nr]],'data hastus'!A:C,3,FALSE)</f>
        <v>#N/A</v>
      </c>
      <c r="E48" s="2" t="e">
        <f>VLOOKUP(Tabel2[[#This Row],[nr]],'data hastus'!A:C,2,FALSE)</f>
        <v>#N/A</v>
      </c>
    </row>
    <row r="49" spans="1:6" x14ac:dyDescent="0.25">
      <c r="A49" s="2" t="s">
        <v>3336</v>
      </c>
      <c r="B49" s="2" t="str">
        <f t="shared" si="0"/>
        <v>37496</v>
      </c>
      <c r="C49" s="2" t="str">
        <f t="shared" si="2"/>
        <v>Oosterlinck Willy</v>
      </c>
      <c r="D49" s="2" t="e">
        <f>VLOOKUP(Tabel2[[#This Row],[nr]],'data hastus'!A:C,3,FALSE)</f>
        <v>#N/A</v>
      </c>
      <c r="E49" s="2" t="e">
        <f>VLOOKUP(Tabel2[[#This Row],[nr]],'data hastus'!A:C,2,FALSE)</f>
        <v>#N/A</v>
      </c>
      <c r="F49">
        <v>2</v>
      </c>
    </row>
    <row r="50" spans="1:6" x14ac:dyDescent="0.25">
      <c r="A50" s="2" t="s">
        <v>3423</v>
      </c>
      <c r="B50" s="2" t="str">
        <f t="shared" si="0"/>
        <v>41721</v>
      </c>
      <c r="C50" s="2" t="str">
        <f t="shared" si="2"/>
        <v>Nolf Philippe</v>
      </c>
      <c r="D50" s="2" t="e">
        <f>VLOOKUP(Tabel2[[#This Row],[nr]],'data hastus'!A:C,3,FALSE)</f>
        <v>#N/A</v>
      </c>
      <c r="E50" s="2" t="e">
        <f>VLOOKUP(Tabel2[[#This Row],[nr]],'data hastus'!A:C,2,FALSE)</f>
        <v>#N/A</v>
      </c>
      <c r="F50">
        <v>2</v>
      </c>
    </row>
    <row r="51" spans="1:6" x14ac:dyDescent="0.25">
      <c r="A51" s="2" t="s">
        <v>3380</v>
      </c>
      <c r="B51" s="2" t="str">
        <f t="shared" si="0"/>
        <v>40393</v>
      </c>
      <c r="C51" s="2" t="str">
        <f t="shared" si="2"/>
        <v>Salimova Eydzhan</v>
      </c>
      <c r="D51" s="2" t="e">
        <f>VLOOKUP(Tabel2[[#This Row],[nr]],'data hastus'!A:C,3,FALSE)</f>
        <v>#N/A</v>
      </c>
      <c r="E51" s="2" t="e">
        <f>VLOOKUP(Tabel2[[#This Row],[nr]],'data hastus'!A:C,2,FALSE)</f>
        <v>#N/A</v>
      </c>
      <c r="F51">
        <v>2</v>
      </c>
    </row>
    <row r="52" spans="1:6" x14ac:dyDescent="0.25">
      <c r="A52" s="2" t="s">
        <v>12</v>
      </c>
      <c r="B52" s="2" t="str">
        <f t="shared" si="0"/>
        <v>39829</v>
      </c>
      <c r="C52" s="2" t="str">
        <f t="shared" si="2"/>
        <v>Demirkaya Serkan</v>
      </c>
      <c r="D52" s="2" t="e">
        <f>VLOOKUP(Tabel2[[#This Row],[nr]],'data hastus'!A:C,3,FALSE)</f>
        <v>#N/A</v>
      </c>
      <c r="E52" s="2" t="e">
        <f>VLOOKUP(Tabel2[[#This Row],[nr]],'data hastus'!A:C,2,FALSE)</f>
        <v>#N/A</v>
      </c>
      <c r="F52">
        <v>2</v>
      </c>
    </row>
    <row r="53" spans="1:6" x14ac:dyDescent="0.25">
      <c r="A53" s="2" t="s">
        <v>3389</v>
      </c>
      <c r="B53" s="2" t="str">
        <f t="shared" si="0"/>
        <v>21582</v>
      </c>
      <c r="C53" s="2" t="str">
        <f t="shared" si="2"/>
        <v>De Grom Patrick</v>
      </c>
      <c r="D53" s="2" t="e">
        <f>VLOOKUP(Tabel2[[#This Row],[nr]],'data hastus'!A:C,3,FALSE)</f>
        <v>#N/A</v>
      </c>
      <c r="E53" s="2" t="e">
        <f>VLOOKUP(Tabel2[[#This Row],[nr]],'data hastus'!A:C,2,FALSE)</f>
        <v>#N/A</v>
      </c>
      <c r="F53">
        <v>2</v>
      </c>
    </row>
    <row r="54" spans="1:6" x14ac:dyDescent="0.25">
      <c r="A54" s="2" t="s">
        <v>3382</v>
      </c>
      <c r="B54" s="2" t="str">
        <f t="shared" si="0"/>
        <v>31118</v>
      </c>
      <c r="C54" s="2" t="str">
        <f t="shared" si="2"/>
        <v>De Sutter Michiel</v>
      </c>
      <c r="D54" s="2" t="e">
        <f>VLOOKUP(Tabel2[[#This Row],[nr]],'data hastus'!A:C,3,FALSE)</f>
        <v>#N/A</v>
      </c>
      <c r="E54" s="2" t="e">
        <f>VLOOKUP(Tabel2[[#This Row],[nr]],'data hastus'!A:C,2,FALSE)</f>
        <v>#N/A</v>
      </c>
    </row>
    <row r="55" spans="1:6" x14ac:dyDescent="0.25">
      <c r="A55" s="2" t="s">
        <v>3341</v>
      </c>
      <c r="B55" s="2" t="str">
        <f t="shared" si="0"/>
        <v>31776</v>
      </c>
      <c r="C55" s="2" t="str">
        <f t="shared" si="2"/>
        <v>Famelaer Steve</v>
      </c>
      <c r="D55" s="2" t="e">
        <f>VLOOKUP(Tabel2[[#This Row],[nr]],'data hastus'!A:C,3,FALSE)</f>
        <v>#N/A</v>
      </c>
      <c r="E55" s="2" t="e">
        <f>VLOOKUP(Tabel2[[#This Row],[nr]],'data hastus'!A:C,2,FALSE)</f>
        <v>#N/A</v>
      </c>
    </row>
    <row r="56" spans="1:6" x14ac:dyDescent="0.25">
      <c r="A56" s="2" t="s">
        <v>3428</v>
      </c>
      <c r="B56" s="2" t="str">
        <f t="shared" si="0"/>
        <v>26199</v>
      </c>
      <c r="C56" s="2" t="str">
        <f t="shared" si="2"/>
        <v>Wauters Franky</v>
      </c>
      <c r="D56" s="2" t="e">
        <f>VLOOKUP(Tabel2[[#This Row],[nr]],'data hastus'!A:C,3,FALSE)</f>
        <v>#N/A</v>
      </c>
      <c r="E56" s="2" t="e">
        <f>VLOOKUP(Tabel2[[#This Row],[nr]],'data hastus'!A:C,2,FALSE)</f>
        <v>#N/A</v>
      </c>
    </row>
    <row r="57" spans="1:6" x14ac:dyDescent="0.25">
      <c r="A57" s="2" t="s">
        <v>3343</v>
      </c>
      <c r="B57" s="2" t="str">
        <f t="shared" si="0"/>
        <v>32002</v>
      </c>
      <c r="C57" s="2" t="str">
        <f t="shared" si="2"/>
        <v>Hasni Helmi</v>
      </c>
      <c r="D57" s="2" t="e">
        <f>VLOOKUP(Tabel2[[#This Row],[nr]],'data hastus'!A:C,3,FALSE)</f>
        <v>#N/A</v>
      </c>
      <c r="E57" s="2" t="e">
        <f>VLOOKUP(Tabel2[[#This Row],[nr]],'data hastus'!A:C,2,FALSE)</f>
        <v>#N/A</v>
      </c>
      <c r="F57">
        <v>2</v>
      </c>
    </row>
    <row r="58" spans="1:6" x14ac:dyDescent="0.25">
      <c r="A58" s="2" t="s">
        <v>3376</v>
      </c>
      <c r="B58" s="2" t="str">
        <f t="shared" si="0"/>
        <v>40055</v>
      </c>
      <c r="C58" s="2" t="str">
        <f t="shared" si="2"/>
        <v>Afara Ammar</v>
      </c>
      <c r="D58" s="2" t="e">
        <f>VLOOKUP(Tabel2[[#This Row],[nr]],'data hastus'!A:C,3,FALSE)</f>
        <v>#N/A</v>
      </c>
      <c r="E58" s="2" t="e">
        <f>VLOOKUP(Tabel2[[#This Row],[nr]],'data hastus'!A:C,2,FALSE)</f>
        <v>#N/A</v>
      </c>
      <c r="F58">
        <v>2</v>
      </c>
    </row>
    <row r="59" spans="1:6" x14ac:dyDescent="0.25">
      <c r="A59" s="2" t="s">
        <v>3345</v>
      </c>
      <c r="B59" s="2" t="str">
        <f t="shared" si="0"/>
        <v>32091</v>
      </c>
      <c r="C59" s="2" t="str">
        <f t="shared" si="2"/>
        <v>Köroglu Ercan</v>
      </c>
      <c r="D59" s="2" t="e">
        <f>VLOOKUP(Tabel2[[#This Row],[nr]],'data hastus'!A:C,3,FALSE)</f>
        <v>#N/A</v>
      </c>
      <c r="E59" s="2" t="e">
        <f>VLOOKUP(Tabel2[[#This Row],[nr]],'data hastus'!A:C,2,FALSE)</f>
        <v>#N/A</v>
      </c>
      <c r="F59">
        <v>2</v>
      </c>
    </row>
    <row r="60" spans="1:6" x14ac:dyDescent="0.25">
      <c r="A60" s="2" t="s">
        <v>3384</v>
      </c>
      <c r="B60" s="2" t="str">
        <f t="shared" si="0"/>
        <v>40745</v>
      </c>
      <c r="C60" s="2" t="str">
        <f t="shared" si="2"/>
        <v>Ivanov Ivan</v>
      </c>
      <c r="D60" s="2" t="e">
        <f>VLOOKUP(Tabel2[[#This Row],[nr]],'data hastus'!A:C,3,FALSE)</f>
        <v>#N/A</v>
      </c>
      <c r="E60" s="2" t="e">
        <f>VLOOKUP(Tabel2[[#This Row],[nr]],'data hastus'!A:C,2,FALSE)</f>
        <v>#N/A</v>
      </c>
      <c r="F60">
        <v>2</v>
      </c>
    </row>
    <row r="61" spans="1:6" x14ac:dyDescent="0.25">
      <c r="A61" s="2" t="s">
        <v>3347</v>
      </c>
      <c r="B61" s="2" t="str">
        <f t="shared" si="0"/>
        <v>32245</v>
      </c>
      <c r="C61" s="2" t="str">
        <f t="shared" si="2"/>
        <v>Verlinden Bianca</v>
      </c>
      <c r="D61" s="2" t="e">
        <f>VLOOKUP(Tabel2[[#This Row],[nr]],'data hastus'!A:C,3,FALSE)</f>
        <v>#N/A</v>
      </c>
      <c r="E61" s="2" t="e">
        <f>VLOOKUP(Tabel2[[#This Row],[nr]],'data hastus'!A:C,2,FALSE)</f>
        <v>#N/A</v>
      </c>
      <c r="F61">
        <v>2</v>
      </c>
    </row>
    <row r="62" spans="1:6" x14ac:dyDescent="0.25">
      <c r="A62" s="2" t="s">
        <v>3415</v>
      </c>
      <c r="B62" s="2" t="str">
        <f t="shared" si="0"/>
        <v>41384</v>
      </c>
      <c r="C62" s="2" t="str">
        <f t="shared" si="2"/>
        <v>Hillaert Thimo</v>
      </c>
      <c r="D62" s="2" t="e">
        <f>VLOOKUP(Tabel2[[#This Row],[nr]],'data hastus'!A:C,3,FALSE)</f>
        <v>#N/A</v>
      </c>
      <c r="E62" s="2" t="e">
        <f>VLOOKUP(Tabel2[[#This Row],[nr]],'data hastus'!A:C,2,FALSE)</f>
        <v>#N/A</v>
      </c>
      <c r="F62">
        <v>2</v>
      </c>
    </row>
    <row r="63" spans="1:6" x14ac:dyDescent="0.25">
      <c r="A63" s="2" t="s">
        <v>3349</v>
      </c>
      <c r="B63" s="2" t="str">
        <f t="shared" si="0"/>
        <v>32387</v>
      </c>
      <c r="C63" s="2" t="str">
        <f t="shared" si="2"/>
        <v>Meersman Herman</v>
      </c>
      <c r="D63" s="2" t="e">
        <f>VLOOKUP(Tabel2[[#This Row],[nr]],'data hastus'!A:C,3,FALSE)</f>
        <v>#N/A</v>
      </c>
      <c r="E63" s="2" t="e">
        <f>VLOOKUP(Tabel2[[#This Row],[nr]],'data hastus'!A:C,2,FALSE)</f>
        <v>#N/A</v>
      </c>
    </row>
    <row r="64" spans="1:6" x14ac:dyDescent="0.25">
      <c r="A64" s="2" t="s">
        <v>3368</v>
      </c>
      <c r="B64" s="2" t="str">
        <f t="shared" si="0"/>
        <v>38931</v>
      </c>
      <c r="C64" s="2" t="str">
        <f t="shared" si="2"/>
        <v>Sancak Eyuphan</v>
      </c>
      <c r="D64" s="2" t="e">
        <f>VLOOKUP(Tabel2[[#This Row],[nr]],'data hastus'!A:C,3,FALSE)</f>
        <v>#N/A</v>
      </c>
      <c r="E64" s="2" t="e">
        <f>VLOOKUP(Tabel2[[#This Row],[nr]],'data hastus'!A:C,2,FALSE)</f>
        <v>#N/A</v>
      </c>
      <c r="F64">
        <v>1</v>
      </c>
    </row>
    <row r="65" spans="1:6" x14ac:dyDescent="0.25">
      <c r="A65" s="2" t="s">
        <v>3351</v>
      </c>
      <c r="B65" s="2" t="str">
        <f t="shared" si="0"/>
        <v>32528</v>
      </c>
      <c r="C65" s="2" t="str">
        <f t="shared" si="2"/>
        <v>Benjilali Abdelhak</v>
      </c>
      <c r="D65" s="2" t="e">
        <f>VLOOKUP(Tabel2[[#This Row],[nr]],'data hastus'!A:C,3,FALSE)</f>
        <v>#N/A</v>
      </c>
      <c r="E65" s="2" t="e">
        <f>VLOOKUP(Tabel2[[#This Row],[nr]],'data hastus'!A:C,2,FALSE)</f>
        <v>#N/A</v>
      </c>
      <c r="F65">
        <v>1</v>
      </c>
    </row>
    <row r="66" spans="1:6" x14ac:dyDescent="0.25">
      <c r="A66" s="2" t="s">
        <v>3395</v>
      </c>
      <c r="B66" s="2" t="str">
        <f t="shared" ref="B66:B129" si="3">LEFT(A66,SEARCH(" ",A66)-1)</f>
        <v>26847</v>
      </c>
      <c r="C66" s="2" t="str">
        <f t="shared" si="2"/>
        <v>De Meester David</v>
      </c>
      <c r="D66" s="2" t="e">
        <f>VLOOKUP(Tabel2[[#This Row],[nr]],'data hastus'!A:C,3,FALSE)</f>
        <v>#N/A</v>
      </c>
      <c r="E66" s="2" t="e">
        <f>VLOOKUP(Tabel2[[#This Row],[nr]],'data hastus'!A:C,2,FALSE)</f>
        <v>#N/A</v>
      </c>
      <c r="F66">
        <v>1</v>
      </c>
    </row>
    <row r="67" spans="1:6" x14ac:dyDescent="0.25">
      <c r="A67" s="2" t="s">
        <v>3353</v>
      </c>
      <c r="B67" s="2" t="str">
        <f t="shared" si="3"/>
        <v>32611</v>
      </c>
      <c r="C67" s="2" t="str">
        <f t="shared" si="2"/>
        <v>Özer Özgur</v>
      </c>
      <c r="D67" s="2" t="e">
        <f>VLOOKUP(Tabel2[[#This Row],[nr]],'data hastus'!A:C,3,FALSE)</f>
        <v>#N/A</v>
      </c>
      <c r="E67" s="2" t="e">
        <f>VLOOKUP(Tabel2[[#This Row],[nr]],'data hastus'!A:C,2,FALSE)</f>
        <v>#N/A</v>
      </c>
      <c r="F67">
        <v>1</v>
      </c>
    </row>
    <row r="68" spans="1:6" x14ac:dyDescent="0.25">
      <c r="A68" s="2" t="s">
        <v>3374</v>
      </c>
      <c r="B68" s="2" t="str">
        <f t="shared" si="3"/>
        <v>39929</v>
      </c>
      <c r="C68" s="2" t="str">
        <f t="shared" si="2"/>
        <v>Staneva Mariyana</v>
      </c>
      <c r="D68" s="2" t="e">
        <f>VLOOKUP(Tabel2[[#This Row],[nr]],'data hastus'!A:C,3,FALSE)</f>
        <v>#N/A</v>
      </c>
      <c r="E68" s="2" t="e">
        <f>VLOOKUP(Tabel2[[#This Row],[nr]],'data hastus'!A:C,2,FALSE)</f>
        <v>#N/A</v>
      </c>
      <c r="F68">
        <v>1</v>
      </c>
    </row>
    <row r="69" spans="1:6" x14ac:dyDescent="0.25">
      <c r="A69" s="2" t="s">
        <v>3355</v>
      </c>
      <c r="B69" s="2" t="str">
        <f t="shared" si="3"/>
        <v>32620</v>
      </c>
      <c r="C69" s="2" t="str">
        <f t="shared" si="2"/>
        <v>Saey Elias</v>
      </c>
      <c r="D69" s="2" t="e">
        <f>VLOOKUP(Tabel2[[#This Row],[nr]],'data hastus'!A:C,3,FALSE)</f>
        <v>#N/A</v>
      </c>
      <c r="E69" s="2" t="e">
        <f>VLOOKUP(Tabel2[[#This Row],[nr]],'data hastus'!A:C,2,FALSE)</f>
        <v>#N/A</v>
      </c>
      <c r="F69">
        <v>1</v>
      </c>
    </row>
    <row r="70" spans="1:6" x14ac:dyDescent="0.25">
      <c r="A70" s="2" t="s">
        <v>3378</v>
      </c>
      <c r="B70" s="2" t="str">
        <f t="shared" si="3"/>
        <v>15088</v>
      </c>
      <c r="C70" s="2" t="str">
        <f t="shared" si="2"/>
        <v>Laute Dirk</v>
      </c>
      <c r="D70" s="2" t="e">
        <f>VLOOKUP(Tabel2[[#This Row],[nr]],'data hastus'!A:C,3,FALSE)</f>
        <v>#N/A</v>
      </c>
      <c r="E70" s="2" t="e">
        <f>VLOOKUP(Tabel2[[#This Row],[nr]],'data hastus'!A:C,2,FALSE)</f>
        <v>#N/A</v>
      </c>
      <c r="F70">
        <v>1</v>
      </c>
    </row>
    <row r="71" spans="1:6" x14ac:dyDescent="0.25">
      <c r="A71" s="2" t="s">
        <v>5</v>
      </c>
      <c r="B71" s="2" t="str">
        <f t="shared" si="3"/>
        <v>32951</v>
      </c>
      <c r="C71" s="2" t="str">
        <f t="shared" si="2"/>
        <v>De Bruyne Sonia</v>
      </c>
      <c r="D71" s="2" t="e">
        <f>VLOOKUP(Tabel2[[#This Row],[nr]],'data hastus'!A:C,3,FALSE)</f>
        <v>#N/A</v>
      </c>
      <c r="E71" s="2" t="e">
        <f>VLOOKUP(Tabel2[[#This Row],[nr]],'data hastus'!A:C,2,FALSE)</f>
        <v>#N/A</v>
      </c>
      <c r="F71">
        <v>1</v>
      </c>
    </row>
    <row r="72" spans="1:6" x14ac:dyDescent="0.25">
      <c r="A72" s="2" t="s">
        <v>3422</v>
      </c>
      <c r="B72" s="2" t="str">
        <f t="shared" si="3"/>
        <v>29746</v>
      </c>
      <c r="C72" s="2" t="str">
        <f t="shared" si="2"/>
        <v>Huyse Annicke</v>
      </c>
      <c r="D72" s="2" t="e">
        <f>VLOOKUP(Tabel2[[#This Row],[nr]],'data hastus'!A:C,3,FALSE)</f>
        <v>#N/A</v>
      </c>
      <c r="E72" s="2" t="e">
        <f>VLOOKUP(Tabel2[[#This Row],[nr]],'data hastus'!A:C,2,FALSE)</f>
        <v>#N/A</v>
      </c>
    </row>
    <row r="73" spans="1:6" x14ac:dyDescent="0.25">
      <c r="A73" s="2" t="s">
        <v>3358</v>
      </c>
      <c r="B73" s="2" t="str">
        <f t="shared" si="3"/>
        <v>33085</v>
      </c>
      <c r="C73" s="2" t="str">
        <f t="shared" si="2"/>
        <v>Van Hoe Ivo</v>
      </c>
      <c r="D73" s="2" t="e">
        <f>VLOOKUP(Tabel2[[#This Row],[nr]],'data hastus'!A:C,3,FALSE)</f>
        <v>#N/A</v>
      </c>
      <c r="E73" s="2" t="e">
        <f>VLOOKUP(Tabel2[[#This Row],[nr]],'data hastus'!A:C,2,FALSE)</f>
        <v>#N/A</v>
      </c>
      <c r="F73">
        <v>1</v>
      </c>
    </row>
    <row r="74" spans="1:6" x14ac:dyDescent="0.25">
      <c r="A74" s="2" t="s">
        <v>3386</v>
      </c>
      <c r="B74" s="2" t="str">
        <f t="shared" si="3"/>
        <v>16545</v>
      </c>
      <c r="C74" s="2" t="str">
        <f t="shared" si="2"/>
        <v>Toch Erwin</v>
      </c>
      <c r="D74" s="2" t="e">
        <f>VLOOKUP(Tabel2[[#This Row],[nr]],'data hastus'!A:C,3,FALSE)</f>
        <v>#N/A</v>
      </c>
      <c r="E74" s="2" t="e">
        <f>VLOOKUP(Tabel2[[#This Row],[nr]],'data hastus'!A:C,2,FALSE)</f>
        <v>#N/A</v>
      </c>
      <c r="F74">
        <v>1</v>
      </c>
    </row>
    <row r="75" spans="1:6" x14ac:dyDescent="0.25">
      <c r="A75" s="2" t="s">
        <v>3360</v>
      </c>
      <c r="B75" s="2" t="str">
        <f t="shared" si="3"/>
        <v>33640</v>
      </c>
      <c r="C75" s="2" t="str">
        <f t="shared" si="2"/>
        <v>Verschraegen Patrick</v>
      </c>
      <c r="D75" s="2" t="e">
        <f>VLOOKUP(Tabel2[[#This Row],[nr]],'data hastus'!A:C,3,FALSE)</f>
        <v>#N/A</v>
      </c>
      <c r="E75" s="2" t="e">
        <f>VLOOKUP(Tabel2[[#This Row],[nr]],'data hastus'!A:C,2,FALSE)</f>
        <v>#N/A</v>
      </c>
      <c r="F75">
        <v>1</v>
      </c>
    </row>
    <row r="76" spans="1:6" x14ac:dyDescent="0.25">
      <c r="A76" s="2" t="s">
        <v>3431</v>
      </c>
      <c r="B76" s="2" t="str">
        <f t="shared" si="3"/>
        <v>31150</v>
      </c>
      <c r="C76" s="2" t="str">
        <f t="shared" si="2"/>
        <v>Oueslati Mohamed Ali</v>
      </c>
      <c r="D76" s="2" t="e">
        <f>VLOOKUP(Tabel2[[#This Row],[nr]],'data hastus'!A:C,3,FALSE)</f>
        <v>#N/A</v>
      </c>
      <c r="E76" s="2" t="e">
        <f>VLOOKUP(Tabel2[[#This Row],[nr]],'data hastus'!A:C,2,FALSE)</f>
        <v>#N/A</v>
      </c>
    </row>
    <row r="77" spans="1:6" x14ac:dyDescent="0.25">
      <c r="A77" s="2" t="s">
        <v>0</v>
      </c>
      <c r="B77" s="2" t="str">
        <f t="shared" si="3"/>
        <v>12514</v>
      </c>
      <c r="C77" s="2" t="str">
        <f t="shared" si="2"/>
        <v>De Smet Kenneth</v>
      </c>
      <c r="D77" s="2" t="e">
        <f>VLOOKUP(Tabel2[[#This Row],[nr]],'data hastus'!A:C,3,FALSE)</f>
        <v>#N/A</v>
      </c>
      <c r="E77" s="2" t="e">
        <f>VLOOKUP(Tabel2[[#This Row],[nr]],'data hastus'!A:C,2,FALSE)</f>
        <v>#N/A</v>
      </c>
      <c r="F77">
        <v>1</v>
      </c>
    </row>
    <row r="78" spans="1:6" x14ac:dyDescent="0.25">
      <c r="A78" s="2" t="s">
        <v>3419</v>
      </c>
      <c r="B78" s="2" t="str">
        <f t="shared" si="3"/>
        <v>41619</v>
      </c>
      <c r="C78" s="2" t="str">
        <f t="shared" si="2"/>
        <v>Bachiri Ousama</v>
      </c>
      <c r="D78" s="2" t="e">
        <f>VLOOKUP(Tabel2[[#This Row],[nr]],'data hastus'!A:C,3,FALSE)</f>
        <v>#N/A</v>
      </c>
      <c r="E78" s="2" t="e">
        <f>VLOOKUP(Tabel2[[#This Row],[nr]],'data hastus'!A:C,2,FALSE)</f>
        <v>#N/A</v>
      </c>
    </row>
    <row r="79" spans="1:6" x14ac:dyDescent="0.25">
      <c r="A79" s="2" t="s">
        <v>3363</v>
      </c>
      <c r="B79" s="2" t="str">
        <f t="shared" si="3"/>
        <v>33986</v>
      </c>
      <c r="C79" s="2" t="str">
        <f t="shared" si="2"/>
        <v>Göktas Muharrem</v>
      </c>
      <c r="D79" s="2" t="e">
        <f>VLOOKUP(Tabel2[[#This Row],[nr]],'data hastus'!A:C,3,FALSE)</f>
        <v>#N/A</v>
      </c>
      <c r="E79" s="2" t="e">
        <f>VLOOKUP(Tabel2[[#This Row],[nr]],'data hastus'!A:C,2,FALSE)</f>
        <v>#N/A</v>
      </c>
      <c r="F79">
        <v>1</v>
      </c>
    </row>
    <row r="80" spans="1:6" x14ac:dyDescent="0.25">
      <c r="A80" s="2" t="s">
        <v>3447</v>
      </c>
      <c r="B80" s="2" t="str">
        <f t="shared" si="3"/>
        <v>4720</v>
      </c>
      <c r="C80" s="2" t="str">
        <f t="shared" si="2"/>
        <v>De Roo Jo</v>
      </c>
      <c r="D80" s="2" t="e">
        <f>VLOOKUP(Tabel2[[#This Row],[nr]],'data hastus'!A:C,3,FALSE)</f>
        <v>#N/A</v>
      </c>
      <c r="E80" s="2" t="e">
        <f>VLOOKUP(Tabel2[[#This Row],[nr]],'data hastus'!A:C,2,FALSE)</f>
        <v>#N/A</v>
      </c>
      <c r="F80">
        <v>1</v>
      </c>
    </row>
    <row r="81" spans="1:6" x14ac:dyDescent="0.25">
      <c r="A81" s="2" t="s">
        <v>3365</v>
      </c>
      <c r="B81" s="2" t="str">
        <f t="shared" si="3"/>
        <v>34019</v>
      </c>
      <c r="C81" s="2" t="str">
        <f t="shared" si="2"/>
        <v>Hoste Tom</v>
      </c>
      <c r="D81" s="2" t="e">
        <f>VLOOKUP(Tabel2[[#This Row],[nr]],'data hastus'!A:C,3,FALSE)</f>
        <v>#N/A</v>
      </c>
      <c r="E81" s="2" t="e">
        <f>VLOOKUP(Tabel2[[#This Row],[nr]],'data hastus'!A:C,2,FALSE)</f>
        <v>#N/A</v>
      </c>
      <c r="F81">
        <v>1</v>
      </c>
    </row>
    <row r="82" spans="1:6" x14ac:dyDescent="0.25">
      <c r="A82" s="2" t="s">
        <v>3344</v>
      </c>
      <c r="B82" s="2" t="str">
        <f t="shared" si="3"/>
        <v>39014</v>
      </c>
      <c r="C82" s="2" t="str">
        <f t="shared" si="2"/>
        <v>Genbrugge Kyllian</v>
      </c>
      <c r="D82" s="2" t="e">
        <f>VLOOKUP(Tabel2[[#This Row],[nr]],'data hastus'!A:C,3,FALSE)</f>
        <v>#N/A</v>
      </c>
      <c r="E82" s="2" t="e">
        <f>VLOOKUP(Tabel2[[#This Row],[nr]],'data hastus'!A:C,2,FALSE)</f>
        <v>#N/A</v>
      </c>
      <c r="F82">
        <v>1</v>
      </c>
    </row>
    <row r="83" spans="1:6" x14ac:dyDescent="0.25">
      <c r="A83" s="2" t="s">
        <v>3367</v>
      </c>
      <c r="B83" s="2" t="str">
        <f t="shared" si="3"/>
        <v>34325</v>
      </c>
      <c r="C83" s="2" t="str">
        <f t="shared" si="2"/>
        <v>Eid Mathyn</v>
      </c>
      <c r="D83" s="2" t="e">
        <f>VLOOKUP(Tabel2[[#This Row],[nr]],'data hastus'!A:C,3,FALSE)</f>
        <v>#N/A</v>
      </c>
      <c r="E83" s="2" t="e">
        <f>VLOOKUP(Tabel2[[#This Row],[nr]],'data hastus'!A:C,2,FALSE)</f>
        <v>#N/A</v>
      </c>
      <c r="F83">
        <v>1</v>
      </c>
    </row>
    <row r="84" spans="1:6" x14ac:dyDescent="0.25">
      <c r="A84" s="2" t="s">
        <v>3350</v>
      </c>
      <c r="B84" s="2" t="str">
        <f t="shared" si="3"/>
        <v>26695</v>
      </c>
      <c r="C84" s="2" t="str">
        <f t="shared" si="2"/>
        <v>Lippens Miguel</v>
      </c>
      <c r="D84" s="2" t="e">
        <f>VLOOKUP(Tabel2[[#This Row],[nr]],'data hastus'!A:C,3,FALSE)</f>
        <v>#N/A</v>
      </c>
      <c r="E84" s="2" t="e">
        <f>VLOOKUP(Tabel2[[#This Row],[nr]],'data hastus'!A:C,2,FALSE)</f>
        <v>#N/A</v>
      </c>
      <c r="F84">
        <v>1</v>
      </c>
    </row>
    <row r="85" spans="1:6" x14ac:dyDescent="0.25">
      <c r="A85" s="2" t="s">
        <v>3369</v>
      </c>
      <c r="B85" s="2" t="str">
        <f t="shared" si="3"/>
        <v>34351</v>
      </c>
      <c r="C85" s="2" t="str">
        <f t="shared" ref="C85:C148" si="4">MID(A85,SEARCH(" ",A85)+1,99)</f>
        <v>Callant Dieter</v>
      </c>
      <c r="D85" s="2" t="e">
        <f>VLOOKUP(Tabel2[[#This Row],[nr]],'data hastus'!A:C,3,FALSE)</f>
        <v>#N/A</v>
      </c>
      <c r="E85" s="2" t="e">
        <f>VLOOKUP(Tabel2[[#This Row],[nr]],'data hastus'!A:C,2,FALSE)</f>
        <v>#N/A</v>
      </c>
      <c r="F85">
        <v>1</v>
      </c>
    </row>
    <row r="86" spans="1:6" x14ac:dyDescent="0.25">
      <c r="A86" s="2" t="s">
        <v>3340</v>
      </c>
      <c r="B86" s="2" t="str">
        <f t="shared" si="3"/>
        <v>39712</v>
      </c>
      <c r="C86" s="2" t="str">
        <f t="shared" si="4"/>
        <v>Repaj Ramazan</v>
      </c>
      <c r="D86" s="2" t="e">
        <f>VLOOKUP(Tabel2[[#This Row],[nr]],'data hastus'!A:C,3,FALSE)</f>
        <v>#N/A</v>
      </c>
      <c r="E86" s="2" t="e">
        <f>VLOOKUP(Tabel2[[#This Row],[nr]],'data hastus'!A:C,2,FALSE)</f>
        <v>#N/A</v>
      </c>
      <c r="F86">
        <v>1</v>
      </c>
    </row>
    <row r="87" spans="1:6" x14ac:dyDescent="0.25">
      <c r="A87" s="2" t="s">
        <v>3371</v>
      </c>
      <c r="B87" s="2" t="str">
        <f t="shared" si="3"/>
        <v>34445</v>
      </c>
      <c r="C87" s="2" t="str">
        <f t="shared" si="4"/>
        <v>Wulleput Illya</v>
      </c>
      <c r="D87" s="2" t="e">
        <f>VLOOKUP(Tabel2[[#This Row],[nr]],'data hastus'!A:C,3,FALSE)</f>
        <v>#N/A</v>
      </c>
      <c r="E87" s="2" t="e">
        <f>VLOOKUP(Tabel2[[#This Row],[nr]],'data hastus'!A:C,2,FALSE)</f>
        <v>#N/A</v>
      </c>
      <c r="F87">
        <v>1</v>
      </c>
    </row>
    <row r="88" spans="1:6" x14ac:dyDescent="0.25">
      <c r="A88" s="2" t="s">
        <v>3356</v>
      </c>
      <c r="B88" s="2" t="str">
        <f t="shared" si="3"/>
        <v>39856</v>
      </c>
      <c r="C88" s="2" t="str">
        <f t="shared" si="4"/>
        <v>Curukcu Bayram</v>
      </c>
      <c r="D88" s="2" t="e">
        <f>VLOOKUP(Tabel2[[#This Row],[nr]],'data hastus'!A:C,3,FALSE)</f>
        <v>#N/A</v>
      </c>
      <c r="E88" s="2" t="e">
        <f>VLOOKUP(Tabel2[[#This Row],[nr]],'data hastus'!A:C,2,FALSE)</f>
        <v>#N/A</v>
      </c>
      <c r="F88">
        <v>1</v>
      </c>
    </row>
    <row r="89" spans="1:6" x14ac:dyDescent="0.25">
      <c r="A89" s="2" t="s">
        <v>6</v>
      </c>
      <c r="B89" s="2" t="str">
        <f t="shared" si="3"/>
        <v>35216</v>
      </c>
      <c r="C89" s="2" t="str">
        <f t="shared" si="4"/>
        <v>Coban Mehmet</v>
      </c>
      <c r="D89" s="2" t="e">
        <f>VLOOKUP(Tabel2[[#This Row],[nr]],'data hastus'!A:C,3,FALSE)</f>
        <v>#N/A</v>
      </c>
      <c r="E89" s="2" t="e">
        <f>VLOOKUP(Tabel2[[#This Row],[nr]],'data hastus'!A:C,2,FALSE)</f>
        <v>#N/A</v>
      </c>
      <c r="F89">
        <v>1</v>
      </c>
    </row>
    <row r="90" spans="1:6" x14ac:dyDescent="0.25">
      <c r="A90" s="2" t="s">
        <v>3346</v>
      </c>
      <c r="B90" s="2" t="str">
        <f t="shared" si="3"/>
        <v>40005</v>
      </c>
      <c r="C90" s="2" t="str">
        <f t="shared" si="4"/>
        <v>Bernaerts Philip</v>
      </c>
      <c r="D90" s="2" t="e">
        <f>VLOOKUP(Tabel2[[#This Row],[nr]],'data hastus'!A:C,3,FALSE)</f>
        <v>#N/A</v>
      </c>
      <c r="E90" s="2" t="e">
        <f>VLOOKUP(Tabel2[[#This Row],[nr]],'data hastus'!A:C,2,FALSE)</f>
        <v>#N/A</v>
      </c>
      <c r="F90">
        <v>1</v>
      </c>
    </row>
    <row r="91" spans="1:6" x14ac:dyDescent="0.25">
      <c r="A91" s="2" t="s">
        <v>3373</v>
      </c>
      <c r="B91" s="2" t="str">
        <f t="shared" si="3"/>
        <v>35246</v>
      </c>
      <c r="C91" s="2" t="str">
        <f t="shared" si="4"/>
        <v>De Meyer Karel</v>
      </c>
      <c r="D91" s="2" t="e">
        <f>VLOOKUP(Tabel2[[#This Row],[nr]],'data hastus'!A:C,3,FALSE)</f>
        <v>#N/A</v>
      </c>
      <c r="E91" s="2" t="e">
        <f>VLOOKUP(Tabel2[[#This Row],[nr]],'data hastus'!A:C,2,FALSE)</f>
        <v>#N/A</v>
      </c>
    </row>
    <row r="92" spans="1:6" x14ac:dyDescent="0.25">
      <c r="A92" s="2" t="s">
        <v>3357</v>
      </c>
      <c r="B92" s="2" t="str">
        <f t="shared" si="3"/>
        <v>40134</v>
      </c>
      <c r="C92" s="2" t="str">
        <f t="shared" si="4"/>
        <v>Cardon Sharon</v>
      </c>
      <c r="D92" s="2" t="e">
        <f>VLOOKUP(Tabel2[[#This Row],[nr]],'data hastus'!A:C,3,FALSE)</f>
        <v>#N/A</v>
      </c>
      <c r="E92" s="2" t="e">
        <f>VLOOKUP(Tabel2[[#This Row],[nr]],'data hastus'!A:C,2,FALSE)</f>
        <v>#N/A</v>
      </c>
      <c r="F92">
        <v>1</v>
      </c>
    </row>
    <row r="93" spans="1:6" x14ac:dyDescent="0.25">
      <c r="A93" s="2" t="s">
        <v>3375</v>
      </c>
      <c r="B93" s="2" t="str">
        <f t="shared" si="3"/>
        <v>35379</v>
      </c>
      <c r="C93" s="2" t="str">
        <f t="shared" si="4"/>
        <v>Engels Sam</v>
      </c>
      <c r="D93" s="2" t="e">
        <f>VLOOKUP(Tabel2[[#This Row],[nr]],'data hastus'!A:C,3,FALSE)</f>
        <v>#N/A</v>
      </c>
      <c r="E93" s="2" t="e">
        <f>VLOOKUP(Tabel2[[#This Row],[nr]],'data hastus'!A:C,2,FALSE)</f>
        <v>#N/A</v>
      </c>
      <c r="F93">
        <v>1</v>
      </c>
    </row>
    <row r="94" spans="1:6" x14ac:dyDescent="0.25">
      <c r="A94" s="2" t="s">
        <v>3354</v>
      </c>
      <c r="B94" s="2" t="str">
        <f t="shared" si="3"/>
        <v>21509</v>
      </c>
      <c r="C94" s="2" t="str">
        <f t="shared" si="4"/>
        <v>De Craemer Kris</v>
      </c>
      <c r="D94" s="2" t="e">
        <f>VLOOKUP(Tabel2[[#This Row],[nr]],'data hastus'!A:C,3,FALSE)</f>
        <v>#N/A</v>
      </c>
      <c r="E94" s="2" t="e">
        <f>VLOOKUP(Tabel2[[#This Row],[nr]],'data hastus'!A:C,2,FALSE)</f>
        <v>#N/A</v>
      </c>
      <c r="F94">
        <v>1</v>
      </c>
    </row>
    <row r="95" spans="1:6" x14ac:dyDescent="0.25">
      <c r="A95" s="2" t="s">
        <v>3377</v>
      </c>
      <c r="B95" s="2" t="str">
        <f t="shared" si="3"/>
        <v>35395</v>
      </c>
      <c r="C95" s="2" t="str">
        <f t="shared" si="4"/>
        <v>Limbourg Heidi</v>
      </c>
      <c r="D95" s="2" t="e">
        <f>VLOOKUP(Tabel2[[#This Row],[nr]],'data hastus'!A:C,3,FALSE)</f>
        <v>#N/A</v>
      </c>
      <c r="E95" s="2" t="e">
        <f>VLOOKUP(Tabel2[[#This Row],[nr]],'data hastus'!A:C,2,FALSE)</f>
        <v>#N/A</v>
      </c>
    </row>
    <row r="96" spans="1:6" x14ac:dyDescent="0.25">
      <c r="A96" s="2" t="s">
        <v>3359</v>
      </c>
      <c r="B96" s="2" t="str">
        <f t="shared" si="3"/>
        <v>40444</v>
      </c>
      <c r="C96" s="2" t="str">
        <f t="shared" si="4"/>
        <v>Van Damme Glenn</v>
      </c>
      <c r="D96" s="2" t="e">
        <f>VLOOKUP(Tabel2[[#This Row],[nr]],'data hastus'!A:C,3,FALSE)</f>
        <v>#N/A</v>
      </c>
      <c r="E96" s="2" t="e">
        <f>VLOOKUP(Tabel2[[#This Row],[nr]],'data hastus'!A:C,2,FALSE)</f>
        <v>#N/A</v>
      </c>
      <c r="F96">
        <v>1</v>
      </c>
    </row>
    <row r="97" spans="1:6" x14ac:dyDescent="0.25">
      <c r="A97" s="2" t="s">
        <v>3379</v>
      </c>
      <c r="B97" s="2" t="str">
        <f t="shared" si="3"/>
        <v>22240</v>
      </c>
      <c r="C97" s="2" t="str">
        <f t="shared" si="4"/>
        <v>Delahaye Karina</v>
      </c>
      <c r="D97" s="2" t="e">
        <f>VLOOKUP(Tabel2[[#This Row],[nr]],'data hastus'!A:C,3,FALSE)</f>
        <v>#N/A</v>
      </c>
      <c r="E97" s="2" t="e">
        <f>VLOOKUP(Tabel2[[#This Row],[nr]],'data hastus'!A:C,2,FALSE)</f>
        <v>#N/A</v>
      </c>
      <c r="F97">
        <v>1</v>
      </c>
    </row>
    <row r="98" spans="1:6" x14ac:dyDescent="0.25">
      <c r="A98" s="2" t="s">
        <v>3348</v>
      </c>
      <c r="B98" s="2" t="str">
        <f t="shared" si="3"/>
        <v>15282</v>
      </c>
      <c r="C98" s="2" t="str">
        <f t="shared" si="4"/>
        <v>Marinx Kristoff</v>
      </c>
      <c r="D98" s="2" t="e">
        <f>VLOOKUP(Tabel2[[#This Row],[nr]],'data hastus'!A:C,3,FALSE)</f>
        <v>#N/A</v>
      </c>
      <c r="E98" s="2" t="e">
        <f>VLOOKUP(Tabel2[[#This Row],[nr]],'data hastus'!A:C,2,FALSE)</f>
        <v>#N/A</v>
      </c>
      <c r="F98">
        <v>1</v>
      </c>
    </row>
    <row r="99" spans="1:6" x14ac:dyDescent="0.25">
      <c r="A99" s="2" t="s">
        <v>3381</v>
      </c>
      <c r="B99" s="2" t="str">
        <f t="shared" si="3"/>
        <v>35450</v>
      </c>
      <c r="C99" s="2" t="str">
        <f t="shared" si="4"/>
        <v>Roos Hugo</v>
      </c>
      <c r="D99" s="2" t="e">
        <f>VLOOKUP(Tabel2[[#This Row],[nr]],'data hastus'!A:C,3,FALSE)</f>
        <v>#N/A</v>
      </c>
      <c r="E99" s="2" t="e">
        <f>VLOOKUP(Tabel2[[#This Row],[nr]],'data hastus'!A:C,2,FALSE)</f>
        <v>#N/A</v>
      </c>
      <c r="F99">
        <v>1</v>
      </c>
    </row>
    <row r="100" spans="1:6" x14ac:dyDescent="0.25">
      <c r="A100" s="2" t="s">
        <v>3319</v>
      </c>
      <c r="B100" s="2" t="str">
        <f t="shared" si="3"/>
        <v>40859</v>
      </c>
      <c r="C100" s="2" t="str">
        <f t="shared" si="4"/>
        <v>Yagoub Abdelali</v>
      </c>
      <c r="D100" s="2" t="e">
        <f>VLOOKUP(Tabel2[[#This Row],[nr]],'data hastus'!A:C,3,FALSE)</f>
        <v>#N/A</v>
      </c>
      <c r="E100" s="2" t="e">
        <f>VLOOKUP(Tabel2[[#This Row],[nr]],'data hastus'!A:C,2,FALSE)</f>
        <v>#N/A</v>
      </c>
    </row>
    <row r="101" spans="1:6" x14ac:dyDescent="0.25">
      <c r="A101" s="2" t="s">
        <v>3383</v>
      </c>
      <c r="B101" s="2" t="str">
        <f t="shared" si="3"/>
        <v>35491</v>
      </c>
      <c r="C101" s="2" t="str">
        <f t="shared" si="4"/>
        <v>Toubadie Zakaria</v>
      </c>
      <c r="D101" s="2" t="e">
        <f>VLOOKUP(Tabel2[[#This Row],[nr]],'data hastus'!A:C,3,FALSE)</f>
        <v>#N/A</v>
      </c>
      <c r="E101" s="2" t="e">
        <f>VLOOKUP(Tabel2[[#This Row],[nr]],'data hastus'!A:C,2,FALSE)</f>
        <v>#N/A</v>
      </c>
      <c r="F101">
        <v>1</v>
      </c>
    </row>
    <row r="102" spans="1:6" x14ac:dyDescent="0.25">
      <c r="A102" s="2" t="s">
        <v>2</v>
      </c>
      <c r="B102" s="2" t="str">
        <f t="shared" si="3"/>
        <v>21581</v>
      </c>
      <c r="C102" s="2" t="str">
        <f t="shared" si="4"/>
        <v>Vanderstraeten Franky</v>
      </c>
      <c r="D102" s="2" t="e">
        <f>VLOOKUP(Tabel2[[#This Row],[nr]],'data hastus'!A:C,3,FALSE)</f>
        <v>#N/A</v>
      </c>
      <c r="E102" s="2" t="e">
        <f>VLOOKUP(Tabel2[[#This Row],[nr]],'data hastus'!A:C,2,FALSE)</f>
        <v>#N/A</v>
      </c>
    </row>
    <row r="103" spans="1:6" x14ac:dyDescent="0.25">
      <c r="A103" s="2" t="s">
        <v>3385</v>
      </c>
      <c r="B103" s="2" t="str">
        <f t="shared" si="3"/>
        <v>35619</v>
      </c>
      <c r="C103" s="2" t="str">
        <f t="shared" si="4"/>
        <v>El Mezroui Zouheir</v>
      </c>
      <c r="D103" s="2" t="e">
        <f>VLOOKUP(Tabel2[[#This Row],[nr]],'data hastus'!A:C,3,FALSE)</f>
        <v>#N/A</v>
      </c>
      <c r="E103" s="2" t="e">
        <f>VLOOKUP(Tabel2[[#This Row],[nr]],'data hastus'!A:C,2,FALSE)</f>
        <v>#N/A</v>
      </c>
      <c r="F103">
        <v>1</v>
      </c>
    </row>
    <row r="104" spans="1:6" x14ac:dyDescent="0.25">
      <c r="A104" s="2" t="s">
        <v>3362</v>
      </c>
      <c r="B104" s="2" t="str">
        <f t="shared" si="3"/>
        <v>17566</v>
      </c>
      <c r="C104" s="2" t="str">
        <f t="shared" si="4"/>
        <v>Praet Reginald</v>
      </c>
      <c r="D104" s="2" t="e">
        <f>VLOOKUP(Tabel2[[#This Row],[nr]],'data hastus'!A:C,3,FALSE)</f>
        <v>#N/A</v>
      </c>
      <c r="E104" s="2" t="e">
        <f>VLOOKUP(Tabel2[[#This Row],[nr]],'data hastus'!A:C,2,FALSE)</f>
        <v>#N/A</v>
      </c>
      <c r="F104">
        <v>1</v>
      </c>
    </row>
    <row r="105" spans="1:6" x14ac:dyDescent="0.25">
      <c r="A105" s="2" t="s">
        <v>3387</v>
      </c>
      <c r="B105" s="2" t="str">
        <f t="shared" si="3"/>
        <v>22416</v>
      </c>
      <c r="C105" s="2" t="str">
        <f t="shared" si="4"/>
        <v>Bicici Abdul Kadir</v>
      </c>
      <c r="D105" s="2" t="e">
        <f>VLOOKUP(Tabel2[[#This Row],[nr]],'data hastus'!A:C,3,FALSE)</f>
        <v>#N/A</v>
      </c>
      <c r="E105" s="2" t="e">
        <f>VLOOKUP(Tabel2[[#This Row],[nr]],'data hastus'!A:C,2,FALSE)</f>
        <v>#N/A</v>
      </c>
      <c r="F105">
        <v>1</v>
      </c>
    </row>
    <row r="106" spans="1:6" x14ac:dyDescent="0.25">
      <c r="A106" s="2" t="s">
        <v>3413</v>
      </c>
      <c r="B106" s="2" t="str">
        <f t="shared" si="3"/>
        <v>41296</v>
      </c>
      <c r="C106" s="2" t="str">
        <f t="shared" si="4"/>
        <v>Abulehia Oday</v>
      </c>
      <c r="D106" s="2" t="e">
        <f>VLOOKUP(Tabel2[[#This Row],[nr]],'data hastus'!A:C,3,FALSE)</f>
        <v>#N/A</v>
      </c>
      <c r="E106" s="2" t="e">
        <f>VLOOKUP(Tabel2[[#This Row],[nr]],'data hastus'!A:C,2,FALSE)</f>
        <v>#N/A</v>
      </c>
      <c r="F106">
        <v>1</v>
      </c>
    </row>
    <row r="107" spans="1:6" x14ac:dyDescent="0.25">
      <c r="A107" s="2" t="s">
        <v>8</v>
      </c>
      <c r="B107" s="2" t="str">
        <f t="shared" si="3"/>
        <v>36154</v>
      </c>
      <c r="C107" s="2" t="str">
        <f t="shared" si="4"/>
        <v>De Clercq Sven</v>
      </c>
      <c r="D107" s="2" t="e">
        <f>VLOOKUP(Tabel2[[#This Row],[nr]],'data hastus'!A:C,3,FALSE)</f>
        <v>#N/A</v>
      </c>
      <c r="E107" s="2" t="e">
        <f>VLOOKUP(Tabel2[[#This Row],[nr]],'data hastus'!A:C,2,FALSE)</f>
        <v>#N/A</v>
      </c>
      <c r="F107">
        <v>1</v>
      </c>
    </row>
    <row r="108" spans="1:6" x14ac:dyDescent="0.25">
      <c r="A108" s="2" t="s">
        <v>3361</v>
      </c>
      <c r="B108" s="2" t="str">
        <f t="shared" si="3"/>
        <v>31231</v>
      </c>
      <c r="C108" s="2" t="str">
        <f t="shared" si="4"/>
        <v>Colaes Dylan</v>
      </c>
      <c r="D108" s="2" t="e">
        <f>VLOOKUP(Tabel2[[#This Row],[nr]],'data hastus'!A:C,3,FALSE)</f>
        <v>#N/A</v>
      </c>
      <c r="E108" s="2" t="e">
        <f>VLOOKUP(Tabel2[[#This Row],[nr]],'data hastus'!A:C,2,FALSE)</f>
        <v>#N/A</v>
      </c>
      <c r="F108">
        <v>1</v>
      </c>
    </row>
    <row r="109" spans="1:6" x14ac:dyDescent="0.25">
      <c r="A109" s="2" t="s">
        <v>3390</v>
      </c>
      <c r="B109" s="2" t="str">
        <f t="shared" si="3"/>
        <v>36289</v>
      </c>
      <c r="C109" s="2" t="str">
        <f t="shared" si="4"/>
        <v>Van Rentergem Steve</v>
      </c>
      <c r="D109" s="2" t="e">
        <f>VLOOKUP(Tabel2[[#This Row],[nr]],'data hastus'!A:C,3,FALSE)</f>
        <v>#N/A</v>
      </c>
      <c r="E109" s="2" t="e">
        <f>VLOOKUP(Tabel2[[#This Row],[nr]],'data hastus'!A:C,2,FALSE)</f>
        <v>#N/A</v>
      </c>
    </row>
    <row r="110" spans="1:6" x14ac:dyDescent="0.25">
      <c r="A110" s="2" t="s">
        <v>3421</v>
      </c>
      <c r="B110" s="2" t="str">
        <f t="shared" si="3"/>
        <v>41690</v>
      </c>
      <c r="C110" s="2" t="str">
        <f t="shared" si="4"/>
        <v>Van de Winckel Kelly</v>
      </c>
      <c r="D110" s="2" t="e">
        <f>VLOOKUP(Tabel2[[#This Row],[nr]],'data hastus'!A:C,3,FALSE)</f>
        <v>#N/A</v>
      </c>
      <c r="E110" s="2" t="e">
        <f>VLOOKUP(Tabel2[[#This Row],[nr]],'data hastus'!A:C,2,FALSE)</f>
        <v>#N/A</v>
      </c>
      <c r="F110">
        <v>1</v>
      </c>
    </row>
    <row r="111" spans="1:6" x14ac:dyDescent="0.25">
      <c r="A111" s="2" t="s">
        <v>3392</v>
      </c>
      <c r="B111" s="2" t="str">
        <f t="shared" si="3"/>
        <v>36358</v>
      </c>
      <c r="C111" s="2" t="str">
        <f t="shared" si="4"/>
        <v>De Nys Elise</v>
      </c>
      <c r="D111" s="2" t="e">
        <f>VLOOKUP(Tabel2[[#This Row],[nr]],'data hastus'!A:C,3,FALSE)</f>
        <v>#N/A</v>
      </c>
      <c r="E111" s="2" t="e">
        <f>VLOOKUP(Tabel2[[#This Row],[nr]],'data hastus'!A:C,2,FALSE)</f>
        <v>#N/A</v>
      </c>
      <c r="F111">
        <v>1</v>
      </c>
    </row>
    <row r="112" spans="1:6" x14ac:dyDescent="0.25">
      <c r="A112" s="2" t="s">
        <v>3342</v>
      </c>
      <c r="B112" s="2" t="str">
        <f t="shared" si="3"/>
        <v>31360</v>
      </c>
      <c r="C112" s="2" t="str">
        <f t="shared" si="4"/>
        <v>Simsek Fatih</v>
      </c>
      <c r="D112" s="2" t="e">
        <f>VLOOKUP(Tabel2[[#This Row],[nr]],'data hastus'!A:C,3,FALSE)</f>
        <v>#N/A</v>
      </c>
      <c r="E112" s="2" t="e">
        <f>VLOOKUP(Tabel2[[#This Row],[nr]],'data hastus'!A:C,2,FALSE)</f>
        <v>#N/A</v>
      </c>
      <c r="F112">
        <v>1</v>
      </c>
    </row>
    <row r="113" spans="1:6" x14ac:dyDescent="0.25">
      <c r="A113" s="2" t="s">
        <v>3394</v>
      </c>
      <c r="B113" s="2" t="str">
        <f t="shared" si="3"/>
        <v>22877</v>
      </c>
      <c r="C113" s="2" t="str">
        <f t="shared" si="4"/>
        <v>Goossens Gunther</v>
      </c>
      <c r="D113" s="2" t="e">
        <f>VLOOKUP(Tabel2[[#This Row],[nr]],'data hastus'!A:C,3,FALSE)</f>
        <v>#N/A</v>
      </c>
      <c r="E113" s="2" t="e">
        <f>VLOOKUP(Tabel2[[#This Row],[nr]],'data hastus'!A:C,2,FALSE)</f>
        <v>#N/A</v>
      </c>
      <c r="F113">
        <v>1</v>
      </c>
    </row>
    <row r="114" spans="1:6" x14ac:dyDescent="0.25">
      <c r="A114" s="2" t="s">
        <v>3388</v>
      </c>
      <c r="B114" s="2" t="str">
        <f t="shared" si="3"/>
        <v>31490</v>
      </c>
      <c r="C114" s="2" t="str">
        <f t="shared" si="4"/>
        <v>De Weirdt Steph</v>
      </c>
      <c r="D114" s="2" t="e">
        <f>VLOOKUP(Tabel2[[#This Row],[nr]],'data hastus'!A:C,3,FALSE)</f>
        <v>#N/A</v>
      </c>
      <c r="E114" s="2" t="e">
        <f>VLOOKUP(Tabel2[[#This Row],[nr]],'data hastus'!A:C,2,FALSE)</f>
        <v>#N/A</v>
      </c>
      <c r="F114">
        <v>1</v>
      </c>
    </row>
    <row r="115" spans="1:6" x14ac:dyDescent="0.25">
      <c r="A115" s="2" t="s">
        <v>3396</v>
      </c>
      <c r="B115" s="2" t="str">
        <f t="shared" si="3"/>
        <v>19520</v>
      </c>
      <c r="C115" s="2" t="str">
        <f t="shared" si="4"/>
        <v>Van Steenbergen Kris</v>
      </c>
      <c r="D115" s="2" t="e">
        <f>VLOOKUP(Tabel2[[#This Row],[nr]],'data hastus'!A:C,3,FALSE)</f>
        <v>#N/A</v>
      </c>
      <c r="E115" s="2" t="e">
        <f>VLOOKUP(Tabel2[[#This Row],[nr]],'data hastus'!A:C,2,FALSE)</f>
        <v>#N/A</v>
      </c>
      <c r="F115">
        <v>1</v>
      </c>
    </row>
    <row r="116" spans="1:6" x14ac:dyDescent="0.25">
      <c r="A116" s="2" t="s">
        <v>11</v>
      </c>
      <c r="B116" s="2" t="str">
        <f t="shared" si="3"/>
        <v>38938</v>
      </c>
      <c r="C116" s="2" t="str">
        <f t="shared" si="4"/>
        <v>Sedighi Hamid</v>
      </c>
      <c r="D116" s="2" t="e">
        <f>VLOOKUP(Tabel2[[#This Row],[nr]],'data hastus'!A:C,3,FALSE)</f>
        <v>#N/A</v>
      </c>
      <c r="E116" s="2" t="e">
        <f>VLOOKUP(Tabel2[[#This Row],[nr]],'data hastus'!A:C,2,FALSE)</f>
        <v>#N/A</v>
      </c>
    </row>
    <row r="117" spans="1:6" x14ac:dyDescent="0.25">
      <c r="A117" s="2" t="s">
        <v>3397</v>
      </c>
      <c r="B117" s="2" t="str">
        <f t="shared" si="3"/>
        <v>36438</v>
      </c>
      <c r="C117" s="2" t="str">
        <f t="shared" si="4"/>
        <v>Agil Birol</v>
      </c>
      <c r="D117" s="2" t="e">
        <f>VLOOKUP(Tabel2[[#This Row],[nr]],'data hastus'!A:C,3,FALSE)</f>
        <v>#N/A</v>
      </c>
      <c r="E117" s="2" t="e">
        <f>VLOOKUP(Tabel2[[#This Row],[nr]],'data hastus'!A:C,2,FALSE)</f>
        <v>#N/A</v>
      </c>
      <c r="F117">
        <v>1</v>
      </c>
    </row>
    <row r="118" spans="1:6" x14ac:dyDescent="0.25">
      <c r="A118" s="2" t="s">
        <v>3401</v>
      </c>
      <c r="B118" s="2" t="str">
        <f t="shared" si="3"/>
        <v>39267</v>
      </c>
      <c r="C118" s="2" t="str">
        <f t="shared" si="4"/>
        <v>Van Holsbeeck Jens</v>
      </c>
      <c r="D118" s="2" t="e">
        <f>VLOOKUP(Tabel2[[#This Row],[nr]],'data hastus'!A:C,3,FALSE)</f>
        <v>#N/A</v>
      </c>
      <c r="E118" s="2" t="e">
        <f>VLOOKUP(Tabel2[[#This Row],[nr]],'data hastus'!A:C,2,FALSE)</f>
        <v>#N/A</v>
      </c>
    </row>
    <row r="119" spans="1:6" x14ac:dyDescent="0.25">
      <c r="A119" s="2" t="s">
        <v>3399</v>
      </c>
      <c r="B119" s="2" t="str">
        <f t="shared" si="3"/>
        <v>24155</v>
      </c>
      <c r="C119" s="2" t="str">
        <f t="shared" si="4"/>
        <v>Luttens Koen</v>
      </c>
      <c r="D119" s="2" t="e">
        <f>VLOOKUP(Tabel2[[#This Row],[nr]],'data hastus'!A:C,3,FALSE)</f>
        <v>#N/A</v>
      </c>
      <c r="E119" s="2" t="e">
        <f>VLOOKUP(Tabel2[[#This Row],[nr]],'data hastus'!A:C,2,FALSE)</f>
        <v>#N/A</v>
      </c>
      <c r="F119">
        <v>1</v>
      </c>
    </row>
    <row r="120" spans="1:6" x14ac:dyDescent="0.25">
      <c r="A120" s="2" t="s">
        <v>3433</v>
      </c>
      <c r="B120" s="2" t="str">
        <f t="shared" si="3"/>
        <v>26331</v>
      </c>
      <c r="C120" s="2" t="str">
        <f t="shared" si="4"/>
        <v>Van Semmertier Pascal</v>
      </c>
      <c r="D120" s="2" t="e">
        <f>VLOOKUP(Tabel2[[#This Row],[nr]],'data hastus'!A:C,3,FALSE)</f>
        <v>#N/A</v>
      </c>
      <c r="E120" s="2" t="e">
        <f>VLOOKUP(Tabel2[[#This Row],[nr]],'data hastus'!A:C,2,FALSE)</f>
        <v>#N/A</v>
      </c>
      <c r="F120">
        <v>1</v>
      </c>
    </row>
    <row r="121" spans="1:6" x14ac:dyDescent="0.25">
      <c r="A121" s="2" t="s">
        <v>3400</v>
      </c>
      <c r="B121" s="2" t="str">
        <f t="shared" si="3"/>
        <v>36559</v>
      </c>
      <c r="C121" s="2" t="str">
        <f t="shared" si="4"/>
        <v>De Staercke Sandra</v>
      </c>
      <c r="D121" s="2" t="e">
        <f>VLOOKUP(Tabel2[[#This Row],[nr]],'data hastus'!A:C,3,FALSE)</f>
        <v>#N/A</v>
      </c>
      <c r="E121" s="2" t="e">
        <f>VLOOKUP(Tabel2[[#This Row],[nr]],'data hastus'!A:C,2,FALSE)</f>
        <v>#N/A</v>
      </c>
      <c r="F121">
        <v>1</v>
      </c>
    </row>
    <row r="122" spans="1:6" x14ac:dyDescent="0.25">
      <c r="A122" s="2" t="s">
        <v>3405</v>
      </c>
      <c r="B122" s="2" t="str">
        <f t="shared" si="3"/>
        <v>39651</v>
      </c>
      <c r="C122" s="2" t="str">
        <f t="shared" si="4"/>
        <v>Kallenbach Sunny</v>
      </c>
      <c r="D122" s="2" t="e">
        <f>VLOOKUP(Tabel2[[#This Row],[nr]],'data hastus'!A:C,3,FALSE)</f>
        <v>#N/A</v>
      </c>
      <c r="E122" s="2" t="e">
        <f>VLOOKUP(Tabel2[[#This Row],[nr]],'data hastus'!A:C,2,FALSE)</f>
        <v>#N/A</v>
      </c>
      <c r="F122">
        <v>1</v>
      </c>
    </row>
    <row r="123" spans="1:6" x14ac:dyDescent="0.25">
      <c r="A123" s="2" t="s">
        <v>3402</v>
      </c>
      <c r="B123" s="2" t="str">
        <f t="shared" si="3"/>
        <v>12819</v>
      </c>
      <c r="C123" s="2" t="str">
        <f t="shared" si="4"/>
        <v>Van Eenaeme David</v>
      </c>
      <c r="D123" s="2" t="e">
        <f>VLOOKUP(Tabel2[[#This Row],[nr]],'data hastus'!A:C,3,FALSE)</f>
        <v>#N/A</v>
      </c>
      <c r="E123" s="2" t="e">
        <f>VLOOKUP(Tabel2[[#This Row],[nr]],'data hastus'!A:C,2,FALSE)</f>
        <v>#N/A</v>
      </c>
      <c r="F123">
        <v>1</v>
      </c>
    </row>
    <row r="124" spans="1:6" x14ac:dyDescent="0.25">
      <c r="A124" s="2" t="s">
        <v>3370</v>
      </c>
      <c r="B124" s="2" t="str">
        <f t="shared" si="3"/>
        <v>26960</v>
      </c>
      <c r="C124" s="2" t="str">
        <f t="shared" si="4"/>
        <v>Toubadie Mossa</v>
      </c>
      <c r="D124" s="2" t="e">
        <f>VLOOKUP(Tabel2[[#This Row],[nr]],'data hastus'!A:C,3,FALSE)</f>
        <v>#N/A</v>
      </c>
      <c r="E124" s="2" t="e">
        <f>VLOOKUP(Tabel2[[#This Row],[nr]],'data hastus'!A:C,2,FALSE)</f>
        <v>#N/A</v>
      </c>
      <c r="F124">
        <v>1</v>
      </c>
    </row>
    <row r="125" spans="1:6" x14ac:dyDescent="0.25">
      <c r="A125" s="2" t="s">
        <v>3404</v>
      </c>
      <c r="B125" s="2" t="str">
        <f t="shared" si="3"/>
        <v>36577</v>
      </c>
      <c r="C125" s="2" t="str">
        <f t="shared" si="4"/>
        <v>De Smet Martine</v>
      </c>
      <c r="D125" s="2" t="e">
        <f>VLOOKUP(Tabel2[[#This Row],[nr]],'data hastus'!A:C,3,FALSE)</f>
        <v>#N/A</v>
      </c>
      <c r="E125" s="2" t="e">
        <f>VLOOKUP(Tabel2[[#This Row],[nr]],'data hastus'!A:C,2,FALSE)</f>
        <v>#N/A</v>
      </c>
    </row>
    <row r="126" spans="1:6" x14ac:dyDescent="0.25">
      <c r="A126" s="2" t="s">
        <v>3409</v>
      </c>
      <c r="B126" s="2" t="str">
        <f t="shared" si="3"/>
        <v>39779</v>
      </c>
      <c r="C126" s="2" t="str">
        <f t="shared" si="4"/>
        <v>Avci Muhammet Abdullah</v>
      </c>
      <c r="D126" s="2" t="e">
        <f>VLOOKUP(Tabel2[[#This Row],[nr]],'data hastus'!A:C,3,FALSE)</f>
        <v>#N/A</v>
      </c>
      <c r="E126" s="2" t="e">
        <f>VLOOKUP(Tabel2[[#This Row],[nr]],'data hastus'!A:C,2,FALSE)</f>
        <v>#N/A</v>
      </c>
      <c r="F126">
        <v>1</v>
      </c>
    </row>
    <row r="127" spans="1:6" x14ac:dyDescent="0.25">
      <c r="A127" s="2" t="s">
        <v>3406</v>
      </c>
      <c r="B127" s="2" t="str">
        <f t="shared" si="3"/>
        <v>36624</v>
      </c>
      <c r="C127" s="2" t="str">
        <f t="shared" si="4"/>
        <v>De Meulenaere Kurt</v>
      </c>
      <c r="D127" s="2" t="e">
        <f>VLOOKUP(Tabel2[[#This Row],[nr]],'data hastus'!A:C,3,FALSE)</f>
        <v>#N/A</v>
      </c>
      <c r="E127" s="2" t="e">
        <f>VLOOKUP(Tabel2[[#This Row],[nr]],'data hastus'!A:C,2,FALSE)</f>
        <v>#N/A</v>
      </c>
      <c r="F127">
        <v>1</v>
      </c>
    </row>
    <row r="128" spans="1:6" x14ac:dyDescent="0.25">
      <c r="A128" s="2" t="s">
        <v>3411</v>
      </c>
      <c r="B128" s="2" t="str">
        <f t="shared" si="3"/>
        <v>39850</v>
      </c>
      <c r="C128" s="2" t="str">
        <f t="shared" si="4"/>
        <v>Helleputte William</v>
      </c>
      <c r="D128" s="2" t="e">
        <f>VLOOKUP(Tabel2[[#This Row],[nr]],'data hastus'!A:C,3,FALSE)</f>
        <v>#N/A</v>
      </c>
      <c r="E128" s="2" t="e">
        <f>VLOOKUP(Tabel2[[#This Row],[nr]],'data hastus'!A:C,2,FALSE)</f>
        <v>#N/A</v>
      </c>
      <c r="F128">
        <v>1</v>
      </c>
    </row>
    <row r="129" spans="1:6" x14ac:dyDescent="0.25">
      <c r="A129" s="2" t="s">
        <v>3408</v>
      </c>
      <c r="B129" s="2" t="str">
        <f t="shared" si="3"/>
        <v>11236</v>
      </c>
      <c r="C129" s="2" t="str">
        <f t="shared" si="4"/>
        <v>Baert Freddy</v>
      </c>
      <c r="D129" s="2" t="e">
        <f>VLOOKUP(Tabel2[[#This Row],[nr]],'data hastus'!A:C,3,FALSE)</f>
        <v>#N/A</v>
      </c>
      <c r="E129" s="2" t="e">
        <f>VLOOKUP(Tabel2[[#This Row],[nr]],'data hastus'!A:C,2,FALSE)</f>
        <v>#N/A</v>
      </c>
      <c r="F129">
        <v>1</v>
      </c>
    </row>
    <row r="130" spans="1:6" x14ac:dyDescent="0.25">
      <c r="A130" s="2" t="s">
        <v>3412</v>
      </c>
      <c r="B130" s="2" t="str">
        <f t="shared" ref="B130:B185" si="5">LEFT(A130,SEARCH(" ",A130)-1)</f>
        <v>39927</v>
      </c>
      <c r="C130" s="2" t="str">
        <f t="shared" si="4"/>
        <v>De Wilde Jordy</v>
      </c>
      <c r="D130" s="2" t="e">
        <f>VLOOKUP(Tabel2[[#This Row],[nr]],'data hastus'!A:C,3,FALSE)</f>
        <v>#N/A</v>
      </c>
      <c r="E130" s="2" t="e">
        <f>VLOOKUP(Tabel2[[#This Row],[nr]],'data hastus'!A:C,2,FALSE)</f>
        <v>#N/A</v>
      </c>
      <c r="F130">
        <v>1</v>
      </c>
    </row>
    <row r="131" spans="1:6" x14ac:dyDescent="0.25">
      <c r="A131" s="2" t="s">
        <v>3410</v>
      </c>
      <c r="B131" s="2" t="str">
        <f t="shared" si="5"/>
        <v>36627</v>
      </c>
      <c r="C131" s="2" t="str">
        <f t="shared" si="4"/>
        <v>Dobbelaere David</v>
      </c>
      <c r="D131" s="2" t="e">
        <f>VLOOKUP(Tabel2[[#This Row],[nr]],'data hastus'!A:C,3,FALSE)</f>
        <v>#N/A</v>
      </c>
      <c r="E131" s="2" t="e">
        <f>VLOOKUP(Tabel2[[#This Row],[nr]],'data hastus'!A:C,2,FALSE)</f>
        <v>#N/A</v>
      </c>
      <c r="F131">
        <v>1</v>
      </c>
    </row>
    <row r="132" spans="1:6" x14ac:dyDescent="0.25">
      <c r="A132" s="2" t="s">
        <v>3414</v>
      </c>
      <c r="B132" s="2" t="str">
        <f t="shared" si="5"/>
        <v>39972</v>
      </c>
      <c r="C132" s="2" t="str">
        <f t="shared" si="4"/>
        <v>Repaj Ramazav</v>
      </c>
      <c r="D132" s="2" t="e">
        <f>VLOOKUP(Tabel2[[#This Row],[nr]],'data hastus'!A:C,3,FALSE)</f>
        <v>#N/A</v>
      </c>
      <c r="E132" s="2" t="e">
        <f>VLOOKUP(Tabel2[[#This Row],[nr]],'data hastus'!A:C,2,FALSE)</f>
        <v>#N/A</v>
      </c>
      <c r="F132">
        <v>1</v>
      </c>
    </row>
    <row r="133" spans="1:6" x14ac:dyDescent="0.25">
      <c r="A133" s="2" t="s">
        <v>3445</v>
      </c>
      <c r="B133" s="2" t="str">
        <f t="shared" si="5"/>
        <v>36635</v>
      </c>
      <c r="C133" s="2" t="str">
        <f t="shared" si="4"/>
        <v>Fadel Husam</v>
      </c>
      <c r="D133" s="2" t="e">
        <f>VLOOKUP(Tabel2[[#This Row],[nr]],'data hastus'!A:C,3,FALSE)</f>
        <v>#N/A</v>
      </c>
      <c r="E133" s="2" t="e">
        <f>VLOOKUP(Tabel2[[#This Row],[nr]],'data hastus'!A:C,2,FALSE)</f>
        <v>#N/A</v>
      </c>
      <c r="F133">
        <v>1</v>
      </c>
    </row>
    <row r="134" spans="1:6" x14ac:dyDescent="0.25">
      <c r="A134" s="2" t="s">
        <v>3416</v>
      </c>
      <c r="B134" s="2" t="str">
        <f t="shared" si="5"/>
        <v>40036</v>
      </c>
      <c r="C134" s="2" t="str">
        <f t="shared" si="4"/>
        <v>Karakaya Oguz</v>
      </c>
      <c r="D134" s="2" t="e">
        <f>VLOOKUP(Tabel2[[#This Row],[nr]],'data hastus'!A:C,3,FALSE)</f>
        <v>#N/A</v>
      </c>
      <c r="E134" s="2" t="e">
        <f>VLOOKUP(Tabel2[[#This Row],[nr]],'data hastus'!A:C,2,FALSE)</f>
        <v>#N/A</v>
      </c>
      <c r="F134">
        <v>1</v>
      </c>
    </row>
    <row r="135" spans="1:6" x14ac:dyDescent="0.25">
      <c r="A135" s="2" t="s">
        <v>15</v>
      </c>
      <c r="B135" s="2" t="str">
        <f t="shared" si="5"/>
        <v>8394</v>
      </c>
      <c r="C135" s="2" t="str">
        <f t="shared" si="4"/>
        <v>Smet Antoon</v>
      </c>
      <c r="D135" s="2" t="e">
        <f>VLOOKUP(Tabel2[[#This Row],[nr]],'data hastus'!A:C,3,FALSE)</f>
        <v>#N/A</v>
      </c>
      <c r="E135" s="2" t="e">
        <f>VLOOKUP(Tabel2[[#This Row],[nr]],'data hastus'!A:C,2,FALSE)</f>
        <v>#N/A</v>
      </c>
      <c r="F135">
        <v>1</v>
      </c>
    </row>
    <row r="136" spans="1:6" x14ac:dyDescent="0.25">
      <c r="A136" s="2" t="s">
        <v>3418</v>
      </c>
      <c r="B136" s="2" t="str">
        <f t="shared" si="5"/>
        <v>40110</v>
      </c>
      <c r="C136" s="2" t="str">
        <f t="shared" si="4"/>
        <v>Vanlerberghe Sandra</v>
      </c>
      <c r="D136" s="2" t="e">
        <f>VLOOKUP(Tabel2[[#This Row],[nr]],'data hastus'!A:C,3,FALSE)</f>
        <v>#N/A</v>
      </c>
      <c r="E136" s="2" t="e">
        <f>VLOOKUP(Tabel2[[#This Row],[nr]],'data hastus'!A:C,2,FALSE)</f>
        <v>#N/A</v>
      </c>
      <c r="F136">
        <v>1</v>
      </c>
    </row>
    <row r="137" spans="1:6" x14ac:dyDescent="0.25">
      <c r="A137" s="2" t="s">
        <v>3459</v>
      </c>
      <c r="B137" s="2" t="str">
        <f t="shared" si="5"/>
        <v>9158</v>
      </c>
      <c r="C137" s="2" t="str">
        <f t="shared" si="4"/>
        <v>De Weirdt Ronny</v>
      </c>
      <c r="D137" s="2" t="e">
        <f>VLOOKUP(Tabel2[[#This Row],[nr]],'data hastus'!A:C,3,FALSE)</f>
        <v>#N/A</v>
      </c>
      <c r="E137" s="2" t="e">
        <f>VLOOKUP(Tabel2[[#This Row],[nr]],'data hastus'!A:C,2,FALSE)</f>
        <v>#N/A</v>
      </c>
      <c r="F137">
        <v>1</v>
      </c>
    </row>
    <row r="138" spans="1:6" x14ac:dyDescent="0.25">
      <c r="A138" s="2" t="s">
        <v>3420</v>
      </c>
      <c r="B138" s="2" t="str">
        <f t="shared" si="5"/>
        <v>13398</v>
      </c>
      <c r="C138" s="2" t="str">
        <f t="shared" si="4"/>
        <v>Kirdas Ramazan</v>
      </c>
      <c r="D138" s="2" t="e">
        <f>VLOOKUP(Tabel2[[#This Row],[nr]],'data hastus'!A:C,3,FALSE)</f>
        <v>#N/A</v>
      </c>
      <c r="E138" s="2" t="e">
        <f>VLOOKUP(Tabel2[[#This Row],[nr]],'data hastus'!A:C,2,FALSE)</f>
        <v>#N/A</v>
      </c>
      <c r="F138">
        <v>1</v>
      </c>
    </row>
    <row r="139" spans="1:6" x14ac:dyDescent="0.25">
      <c r="A139" s="2" t="s">
        <v>3461</v>
      </c>
      <c r="B139" s="2" t="str">
        <f t="shared" si="5"/>
        <v>11213</v>
      </c>
      <c r="C139" s="2" t="str">
        <f t="shared" si="4"/>
        <v>De Plus Gunter</v>
      </c>
      <c r="D139" s="2" t="e">
        <f>VLOOKUP(Tabel2[[#This Row],[nr]],'data hastus'!A:C,3,FALSE)</f>
        <v>#N/A</v>
      </c>
      <c r="E139" s="2" t="e">
        <f>VLOOKUP(Tabel2[[#This Row],[nr]],'data hastus'!A:C,2,FALSE)</f>
        <v>#N/A</v>
      </c>
      <c r="F139">
        <v>1</v>
      </c>
    </row>
    <row r="140" spans="1:6" x14ac:dyDescent="0.25">
      <c r="A140" s="2" t="s">
        <v>3403</v>
      </c>
      <c r="B140" s="2" t="str">
        <f t="shared" si="5"/>
        <v>27672</v>
      </c>
      <c r="C140" s="2" t="str">
        <f t="shared" si="4"/>
        <v>Criel Veronique</v>
      </c>
      <c r="D140" s="2" t="e">
        <f>VLOOKUP(Tabel2[[#This Row],[nr]],'data hastus'!A:C,3,FALSE)</f>
        <v>#N/A</v>
      </c>
      <c r="E140" s="2" t="e">
        <f>VLOOKUP(Tabel2[[#This Row],[nr]],'data hastus'!A:C,2,FALSE)</f>
        <v>#N/A</v>
      </c>
      <c r="F140">
        <v>1</v>
      </c>
    </row>
    <row r="141" spans="1:6" x14ac:dyDescent="0.25">
      <c r="A141" s="2" t="s">
        <v>3462</v>
      </c>
      <c r="B141" s="2" t="str">
        <f t="shared" si="5"/>
        <v>37179</v>
      </c>
      <c r="C141" s="2" t="str">
        <f t="shared" si="4"/>
        <v>Bashir Muhammad Salman</v>
      </c>
      <c r="D141" s="2" t="e">
        <f>VLOOKUP(Tabel2[[#This Row],[nr]],'data hastus'!A:C,3,FALSE)</f>
        <v>#N/A</v>
      </c>
      <c r="E141" s="2" t="e">
        <f>VLOOKUP(Tabel2[[#This Row],[nr]],'data hastus'!A:C,2,FALSE)</f>
        <v>#N/A</v>
      </c>
      <c r="F141">
        <v>1</v>
      </c>
    </row>
    <row r="142" spans="1:6" x14ac:dyDescent="0.25">
      <c r="A142" s="2" t="s">
        <v>3372</v>
      </c>
      <c r="B142" s="2" t="str">
        <f t="shared" si="5"/>
        <v>28910</v>
      </c>
      <c r="C142" s="2" t="str">
        <f t="shared" si="4"/>
        <v>Gassa Osmane</v>
      </c>
      <c r="D142" s="2" t="e">
        <f>VLOOKUP(Tabel2[[#This Row],[nr]],'data hastus'!A:C,3,FALSE)</f>
        <v>#N/A</v>
      </c>
      <c r="E142" s="2" t="e">
        <f>VLOOKUP(Tabel2[[#This Row],[nr]],'data hastus'!A:C,2,FALSE)</f>
        <v>#N/A</v>
      </c>
      <c r="F142">
        <v>1</v>
      </c>
    </row>
    <row r="143" spans="1:6" x14ac:dyDescent="0.25">
      <c r="A143" s="2" t="s">
        <v>3454</v>
      </c>
      <c r="B143" s="2" t="str">
        <f t="shared" si="5"/>
        <v>37208</v>
      </c>
      <c r="C143" s="2" t="str">
        <f t="shared" si="4"/>
        <v>Catar Gökhan</v>
      </c>
      <c r="D143" s="2" t="e">
        <f>VLOOKUP(Tabel2[[#This Row],[nr]],'data hastus'!A:C,3,FALSE)</f>
        <v>#N/A</v>
      </c>
      <c r="E143" s="2" t="e">
        <f>VLOOKUP(Tabel2[[#This Row],[nr]],'data hastus'!A:C,2,FALSE)</f>
        <v>#N/A</v>
      </c>
      <c r="F143">
        <v>1</v>
      </c>
    </row>
    <row r="144" spans="1:6" x14ac:dyDescent="0.25">
      <c r="A144" s="2" t="s">
        <v>3426</v>
      </c>
      <c r="B144" s="2" t="str">
        <f t="shared" si="5"/>
        <v>40443</v>
      </c>
      <c r="C144" s="2" t="str">
        <f t="shared" si="4"/>
        <v>Fakash Mahmoud</v>
      </c>
      <c r="D144" s="2" t="e">
        <f>VLOOKUP(Tabel2[[#This Row],[nr]],'data hastus'!A:C,3,FALSE)</f>
        <v>#N/A</v>
      </c>
      <c r="E144" s="2" t="e">
        <f>VLOOKUP(Tabel2[[#This Row],[nr]],'data hastus'!A:C,2,FALSE)</f>
        <v>#N/A</v>
      </c>
      <c r="F144">
        <v>1</v>
      </c>
    </row>
    <row r="145" spans="1:6" x14ac:dyDescent="0.25">
      <c r="A145" s="2" t="s">
        <v>3456</v>
      </c>
      <c r="B145" s="2" t="str">
        <f t="shared" si="5"/>
        <v>37439</v>
      </c>
      <c r="C145" s="2" t="str">
        <f t="shared" si="4"/>
        <v>Demirkazik Mustafa</v>
      </c>
      <c r="D145" s="2" t="e">
        <f>VLOOKUP(Tabel2[[#This Row],[nr]],'data hastus'!A:C,3,FALSE)</f>
        <v>#N/A</v>
      </c>
      <c r="E145" s="2" t="e">
        <f>VLOOKUP(Tabel2[[#This Row],[nr]],'data hastus'!A:C,2,FALSE)</f>
        <v>#N/A</v>
      </c>
      <c r="F145">
        <v>1</v>
      </c>
    </row>
    <row r="146" spans="1:6" x14ac:dyDescent="0.25">
      <c r="A146" s="2" t="s">
        <v>3407</v>
      </c>
      <c r="B146" s="2" t="str">
        <f t="shared" si="5"/>
        <v>29674</v>
      </c>
      <c r="C146" s="2" t="str">
        <f t="shared" si="4"/>
        <v>Martens Geoffrey</v>
      </c>
      <c r="D146" s="2" t="e">
        <f>VLOOKUP(Tabel2[[#This Row],[nr]],'data hastus'!A:C,3,FALSE)</f>
        <v>#N/A</v>
      </c>
      <c r="E146" s="2" t="e">
        <f>VLOOKUP(Tabel2[[#This Row],[nr]],'data hastus'!A:C,2,FALSE)</f>
        <v>#N/A</v>
      </c>
      <c r="F146">
        <v>1</v>
      </c>
    </row>
    <row r="147" spans="1:6" x14ac:dyDescent="0.25">
      <c r="A147" s="2" t="s">
        <v>3457</v>
      </c>
      <c r="B147" s="2" t="str">
        <f t="shared" si="5"/>
        <v>7746</v>
      </c>
      <c r="C147" s="2" t="str">
        <f t="shared" si="4"/>
        <v>Aelterman Didier</v>
      </c>
      <c r="D147" s="2" t="e">
        <f>VLOOKUP(Tabel2[[#This Row],[nr]],'data hastus'!A:C,3,FALSE)</f>
        <v>#N/A</v>
      </c>
      <c r="E147" s="2" t="e">
        <f>VLOOKUP(Tabel2[[#This Row],[nr]],'data hastus'!A:C,2,FALSE)</f>
        <v>#N/A</v>
      </c>
    </row>
    <row r="148" spans="1:6" x14ac:dyDescent="0.25">
      <c r="A148" s="2" t="s">
        <v>3429</v>
      </c>
      <c r="B148" s="2" t="str">
        <f t="shared" si="5"/>
        <v>40645</v>
      </c>
      <c r="C148" s="2" t="str">
        <f t="shared" si="4"/>
        <v>Bytebier Jason</v>
      </c>
      <c r="D148" s="2" t="e">
        <f>VLOOKUP(Tabel2[[#This Row],[nr]],'data hastus'!A:C,3,FALSE)</f>
        <v>#N/A</v>
      </c>
      <c r="E148" s="2" t="e">
        <f>VLOOKUP(Tabel2[[#This Row],[nr]],'data hastus'!A:C,2,FALSE)</f>
        <v>#N/A</v>
      </c>
      <c r="F148">
        <v>1</v>
      </c>
    </row>
    <row r="149" spans="1:6" x14ac:dyDescent="0.25">
      <c r="A149" s="2" t="s">
        <v>3427</v>
      </c>
      <c r="B149" s="2" t="str">
        <f t="shared" si="5"/>
        <v>18987</v>
      </c>
      <c r="C149" s="2" t="str">
        <f t="shared" ref="C149:C186" si="6">MID(A149,SEARCH(" ",A149)+1,99)</f>
        <v>De Geyter Dolly</v>
      </c>
      <c r="D149" s="2" t="e">
        <f>VLOOKUP(Tabel2[[#This Row],[nr]],'data hastus'!A:C,3,FALSE)</f>
        <v>#N/A</v>
      </c>
      <c r="E149" s="2" t="e">
        <f>VLOOKUP(Tabel2[[#This Row],[nr]],'data hastus'!A:C,2,FALSE)</f>
        <v>#N/A</v>
      </c>
      <c r="F149">
        <v>1</v>
      </c>
    </row>
    <row r="150" spans="1:6" x14ac:dyDescent="0.25">
      <c r="A150" s="2" t="s">
        <v>3339</v>
      </c>
      <c r="B150" s="2" t="str">
        <f t="shared" si="5"/>
        <v>30121</v>
      </c>
      <c r="C150" s="2" t="str">
        <f t="shared" si="6"/>
        <v>Simons Andreas</v>
      </c>
      <c r="D150" s="2" t="e">
        <f>VLOOKUP(Tabel2[[#This Row],[nr]],'data hastus'!A:C,3,FALSE)</f>
        <v>#N/A</v>
      </c>
      <c r="E150" s="2" t="e">
        <f>VLOOKUP(Tabel2[[#This Row],[nr]],'data hastus'!A:C,2,FALSE)</f>
        <v>#N/A</v>
      </c>
      <c r="F150">
        <v>1</v>
      </c>
    </row>
    <row r="151" spans="1:6" x14ac:dyDescent="0.25">
      <c r="A151" s="2" t="s">
        <v>3432</v>
      </c>
      <c r="B151" s="2" t="str">
        <f t="shared" si="5"/>
        <v>37542</v>
      </c>
      <c r="C151" s="2" t="str">
        <f t="shared" si="6"/>
        <v>De Tandt Hans</v>
      </c>
      <c r="D151" s="2" t="e">
        <f>VLOOKUP(Tabel2[[#This Row],[nr]],'data hastus'!A:C,3,FALSE)</f>
        <v>#N/A</v>
      </c>
      <c r="E151" s="2" t="e">
        <f>VLOOKUP(Tabel2[[#This Row],[nr]],'data hastus'!A:C,2,FALSE)</f>
        <v>#N/A</v>
      </c>
      <c r="F151">
        <v>1</v>
      </c>
    </row>
    <row r="152" spans="1:6" x14ac:dyDescent="0.25">
      <c r="A152" s="2" t="s">
        <v>3424</v>
      </c>
      <c r="B152" s="2" t="str">
        <f t="shared" si="5"/>
        <v>30271</v>
      </c>
      <c r="C152" s="2" t="str">
        <f t="shared" si="6"/>
        <v>Bracke Jeroen</v>
      </c>
      <c r="D152" s="2" t="e">
        <f>VLOOKUP(Tabel2[[#This Row],[nr]],'data hastus'!A:C,3,FALSE)</f>
        <v>#N/A</v>
      </c>
      <c r="E152" s="2" t="e">
        <f>VLOOKUP(Tabel2[[#This Row],[nr]],'data hastus'!A:C,2,FALSE)</f>
        <v>#N/A</v>
      </c>
      <c r="F152">
        <v>1</v>
      </c>
    </row>
    <row r="153" spans="1:6" x14ac:dyDescent="0.25">
      <c r="A153" s="2" t="s">
        <v>1</v>
      </c>
      <c r="B153" s="2" t="str">
        <f t="shared" si="5"/>
        <v>19249</v>
      </c>
      <c r="C153" s="2" t="str">
        <f t="shared" si="6"/>
        <v>Odaci Kadir</v>
      </c>
      <c r="D153" s="2" t="e">
        <f>VLOOKUP(Tabel2[[#This Row],[nr]],'data hastus'!A:C,3,FALSE)</f>
        <v>#N/A</v>
      </c>
      <c r="E153" s="2" t="e">
        <f>VLOOKUP(Tabel2[[#This Row],[nr]],'data hastus'!A:C,2,FALSE)</f>
        <v>#N/A</v>
      </c>
    </row>
    <row r="154" spans="1:6" x14ac:dyDescent="0.25">
      <c r="A154" s="2" t="s">
        <v>3434</v>
      </c>
      <c r="B154" s="2" t="str">
        <f t="shared" si="5"/>
        <v>40938</v>
      </c>
      <c r="C154" s="2" t="str">
        <f t="shared" si="6"/>
        <v>Hasnaoui Nejmeddine</v>
      </c>
      <c r="D154" s="2" t="e">
        <f>VLOOKUP(Tabel2[[#This Row],[nr]],'data hastus'!A:C,3,FALSE)</f>
        <v>#N/A</v>
      </c>
      <c r="E154" s="2" t="e">
        <f>VLOOKUP(Tabel2[[#This Row],[nr]],'data hastus'!A:C,2,FALSE)</f>
        <v>#N/A</v>
      </c>
    </row>
    <row r="155" spans="1:6" x14ac:dyDescent="0.25">
      <c r="A155" s="2" t="s">
        <v>3435</v>
      </c>
      <c r="B155" s="2" t="str">
        <f t="shared" si="5"/>
        <v>37744</v>
      </c>
      <c r="C155" s="2" t="str">
        <f t="shared" si="6"/>
        <v>De Lange Frank</v>
      </c>
      <c r="D155" s="2" t="e">
        <f>VLOOKUP(Tabel2[[#This Row],[nr]],'data hastus'!A:C,3,FALSE)</f>
        <v>#N/A</v>
      </c>
      <c r="E155" s="2" t="e">
        <f>VLOOKUP(Tabel2[[#This Row],[nr]],'data hastus'!A:C,2,FALSE)</f>
        <v>#N/A</v>
      </c>
    </row>
    <row r="156" spans="1:6" x14ac:dyDescent="0.25">
      <c r="A156" s="2" t="s">
        <v>3436</v>
      </c>
      <c r="B156" s="2" t="str">
        <f t="shared" si="5"/>
        <v>40969</v>
      </c>
      <c r="C156" s="2" t="str">
        <f t="shared" si="6"/>
        <v>Kerman Melisa</v>
      </c>
      <c r="D156" s="2" t="e">
        <f>VLOOKUP(Tabel2[[#This Row],[nr]],'data hastus'!A:C,3,FALSE)</f>
        <v>#N/A</v>
      </c>
      <c r="E156" s="2" t="e">
        <f>VLOOKUP(Tabel2[[#This Row],[nr]],'data hastus'!A:C,2,FALSE)</f>
        <v>#N/A</v>
      </c>
      <c r="F156">
        <v>1</v>
      </c>
    </row>
    <row r="157" spans="1:6" x14ac:dyDescent="0.25">
      <c r="A157" s="2" t="s">
        <v>3437</v>
      </c>
      <c r="B157" s="2" t="str">
        <f t="shared" si="5"/>
        <v>37809</v>
      </c>
      <c r="C157" s="2" t="str">
        <f t="shared" si="6"/>
        <v>Sturtewagen Kenny</v>
      </c>
      <c r="D157" s="2" t="e">
        <f>VLOOKUP(Tabel2[[#This Row],[nr]],'data hastus'!A:C,3,FALSE)</f>
        <v>#N/A</v>
      </c>
      <c r="E157" s="2" t="e">
        <f>VLOOKUP(Tabel2[[#This Row],[nr]],'data hastus'!A:C,2,FALSE)</f>
        <v>#N/A</v>
      </c>
      <c r="F157">
        <v>1</v>
      </c>
    </row>
    <row r="158" spans="1:6" x14ac:dyDescent="0.25">
      <c r="A158" s="2" t="s">
        <v>3438</v>
      </c>
      <c r="B158" s="2" t="str">
        <f t="shared" si="5"/>
        <v>16897</v>
      </c>
      <c r="C158" s="2" t="str">
        <f t="shared" si="6"/>
        <v>VandenDaele Andy</v>
      </c>
      <c r="D158" s="2" t="e">
        <f>VLOOKUP(Tabel2[[#This Row],[nr]],'data hastus'!A:C,3,FALSE)</f>
        <v>#N/A</v>
      </c>
      <c r="E158" s="2" t="e">
        <f>VLOOKUP(Tabel2[[#This Row],[nr]],'data hastus'!A:C,2,FALSE)</f>
        <v>#N/A</v>
      </c>
      <c r="F158">
        <v>1</v>
      </c>
    </row>
    <row r="159" spans="1:6" x14ac:dyDescent="0.25">
      <c r="A159" s="2" t="s">
        <v>3439</v>
      </c>
      <c r="B159" s="2" t="str">
        <f t="shared" si="5"/>
        <v>37908</v>
      </c>
      <c r="C159" s="2" t="str">
        <f t="shared" si="6"/>
        <v>Vandenberghe Michael</v>
      </c>
      <c r="D159" s="2" t="e">
        <f>VLOOKUP(Tabel2[[#This Row],[nr]],'data hastus'!A:C,3,FALSE)</f>
        <v>#N/A</v>
      </c>
      <c r="E159" s="2" t="e">
        <f>VLOOKUP(Tabel2[[#This Row],[nr]],'data hastus'!A:C,2,FALSE)</f>
        <v>#N/A</v>
      </c>
      <c r="F159">
        <v>1</v>
      </c>
    </row>
    <row r="160" spans="1:6" x14ac:dyDescent="0.25">
      <c r="A160" s="2" t="s">
        <v>3440</v>
      </c>
      <c r="B160" s="2" t="str">
        <f t="shared" si="5"/>
        <v>41091</v>
      </c>
      <c r="C160" s="2" t="str">
        <f t="shared" si="6"/>
        <v>Yavas Talha</v>
      </c>
      <c r="D160" s="2" t="e">
        <f>VLOOKUP(Tabel2[[#This Row],[nr]],'data hastus'!A:C,3,FALSE)</f>
        <v>#N/A</v>
      </c>
      <c r="E160" s="2" t="e">
        <f>VLOOKUP(Tabel2[[#This Row],[nr]],'data hastus'!A:C,2,FALSE)</f>
        <v>#N/A</v>
      </c>
      <c r="F160">
        <v>1</v>
      </c>
    </row>
    <row r="161" spans="1:6" x14ac:dyDescent="0.25">
      <c r="A161" s="2" t="s">
        <v>3441</v>
      </c>
      <c r="B161" s="2" t="str">
        <f t="shared" si="5"/>
        <v>37936</v>
      </c>
      <c r="C161" s="2" t="str">
        <f t="shared" si="6"/>
        <v>Detaeye Alexander</v>
      </c>
      <c r="D161" s="2" t="e">
        <f>VLOOKUP(Tabel2[[#This Row],[nr]],'data hastus'!A:C,3,FALSE)</f>
        <v>#N/A</v>
      </c>
      <c r="E161" s="2" t="e">
        <f>VLOOKUP(Tabel2[[#This Row],[nr]],'data hastus'!A:C,2,FALSE)</f>
        <v>#N/A</v>
      </c>
      <c r="F161">
        <v>1</v>
      </c>
    </row>
    <row r="162" spans="1:6" x14ac:dyDescent="0.25">
      <c r="A162" s="2" t="s">
        <v>3442</v>
      </c>
      <c r="B162" s="2" t="str">
        <f t="shared" si="5"/>
        <v>17951</v>
      </c>
      <c r="C162" s="2" t="str">
        <f t="shared" si="6"/>
        <v>Lega Claude</v>
      </c>
      <c r="D162" s="2" t="e">
        <f>VLOOKUP(Tabel2[[#This Row],[nr]],'data hastus'!A:C,3,FALSE)</f>
        <v>#N/A</v>
      </c>
      <c r="E162" s="2" t="e">
        <f>VLOOKUP(Tabel2[[#This Row],[nr]],'data hastus'!A:C,2,FALSE)</f>
        <v>#N/A</v>
      </c>
      <c r="F162">
        <v>1</v>
      </c>
    </row>
    <row r="163" spans="1:6" x14ac:dyDescent="0.25">
      <c r="A163" s="2" t="s">
        <v>3443</v>
      </c>
      <c r="B163" s="2" t="str">
        <f t="shared" si="5"/>
        <v>37950</v>
      </c>
      <c r="C163" s="2" t="str">
        <f t="shared" si="6"/>
        <v>De Naegel Bruno</v>
      </c>
      <c r="D163" s="2" t="e">
        <f>VLOOKUP(Tabel2[[#This Row],[nr]],'data hastus'!A:C,3,FALSE)</f>
        <v>#N/A</v>
      </c>
      <c r="E163" s="2" t="e">
        <f>VLOOKUP(Tabel2[[#This Row],[nr]],'data hastus'!A:C,2,FALSE)</f>
        <v>#N/A</v>
      </c>
      <c r="F163">
        <v>1</v>
      </c>
    </row>
    <row r="164" spans="1:6" x14ac:dyDescent="0.25">
      <c r="A164" s="2" t="s">
        <v>4</v>
      </c>
      <c r="B164" s="2" t="str">
        <f t="shared" si="5"/>
        <v>31165</v>
      </c>
      <c r="C164" s="2" t="str">
        <f t="shared" si="6"/>
        <v>Govaerts Sandro</v>
      </c>
      <c r="D164" s="2" t="e">
        <f>VLOOKUP(Tabel2[[#This Row],[nr]],'data hastus'!A:C,3,FALSE)</f>
        <v>#N/A</v>
      </c>
      <c r="E164" s="2" t="e">
        <f>VLOOKUP(Tabel2[[#This Row],[nr]],'data hastus'!A:C,2,FALSE)</f>
        <v>#N/A</v>
      </c>
      <c r="F164">
        <v>1</v>
      </c>
    </row>
    <row r="165" spans="1:6" x14ac:dyDescent="0.25">
      <c r="A165" s="2" t="s">
        <v>3444</v>
      </c>
      <c r="B165" s="2" t="str">
        <f t="shared" si="5"/>
        <v>38035</v>
      </c>
      <c r="C165" s="2" t="str">
        <f t="shared" si="6"/>
        <v>Simsek Isa</v>
      </c>
      <c r="D165" s="2" t="e">
        <f>VLOOKUP(Tabel2[[#This Row],[nr]],'data hastus'!A:C,3,FALSE)</f>
        <v>#N/A</v>
      </c>
      <c r="E165" s="2" t="e">
        <f>VLOOKUP(Tabel2[[#This Row],[nr]],'data hastus'!A:C,2,FALSE)</f>
        <v>#N/A</v>
      </c>
      <c r="F165">
        <v>1</v>
      </c>
    </row>
    <row r="166" spans="1:6" x14ac:dyDescent="0.25">
      <c r="A166" s="2" t="s">
        <v>3446</v>
      </c>
      <c r="B166" s="2" t="str">
        <f t="shared" si="5"/>
        <v>41383</v>
      </c>
      <c r="C166" s="2" t="str">
        <f t="shared" si="6"/>
        <v>De Pauw Tony</v>
      </c>
      <c r="D166" s="2" t="e">
        <f>VLOOKUP(Tabel2[[#This Row],[nr]],'data hastus'!A:C,3,FALSE)</f>
        <v>#N/A</v>
      </c>
      <c r="E166" s="2" t="e">
        <f>VLOOKUP(Tabel2[[#This Row],[nr]],'data hastus'!A:C,2,FALSE)</f>
        <v>#N/A</v>
      </c>
    </row>
    <row r="167" spans="1:6" x14ac:dyDescent="0.25">
      <c r="A167" s="2" t="s">
        <v>3417</v>
      </c>
      <c r="B167" s="2" t="str">
        <f t="shared" si="5"/>
        <v>25733</v>
      </c>
      <c r="C167" s="2" t="str">
        <f t="shared" si="6"/>
        <v>Simsek Abdullah</v>
      </c>
      <c r="D167" s="2" t="e">
        <f>VLOOKUP(Tabel2[[#This Row],[nr]],'data hastus'!A:C,3,FALSE)</f>
        <v>#N/A</v>
      </c>
      <c r="E167" s="2" t="e">
        <f>VLOOKUP(Tabel2[[#This Row],[nr]],'data hastus'!A:C,2,FALSE)</f>
        <v>#N/A</v>
      </c>
      <c r="F167">
        <v>1</v>
      </c>
    </row>
    <row r="168" spans="1:6" x14ac:dyDescent="0.25">
      <c r="A168" s="2" t="s">
        <v>3448</v>
      </c>
      <c r="B168" s="2" t="str">
        <f t="shared" si="5"/>
        <v>41482</v>
      </c>
      <c r="C168" s="2" t="str">
        <f t="shared" si="6"/>
        <v>Özdemir Osman</v>
      </c>
      <c r="D168" s="2" t="e">
        <f>VLOOKUP(Tabel2[[#This Row],[nr]],'data hastus'!A:C,3,FALSE)</f>
        <v>#N/A</v>
      </c>
      <c r="E168" s="2" t="e">
        <f>VLOOKUP(Tabel2[[#This Row],[nr]],'data hastus'!A:C,2,FALSE)</f>
        <v>#N/A</v>
      </c>
      <c r="F168">
        <v>1</v>
      </c>
    </row>
    <row r="169" spans="1:6" x14ac:dyDescent="0.25">
      <c r="A169" s="2" t="s">
        <v>3391</v>
      </c>
      <c r="B169" s="2" t="str">
        <f t="shared" si="5"/>
        <v>38481</v>
      </c>
      <c r="C169" s="2" t="str">
        <f t="shared" si="6"/>
        <v>Sari Devrim</v>
      </c>
      <c r="D169" s="2" t="e">
        <f>VLOOKUP(Tabel2[[#This Row],[nr]],'data hastus'!A:C,3,FALSE)</f>
        <v>#N/A</v>
      </c>
      <c r="E169" s="2" t="e">
        <f>VLOOKUP(Tabel2[[#This Row],[nr]],'data hastus'!A:C,2,FALSE)</f>
        <v>#N/A</v>
      </c>
    </row>
    <row r="170" spans="1:6" x14ac:dyDescent="0.25">
      <c r="A170" s="2" t="s">
        <v>3450</v>
      </c>
      <c r="B170" s="2" t="str">
        <f t="shared" si="5"/>
        <v>41588</v>
      </c>
      <c r="C170" s="2" t="str">
        <f t="shared" si="6"/>
        <v>Naessens Yves</v>
      </c>
      <c r="D170" s="2" t="e">
        <f>VLOOKUP(Tabel2[[#This Row],[nr]],'data hastus'!A:C,3,FALSE)</f>
        <v>#N/A</v>
      </c>
      <c r="E170" s="2" t="e">
        <f>VLOOKUP(Tabel2[[#This Row],[nr]],'data hastus'!A:C,2,FALSE)</f>
        <v>#N/A</v>
      </c>
      <c r="F170">
        <v>1</v>
      </c>
    </row>
    <row r="171" spans="1:6" x14ac:dyDescent="0.25">
      <c r="A171" s="2" t="s">
        <v>3364</v>
      </c>
      <c r="B171" s="2" t="str">
        <f t="shared" si="5"/>
        <v>38580</v>
      </c>
      <c r="C171" s="2" t="str">
        <f t="shared" si="6"/>
        <v>Smajla Samet</v>
      </c>
      <c r="D171" s="2" t="e">
        <f>VLOOKUP(Tabel2[[#This Row],[nr]],'data hastus'!A:C,3,FALSE)</f>
        <v>#N/A</v>
      </c>
      <c r="E171" s="2" t="e">
        <f>VLOOKUP(Tabel2[[#This Row],[nr]],'data hastus'!A:C,2,FALSE)</f>
        <v>#N/A</v>
      </c>
      <c r="F171">
        <v>1</v>
      </c>
    </row>
    <row r="172" spans="1:6" x14ac:dyDescent="0.25">
      <c r="A172" s="2" t="s">
        <v>3451</v>
      </c>
      <c r="B172" s="2" t="str">
        <f t="shared" si="5"/>
        <v>41671</v>
      </c>
      <c r="C172" s="2" t="str">
        <f t="shared" si="6"/>
        <v>Hasan Salem</v>
      </c>
      <c r="D172" s="2" t="e">
        <f>VLOOKUP(Tabel2[[#This Row],[nr]],'data hastus'!A:C,3,FALSE)</f>
        <v>#N/A</v>
      </c>
      <c r="E172" s="2" t="e">
        <f>VLOOKUP(Tabel2[[#This Row],[nr]],'data hastus'!A:C,2,FALSE)</f>
        <v>#N/A</v>
      </c>
    </row>
    <row r="173" spans="1:6" x14ac:dyDescent="0.25">
      <c r="A173" s="2" t="s">
        <v>3393</v>
      </c>
      <c r="B173" s="2" t="str">
        <f t="shared" si="5"/>
        <v>38633</v>
      </c>
      <c r="C173" s="2" t="str">
        <f t="shared" si="6"/>
        <v>Stomphorst Mattanja</v>
      </c>
      <c r="D173" s="2" t="e">
        <f>VLOOKUP(Tabel2[[#This Row],[nr]],'data hastus'!A:C,3,FALSE)</f>
        <v>#N/A</v>
      </c>
      <c r="E173" s="2" t="e">
        <f>VLOOKUP(Tabel2[[#This Row],[nr]],'data hastus'!A:C,2,FALSE)</f>
        <v>#N/A</v>
      </c>
      <c r="F173">
        <v>1</v>
      </c>
    </row>
    <row r="174" spans="1:6" x14ac:dyDescent="0.25">
      <c r="A174" s="2" t="s">
        <v>3453</v>
      </c>
      <c r="B174" s="2" t="str">
        <f t="shared" si="5"/>
        <v>41710</v>
      </c>
      <c r="C174" s="2" t="str">
        <f t="shared" si="6"/>
        <v>Ghani Fazal</v>
      </c>
      <c r="D174" s="2" t="e">
        <f>VLOOKUP(Tabel2[[#This Row],[nr]],'data hastus'!A:C,3,FALSE)</f>
        <v>#N/A</v>
      </c>
      <c r="E174" s="2" t="e">
        <f>VLOOKUP(Tabel2[[#This Row],[nr]],'data hastus'!A:C,2,FALSE)</f>
        <v>#N/A</v>
      </c>
      <c r="F174">
        <v>1</v>
      </c>
    </row>
    <row r="175" spans="1:6" x14ac:dyDescent="0.25">
      <c r="A175" s="2" t="s">
        <v>3338</v>
      </c>
      <c r="B175" s="2" t="str">
        <f t="shared" si="5"/>
        <v>38634</v>
      </c>
      <c r="C175" s="2" t="str">
        <f t="shared" si="6"/>
        <v>Asskale Zouhir</v>
      </c>
      <c r="D175" s="2" t="e">
        <f>VLOOKUP(Tabel2[[#This Row],[nr]],'data hastus'!A:C,3,FALSE)</f>
        <v>#N/A</v>
      </c>
      <c r="E175" s="2" t="e">
        <f>VLOOKUP(Tabel2[[#This Row],[nr]],'data hastus'!A:C,2,FALSE)</f>
        <v>#N/A</v>
      </c>
      <c r="F175">
        <v>1</v>
      </c>
    </row>
    <row r="176" spans="1:6" x14ac:dyDescent="0.25">
      <c r="A176" s="2" t="s">
        <v>3455</v>
      </c>
      <c r="B176" s="2" t="str">
        <f t="shared" si="5"/>
        <v>41859</v>
      </c>
      <c r="C176" s="2" t="str">
        <f t="shared" si="6"/>
        <v>Palit Ramazan</v>
      </c>
      <c r="D176" s="2" t="e">
        <f>VLOOKUP(Tabel2[[#This Row],[nr]],'data hastus'!A:C,3,FALSE)</f>
        <v>#N/A</v>
      </c>
      <c r="E176" s="2" t="e">
        <f>VLOOKUP(Tabel2[[#This Row],[nr]],'data hastus'!A:C,2,FALSE)</f>
        <v>#N/A</v>
      </c>
      <c r="F176">
        <v>1</v>
      </c>
    </row>
    <row r="177" spans="1:6" x14ac:dyDescent="0.25">
      <c r="A177" s="2" t="s">
        <v>3425</v>
      </c>
      <c r="B177" s="2" t="str">
        <f t="shared" si="5"/>
        <v>26137</v>
      </c>
      <c r="C177" s="2" t="str">
        <f t="shared" si="6"/>
        <v>Hublau Roland</v>
      </c>
      <c r="D177" s="2" t="e">
        <f>VLOOKUP(Tabel2[[#This Row],[nr]],'data hastus'!A:C,3,FALSE)</f>
        <v>#N/A</v>
      </c>
      <c r="E177" s="2" t="e">
        <f>VLOOKUP(Tabel2[[#This Row],[nr]],'data hastus'!A:C,2,FALSE)</f>
        <v>#N/A</v>
      </c>
      <c r="F177">
        <v>1</v>
      </c>
    </row>
    <row r="178" spans="1:6" x14ac:dyDescent="0.25">
      <c r="A178" s="2" t="s">
        <v>14</v>
      </c>
      <c r="B178" s="2" t="str">
        <f t="shared" si="5"/>
        <v>4608</v>
      </c>
      <c r="C178" s="2" t="str">
        <f t="shared" si="6"/>
        <v>Steenbrugge Johan</v>
      </c>
      <c r="D178" s="2" t="e">
        <f>VLOOKUP(Tabel2[[#This Row],[nr]],'data hastus'!A:C,3,FALSE)</f>
        <v>#N/A</v>
      </c>
      <c r="E178" s="2" t="e">
        <f>VLOOKUP(Tabel2[[#This Row],[nr]],'data hastus'!A:C,2,FALSE)</f>
        <v>#N/A</v>
      </c>
      <c r="F178">
        <v>1</v>
      </c>
    </row>
    <row r="179" spans="1:6" x14ac:dyDescent="0.25">
      <c r="A179" s="2" t="s">
        <v>3366</v>
      </c>
      <c r="B179" s="2" t="str">
        <f t="shared" si="5"/>
        <v>38731</v>
      </c>
      <c r="C179" s="2" t="str">
        <f t="shared" si="6"/>
        <v>Ben Sidhom Samir</v>
      </c>
      <c r="D179" s="2" t="e">
        <f>VLOOKUP(Tabel2[[#This Row],[nr]],'data hastus'!A:C,3,FALSE)</f>
        <v>#N/A</v>
      </c>
      <c r="E179" s="2" t="e">
        <f>VLOOKUP(Tabel2[[#This Row],[nr]],'data hastus'!A:C,2,FALSE)</f>
        <v>#N/A</v>
      </c>
      <c r="F179">
        <v>1</v>
      </c>
    </row>
    <row r="180" spans="1:6" x14ac:dyDescent="0.25">
      <c r="A180" s="2" t="s">
        <v>3449</v>
      </c>
      <c r="B180" s="2" t="str">
        <f t="shared" si="5"/>
        <v>6229</v>
      </c>
      <c r="C180" s="2" t="str">
        <f t="shared" si="6"/>
        <v>De Meyer Antoon</v>
      </c>
      <c r="D180" s="2" t="e">
        <f>VLOOKUP(Tabel2[[#This Row],[nr]],'data hastus'!A:C,3,FALSE)</f>
        <v>#N/A</v>
      </c>
      <c r="E180" s="2" t="e">
        <f>VLOOKUP(Tabel2[[#This Row],[nr]],'data hastus'!A:C,2,FALSE)</f>
        <v>#N/A</v>
      </c>
      <c r="F180">
        <v>1</v>
      </c>
    </row>
    <row r="181" spans="1:6" x14ac:dyDescent="0.25">
      <c r="A181" s="2" t="s">
        <v>3352</v>
      </c>
      <c r="B181" s="2" t="str">
        <f t="shared" si="5"/>
        <v>38807</v>
      </c>
      <c r="C181" s="2" t="str">
        <f t="shared" si="6"/>
        <v>Dossche Caroline</v>
      </c>
      <c r="D181" s="2" t="e">
        <f>VLOOKUP(Tabel2[[#This Row],[nr]],'data hastus'!A:C,3,FALSE)</f>
        <v>#N/A</v>
      </c>
      <c r="E181" s="2" t="e">
        <f>VLOOKUP(Tabel2[[#This Row],[nr]],'data hastus'!A:C,2,FALSE)</f>
        <v>#N/A</v>
      </c>
      <c r="F181">
        <v>1</v>
      </c>
    </row>
    <row r="182" spans="1:6" x14ac:dyDescent="0.25">
      <c r="A182" s="2" t="s">
        <v>3398</v>
      </c>
      <c r="B182" s="2" t="str">
        <f t="shared" si="5"/>
        <v>38808</v>
      </c>
      <c r="C182" s="2" t="str">
        <f t="shared" si="6"/>
        <v>Wasen Jens</v>
      </c>
      <c r="D182" s="2" t="e">
        <f>VLOOKUP(Tabel2[[#This Row],[nr]],'data hastus'!A:C,3,FALSE)</f>
        <v>#N/A</v>
      </c>
      <c r="E182" s="2" t="e">
        <f>VLOOKUP(Tabel2[[#This Row],[nr]],'data hastus'!A:C,2,FALSE)</f>
        <v>#N/A</v>
      </c>
    </row>
    <row r="183" spans="1:6" x14ac:dyDescent="0.25">
      <c r="A183" s="2" t="s">
        <v>3430</v>
      </c>
      <c r="B183" s="2" t="str">
        <f t="shared" si="5"/>
        <v>37509</v>
      </c>
      <c r="C183" s="2" t="str">
        <f t="shared" si="6"/>
        <v>Abdulkader Sabah</v>
      </c>
      <c r="D183" s="2" t="e">
        <f>VLOOKUP(Tabel2[[#This Row],[nr]],'data hastus'!A:C,3,FALSE)</f>
        <v>#N/A</v>
      </c>
      <c r="E183" s="2" t="e">
        <f>VLOOKUP(Tabel2[[#This Row],[nr]],'data hastus'!A:C,2,FALSE)</f>
        <v>#N/A</v>
      </c>
      <c r="F183">
        <v>1</v>
      </c>
    </row>
    <row r="184" spans="1:6" x14ac:dyDescent="0.25">
      <c r="A184" s="2" t="s">
        <v>3452</v>
      </c>
      <c r="B184" s="2" t="str">
        <f t="shared" si="5"/>
        <v>9824</v>
      </c>
      <c r="C184" s="2" t="str">
        <f t="shared" si="6"/>
        <v>De Meulenaere Eric</v>
      </c>
      <c r="D184" s="2" t="e">
        <f>VLOOKUP(Tabel2[[#This Row],[nr]],'data hastus'!A:C,3,FALSE)</f>
        <v>#N/A</v>
      </c>
      <c r="E184" s="2" t="e">
        <f>VLOOKUP(Tabel2[[#This Row],[nr]],'data hastus'!A:C,2,FALSE)</f>
        <v>#N/A</v>
      </c>
    </row>
    <row r="185" spans="1:6" x14ac:dyDescent="0.25">
      <c r="A185" s="2" t="s">
        <v>3458</v>
      </c>
      <c r="B185" s="2" t="str">
        <f t="shared" si="5"/>
        <v>36820</v>
      </c>
      <c r="C185" s="2" t="str">
        <f t="shared" si="6"/>
        <v>Haché Philip</v>
      </c>
      <c r="D185" s="2" t="e">
        <f>VLOOKUP(Tabel2[[#This Row],[nr]],'data hastus'!A:C,3,FALSE)</f>
        <v>#N/A</v>
      </c>
      <c r="E185" s="2" t="e">
        <f>VLOOKUP(Tabel2[[#This Row],[nr]],'data hastus'!A:C,2,FALSE)</f>
        <v>#N/A</v>
      </c>
      <c r="F185">
        <v>1</v>
      </c>
    </row>
    <row r="186" spans="1:6" x14ac:dyDescent="0.25">
      <c r="A186" s="2" t="s">
        <v>3460</v>
      </c>
      <c r="B186" s="2" t="str">
        <f>LEFT(A186,SEARCH(" ",A186)-1)</f>
        <v>37132</v>
      </c>
      <c r="C186" s="2" t="str">
        <f t="shared" si="6"/>
        <v>Dacic Esmir</v>
      </c>
      <c r="D186" s="2" t="e">
        <f>VLOOKUP(Tabel2[[#This Row],[nr]],'data hastus'!A:C,3,FALSE)</f>
        <v>#N/A</v>
      </c>
      <c r="E186" s="2" t="e">
        <f>VLOOKUP(Tabel2[[#This Row],[nr]],'data hastus'!A:C,2,FALSE)</f>
        <v>#N/A</v>
      </c>
      <c r="F186">
        <v>1</v>
      </c>
    </row>
    <row r="187" spans="1:6" x14ac:dyDescent="0.25">
      <c r="C187" s="2"/>
      <c r="D187" s="2"/>
      <c r="E187" s="2"/>
    </row>
    <row r="188" spans="1:6" x14ac:dyDescent="0.25">
      <c r="C188" s="2"/>
      <c r="D188" s="2"/>
      <c r="E188" s="2"/>
    </row>
    <row r="189" spans="1:6" x14ac:dyDescent="0.25">
      <c r="C189" s="2"/>
      <c r="D189" s="2"/>
      <c r="E189" s="2"/>
    </row>
    <row r="190" spans="1:6" x14ac:dyDescent="0.25">
      <c r="C190" s="2"/>
      <c r="D190" s="2"/>
      <c r="E190" s="2"/>
    </row>
    <row r="191" spans="1:6" x14ac:dyDescent="0.25">
      <c r="C191" s="2"/>
      <c r="D191" s="2"/>
      <c r="E191" s="2"/>
    </row>
    <row r="192" spans="1:6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1"/>
  <sheetViews>
    <sheetView tabSelected="1" topLeftCell="C1" zoomScale="93" zoomScaleNormal="93" workbookViewId="0">
      <pane ySplit="1" topLeftCell="A789" activePane="bottomLeft" state="frozen"/>
      <selection pane="bottomLeft" activeCell="Y821" sqref="Y821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41871</v>
      </c>
      <c r="B2" s="35" t="e">
        <f>_xlfn.CONCAT([2]!bron[[#This Row],[personeelsnr]]," ",C2," ",D2)</f>
        <v>#REF!</v>
      </c>
      <c r="C2" t="str">
        <f>VLOOKUP(bron[[#This Row],[personeelsnr]],'data hastus'!$A:$C,2,0)</f>
        <v>Karanfil</v>
      </c>
      <c r="D2" t="str">
        <f>VLOOKUP(bron[[#This Row],[personeelsnr]],'data hastus'!$A:$C,3,0)</f>
        <v>Ibrahim</v>
      </c>
      <c r="E2" t="str">
        <f>VLOOKUP(bron[[#This Row],[personeelsnr]],'data hastus'!A:K,11,FALSE)</f>
        <v>Dominique De Clercq</v>
      </c>
      <c r="F2" s="10"/>
      <c r="G2" s="7"/>
      <c r="H2" s="7"/>
      <c r="I2" s="7"/>
      <c r="J2" s="5"/>
      <c r="K2" s="5"/>
      <c r="L2" s="5"/>
      <c r="M2" s="5"/>
      <c r="N2" s="5">
        <v>1</v>
      </c>
      <c r="O2" s="5"/>
      <c r="P2" s="5"/>
      <c r="Q2" s="5"/>
      <c r="R2" s="5"/>
      <c r="S2" s="36">
        <f>SUM(bron[[#This Row],[Januari]:[December]])</f>
        <v>1</v>
      </c>
      <c r="T2" s="9">
        <v>45884</v>
      </c>
      <c r="U2" s="24" t="s">
        <v>3466</v>
      </c>
      <c r="V2" s="24">
        <v>1</v>
      </c>
      <c r="W2" s="24"/>
      <c r="X2" t="s">
        <v>57</v>
      </c>
      <c r="Y2" t="s">
        <v>72</v>
      </c>
      <c r="Z2"/>
      <c r="AA2"/>
      <c r="AB2"/>
      <c r="AC2"/>
      <c r="AD2"/>
    </row>
    <row r="3" spans="1:30" s="15" customFormat="1" x14ac:dyDescent="0.25">
      <c r="A3">
        <v>38740</v>
      </c>
      <c r="B3" t="e">
        <f>_xlfn.CONCAT([2]!bron[[#This Row],[personeelsnr]]," ",C3," ",D3)</f>
        <v>#REF!</v>
      </c>
      <c r="C3" t="str">
        <f>VLOOKUP(bron[[#This Row],[personeelsnr]],'data hastus'!$A:$C,2,0)</f>
        <v>Meskens</v>
      </c>
      <c r="D3" t="str">
        <f>VLOOKUP(bron[[#This Row],[personeelsnr]],'data hastus'!$A:$C,3,0)</f>
        <v>Anthony</v>
      </c>
      <c r="E3" t="str">
        <f>VLOOKUP(bron[[#This Row],[personeelsnr]],'data hastus'!A:K,11,FALSE)</f>
        <v>Christoff Rotty</v>
      </c>
      <c r="F3" s="10"/>
      <c r="G3" s="7"/>
      <c r="H3" s="7"/>
      <c r="I3" s="7"/>
      <c r="J3" s="5"/>
      <c r="K3" s="5"/>
      <c r="L3" s="5"/>
      <c r="M3" s="5"/>
      <c r="N3" s="5">
        <v>1</v>
      </c>
      <c r="O3" s="5"/>
      <c r="P3" s="5"/>
      <c r="Q3" s="5"/>
      <c r="R3" s="5"/>
      <c r="S3" s="5">
        <f>SUM(bron[[#This Row],[Januari]:[December]])</f>
        <v>1</v>
      </c>
      <c r="T3" s="9">
        <v>45879</v>
      </c>
      <c r="U3" s="24" t="s">
        <v>2950</v>
      </c>
      <c r="V3" s="24"/>
      <c r="W3" s="24">
        <v>1</v>
      </c>
      <c r="X3" t="s">
        <v>58</v>
      </c>
      <c r="Y3" t="s">
        <v>19</v>
      </c>
      <c r="Z3"/>
      <c r="AA3"/>
      <c r="AB3"/>
      <c r="AC3"/>
      <c r="AD3"/>
    </row>
    <row r="4" spans="1:30" x14ac:dyDescent="0.25">
      <c r="A4">
        <v>41092</v>
      </c>
      <c r="B4" t="e">
        <f>_xlfn.CONCAT([2]!bron[[#This Row],[personeelsnr]]," ",C4," ",D4)</f>
        <v>#REF!</v>
      </c>
      <c r="C4" t="str">
        <f>VLOOKUP(bron[[#This Row],[personeelsnr]],'data hastus'!$A:$C,2,0)</f>
        <v>De Keyser</v>
      </c>
      <c r="D4" t="str">
        <f>VLOOKUP(bron[[#This Row],[personeelsnr]],'data hastus'!$A:$C,3,0)</f>
        <v>Dorien</v>
      </c>
      <c r="E4" t="str">
        <f>VLOOKUP(bron[[#This Row],[personeelsnr]],'data hastus'!A:K,11,FALSE)</f>
        <v>Dominique De Clercq</v>
      </c>
      <c r="F4" s="10"/>
      <c r="G4" s="7"/>
      <c r="H4" s="7"/>
      <c r="I4" s="7"/>
      <c r="N4" s="5">
        <v>1</v>
      </c>
      <c r="S4" s="5">
        <f>SUM(bron[[#This Row],[Januari]:[December]])</f>
        <v>1</v>
      </c>
      <c r="T4" s="9">
        <v>45878</v>
      </c>
      <c r="U4" s="8" t="s">
        <v>2943</v>
      </c>
      <c r="V4" s="24">
        <v>1</v>
      </c>
      <c r="W4" s="24"/>
      <c r="X4" t="s">
        <v>57</v>
      </c>
      <c r="Y4" t="s">
        <v>2942</v>
      </c>
    </row>
    <row r="5" spans="1:30" x14ac:dyDescent="0.25">
      <c r="A5">
        <v>37254</v>
      </c>
      <c r="B5" t="e">
        <f>_xlfn.CONCAT([2]!bron[[#This Row],[personeelsnr]]," ",C5," ",D5)</f>
        <v>#REF!</v>
      </c>
      <c r="C5" t="str">
        <f>VLOOKUP(bron[[#This Row],[personeelsnr]],'data hastus'!$A:$C,2,0)</f>
        <v>Coulon</v>
      </c>
      <c r="D5" t="str">
        <f>VLOOKUP(bron[[#This Row],[personeelsnr]],'data hastus'!$A:$C,3,0)</f>
        <v>Rayan</v>
      </c>
      <c r="E5" t="str">
        <f>VLOOKUP(bron[[#This Row],[personeelsnr]],'data hastus'!A:K,11,FALSE)</f>
        <v>Kenneth De Rick</v>
      </c>
      <c r="F5" s="10"/>
      <c r="G5" s="7"/>
      <c r="H5" s="7"/>
      <c r="I5" s="7"/>
      <c r="N5" s="5">
        <v>1</v>
      </c>
      <c r="S5" s="5">
        <f>SUM(bron[[#This Row],[Januari]:[December]])</f>
        <v>1</v>
      </c>
      <c r="T5" s="9">
        <v>45876</v>
      </c>
      <c r="U5" s="24" t="s">
        <v>2945</v>
      </c>
      <c r="V5" s="24">
        <v>1</v>
      </c>
      <c r="W5" s="24"/>
      <c r="X5" t="s">
        <v>57</v>
      </c>
      <c r="Y5" t="s">
        <v>20</v>
      </c>
    </row>
    <row r="6" spans="1:30" x14ac:dyDescent="0.25">
      <c r="A6">
        <v>41874</v>
      </c>
      <c r="B6" t="e">
        <f>_xlfn.CONCAT([2]!bron[[#This Row],[personeelsnr]]," ",C6," ",D6)</f>
        <v>#REF!</v>
      </c>
      <c r="C6" t="str">
        <f>VLOOKUP(bron[[#This Row],[personeelsnr]],'data hastus'!$A:$C,2,0)</f>
        <v>Dobbeleire</v>
      </c>
      <c r="D6" t="str">
        <f>VLOOKUP(bron[[#This Row],[personeelsnr]],'data hastus'!$A:$C,3,0)</f>
        <v>Bruno</v>
      </c>
      <c r="E6" t="str">
        <f>VLOOKUP(bron[[#This Row],[personeelsnr]],'data hastus'!A:K,11,FALSE)</f>
        <v>Dominique De Clercq</v>
      </c>
      <c r="F6" s="10"/>
      <c r="G6" s="7"/>
      <c r="H6" s="7"/>
      <c r="I6" s="7"/>
      <c r="N6" s="5">
        <v>1</v>
      </c>
      <c r="S6" s="5">
        <f>SUM(bron[[#This Row],[Januari]:[December]])</f>
        <v>1</v>
      </c>
      <c r="T6" s="9">
        <v>45876</v>
      </c>
      <c r="U6" s="24" t="s">
        <v>2944</v>
      </c>
      <c r="V6" s="24">
        <v>1</v>
      </c>
      <c r="W6" s="24"/>
      <c r="X6" t="s">
        <v>57</v>
      </c>
      <c r="Y6" t="s">
        <v>22</v>
      </c>
    </row>
    <row r="7" spans="1:30" x14ac:dyDescent="0.25">
      <c r="A7">
        <v>41162</v>
      </c>
      <c r="B7" t="e">
        <f>_xlfn.CONCAT([2]!bron[[#This Row],[personeelsnr]]," ",C7," ",D7)</f>
        <v>#REF!</v>
      </c>
      <c r="C7" t="str">
        <f>VLOOKUP(bron[[#This Row],[personeelsnr]],'data hastus'!$A:$C,2,0)</f>
        <v>Hoeckman</v>
      </c>
      <c r="D7" t="str">
        <f>VLOOKUP(bron[[#This Row],[personeelsnr]],'data hastus'!$A:$C,3,0)</f>
        <v>Jeroen</v>
      </c>
      <c r="E7" t="str">
        <f>VLOOKUP(bron[[#This Row],[personeelsnr]],'data hastus'!A:K,11,FALSE)</f>
        <v>Dominique De Clercq</v>
      </c>
      <c r="F7" s="10"/>
      <c r="G7" s="7"/>
      <c r="H7" s="7"/>
      <c r="I7" s="7"/>
      <c r="N7" s="5">
        <v>1</v>
      </c>
      <c r="S7" s="5">
        <f>SUM(bron[[#This Row],[Januari]:[December]])</f>
        <v>1</v>
      </c>
      <c r="T7" s="9">
        <v>45874</v>
      </c>
      <c r="U7" s="24" t="s">
        <v>2939</v>
      </c>
      <c r="V7" s="24">
        <v>1</v>
      </c>
      <c r="W7" s="24"/>
      <c r="X7" t="s">
        <v>57</v>
      </c>
      <c r="Y7" t="s">
        <v>28</v>
      </c>
    </row>
    <row r="8" spans="1:30" x14ac:dyDescent="0.25">
      <c r="A8">
        <v>37345</v>
      </c>
      <c r="B8" t="e">
        <f>_xlfn.CONCAT([2]!bron[[#This Row],[personeelsnr]]," ",C8," ",D8)</f>
        <v>#REF!</v>
      </c>
      <c r="C8" t="str">
        <f>VLOOKUP(bron[[#This Row],[personeelsnr]],'data hastus'!$A:$C,2,0)</f>
        <v>Walleyn</v>
      </c>
      <c r="D8" t="str">
        <f>VLOOKUP(bron[[#This Row],[personeelsnr]],'data hastus'!$A:$C,3,0)</f>
        <v>Renaat</v>
      </c>
      <c r="E8" t="str">
        <f>VLOOKUP(bron[[#This Row],[personeelsnr]],'data hastus'!A:K,11,FALSE)</f>
        <v>Lucie Vande Velde</v>
      </c>
      <c r="F8" s="10"/>
      <c r="G8" s="7"/>
      <c r="H8" s="7"/>
      <c r="I8" s="7"/>
      <c r="N8" s="5">
        <v>1</v>
      </c>
      <c r="S8" s="5">
        <f>SUM(bron[[#This Row],[Januari]:[December]])</f>
        <v>1</v>
      </c>
      <c r="T8" s="9">
        <v>45874</v>
      </c>
      <c r="U8" s="24" t="s">
        <v>2940</v>
      </c>
      <c r="V8" s="24">
        <v>1</v>
      </c>
      <c r="W8" s="24"/>
      <c r="X8" t="s">
        <v>57</v>
      </c>
      <c r="Y8" t="s">
        <v>18</v>
      </c>
    </row>
    <row r="9" spans="1:30" x14ac:dyDescent="0.25">
      <c r="A9">
        <v>40859</v>
      </c>
      <c r="B9" t="e">
        <f>_xlfn.CONCAT([2]!bron[[#This Row],[personeelsnr]]," ",C9," ",D9)</f>
        <v>#REF!</v>
      </c>
      <c r="C9" t="str">
        <f>VLOOKUP(bron[[#This Row],[personeelsnr]],'data hastus'!$A:$C,2,0)</f>
        <v>Yagoub</v>
      </c>
      <c r="D9" t="str">
        <f>VLOOKUP(bron[[#This Row],[personeelsnr]],'data hastus'!$A:$C,3,0)</f>
        <v>Abdelali</v>
      </c>
      <c r="E9" t="str">
        <f>VLOOKUP(bron[[#This Row],[personeelsnr]],'data hastus'!A:K,11,FALSE)</f>
        <v>Els Vanhoe</v>
      </c>
      <c r="F9" s="10"/>
      <c r="G9" s="7"/>
      <c r="H9" s="7"/>
      <c r="I9" s="7"/>
      <c r="N9" s="5">
        <v>1</v>
      </c>
      <c r="S9" s="5">
        <f>SUM(bron[[#This Row],[Januari]:[December]])</f>
        <v>1</v>
      </c>
      <c r="T9" s="9">
        <v>45872</v>
      </c>
      <c r="U9" s="8" t="s">
        <v>2925</v>
      </c>
      <c r="V9" s="24">
        <v>1</v>
      </c>
      <c r="W9" s="24"/>
      <c r="X9" t="s">
        <v>57</v>
      </c>
      <c r="Y9" t="s">
        <v>2924</v>
      </c>
    </row>
    <row r="10" spans="1:30" x14ac:dyDescent="0.25">
      <c r="A10">
        <v>40138</v>
      </c>
      <c r="B10" t="e">
        <f>_xlfn.CONCAT([2]!bron[[#This Row],[personeelsnr]]," ",C10," ",D10)</f>
        <v>#REF!</v>
      </c>
      <c r="C10" t="str">
        <f>VLOOKUP(bron[[#This Row],[personeelsnr]],'data hastus'!$A:$C,2,0)</f>
        <v>Moerman</v>
      </c>
      <c r="D10" t="str">
        <f>VLOOKUP(bron[[#This Row],[personeelsnr]],'data hastus'!$A:$C,3,0)</f>
        <v>Tjimmy</v>
      </c>
      <c r="E10" t="str">
        <f>VLOOKUP(bron[[#This Row],[personeelsnr]],'data hastus'!A:K,11,FALSE)</f>
        <v>Christoff Rotty</v>
      </c>
      <c r="F10" s="10"/>
      <c r="G10" s="7"/>
      <c r="H10" s="7"/>
      <c r="I10" s="7"/>
      <c r="N10" s="5">
        <v>1</v>
      </c>
      <c r="S10" s="5">
        <f>SUM(bron[[#This Row],[Januari]:[December]])</f>
        <v>1</v>
      </c>
      <c r="T10" s="9">
        <v>45871</v>
      </c>
      <c r="U10" s="8" t="s">
        <v>3291</v>
      </c>
      <c r="V10" s="24">
        <v>1</v>
      </c>
      <c r="W10" s="24"/>
      <c r="X10" t="s">
        <v>57</v>
      </c>
      <c r="Y10" t="s">
        <v>24</v>
      </c>
    </row>
    <row r="11" spans="1:30" x14ac:dyDescent="0.25">
      <c r="A11">
        <v>41296</v>
      </c>
      <c r="B11" t="e">
        <f>_xlfn.CONCAT([2]!bron[[#This Row],[personeelsnr]]," ",C11," ",D11)</f>
        <v>#REF!</v>
      </c>
      <c r="C11" t="str">
        <f>VLOOKUP(bron[[#This Row],[personeelsnr]],'data hastus'!$A:$C,2,0)</f>
        <v>Abulehia</v>
      </c>
      <c r="D11" t="str">
        <f>VLOOKUP(bron[[#This Row],[personeelsnr]],'data hastus'!$A:$C,3,0)</f>
        <v>Oday</v>
      </c>
      <c r="E11" t="str">
        <f>VLOOKUP(bron[[#This Row],[personeelsnr]],'data hastus'!A:K,11,FALSE)</f>
        <v>Christoff Rotty</v>
      </c>
      <c r="F11" s="10"/>
      <c r="G11" s="7"/>
      <c r="H11" s="7"/>
      <c r="I11" s="7"/>
      <c r="M11" s="5">
        <v>1</v>
      </c>
      <c r="S11" s="5">
        <f>SUM(bron[[#This Row],[Januari]:[December]])</f>
        <v>1</v>
      </c>
      <c r="T11" s="9">
        <v>45867</v>
      </c>
      <c r="U11" s="24" t="s">
        <v>2948</v>
      </c>
      <c r="V11" s="24">
        <v>1</v>
      </c>
      <c r="W11" s="24"/>
      <c r="X11" t="s">
        <v>57</v>
      </c>
      <c r="Y11" t="s">
        <v>2949</v>
      </c>
    </row>
    <row r="12" spans="1:30" x14ac:dyDescent="0.25">
      <c r="A12">
        <v>41007</v>
      </c>
      <c r="B12" t="str">
        <f>_xlfn.CONCAT([2]!bron[[#This Row],[personeelsnr]]," ",C12," ",D12)</f>
        <v>41007 Sogut Cagri</v>
      </c>
      <c r="C12" t="s">
        <v>1320</v>
      </c>
      <c r="D12" t="s">
        <v>2946</v>
      </c>
      <c r="E12" t="s">
        <v>2926</v>
      </c>
      <c r="F12" s="10"/>
      <c r="G12" s="7"/>
      <c r="H12" s="7"/>
      <c r="I12" s="7"/>
      <c r="M12" s="5">
        <v>1</v>
      </c>
      <c r="S12" s="5">
        <f>SUM(bron[[#This Row],[Januari]:[December]])</f>
        <v>1</v>
      </c>
      <c r="T12" s="9">
        <v>45867</v>
      </c>
      <c r="U12" s="24" t="s">
        <v>2947</v>
      </c>
      <c r="V12" s="24">
        <v>1</v>
      </c>
      <c r="W12" s="24"/>
      <c r="X12" t="s">
        <v>57</v>
      </c>
      <c r="Y12" t="s">
        <v>29</v>
      </c>
    </row>
    <row r="13" spans="1:30" x14ac:dyDescent="0.25">
      <c r="A13">
        <v>39673</v>
      </c>
      <c r="B13" t="e">
        <f>_xlfn.CONCAT([2]!bron[[#This Row],[personeelsnr]]," ",C13," ",D13)</f>
        <v>#REF!</v>
      </c>
      <c r="C13" t="str">
        <f>VLOOKUP(bron[[#This Row],[personeelsnr]],'data hastus'!$A:$C,2,0)</f>
        <v>Steurbaut</v>
      </c>
      <c r="D13" t="str">
        <f>VLOOKUP(bron[[#This Row],[personeelsnr]],'data hastus'!$A:$C,3,0)</f>
        <v>Henri</v>
      </c>
      <c r="E13" t="str">
        <f>VLOOKUP(bron[[#This Row],[personeelsnr]],'data hastus'!A:K,11,FALSE)</f>
        <v>Els Vanhoe</v>
      </c>
      <c r="F13" s="10"/>
      <c r="G13" s="7"/>
      <c r="H13" s="7"/>
      <c r="I13" s="7"/>
      <c r="M13" s="5">
        <v>1</v>
      </c>
      <c r="S13" s="5">
        <f>SUM(bron[[#This Row],[Januari]:[December]])</f>
        <v>1</v>
      </c>
      <c r="T13" s="9">
        <v>45866</v>
      </c>
      <c r="U13" s="8" t="s">
        <v>3255</v>
      </c>
      <c r="V13" s="24">
        <v>1</v>
      </c>
      <c r="W13" s="24"/>
      <c r="X13" t="s">
        <v>57</v>
      </c>
      <c r="Y13" t="s">
        <v>2912</v>
      </c>
    </row>
    <row r="14" spans="1:30" x14ac:dyDescent="0.25">
      <c r="A14">
        <v>12819</v>
      </c>
      <c r="B14" t="e">
        <f>_xlfn.CONCAT([2]!bron[[#This Row],[personeelsnr]]," ",C14," ",D14)</f>
        <v>#REF!</v>
      </c>
      <c r="C14" t="str">
        <f>VLOOKUP(bron[[#This Row],[personeelsnr]],'data hastus'!$A:$C,2,0)</f>
        <v>Van Eenaeme</v>
      </c>
      <c r="D14" t="str">
        <f>VLOOKUP(bron[[#This Row],[personeelsnr]],'data hastus'!$A:$C,3,0)</f>
        <v>David</v>
      </c>
      <c r="E14" t="str">
        <f>VLOOKUP(bron[[#This Row],[personeelsnr]],'data hastus'!A:K,11,FALSE)</f>
        <v>Bart Van Der Beken</v>
      </c>
      <c r="F14" s="10"/>
      <c r="G14" s="7"/>
      <c r="H14" s="7"/>
      <c r="I14" s="7"/>
      <c r="M14" s="5">
        <v>1</v>
      </c>
      <c r="S14" s="5">
        <f>SUM(bron[[#This Row],[Januari]:[December]])</f>
        <v>1</v>
      </c>
      <c r="T14" s="9">
        <v>45863</v>
      </c>
      <c r="U14" s="8" t="s">
        <v>3260</v>
      </c>
      <c r="V14" s="24">
        <v>1</v>
      </c>
      <c r="W14" s="24"/>
      <c r="X14" t="s">
        <v>57</v>
      </c>
      <c r="Y14" t="s">
        <v>59</v>
      </c>
    </row>
    <row r="15" spans="1:30" x14ac:dyDescent="0.25">
      <c r="A15">
        <v>23918</v>
      </c>
      <c r="B15" t="e">
        <f>_xlfn.CONCAT([2]!bron[[#This Row],[personeelsnr]]," ",C15," ",D15)</f>
        <v>#REF!</v>
      </c>
      <c r="C15" t="str">
        <f>VLOOKUP(bron[[#This Row],[personeelsnr]],'data hastus'!$A:$C,2,0)</f>
        <v>D'Haeyere</v>
      </c>
      <c r="D15" t="str">
        <f>VLOOKUP(bron[[#This Row],[personeelsnr]],'data hastus'!$A:$C,3,0)</f>
        <v>Bernard</v>
      </c>
      <c r="E15" t="str">
        <f>VLOOKUP(bron[[#This Row],[personeelsnr]],'data hastus'!A:K,11,FALSE)</f>
        <v>Els Vanhoe</v>
      </c>
      <c r="F15" s="10"/>
      <c r="G15" s="7"/>
      <c r="H15" s="7"/>
      <c r="I15" s="7"/>
      <c r="M15" s="5">
        <v>1</v>
      </c>
      <c r="S15" s="5">
        <f>SUM(bron[[#This Row],[Januari]:[December]])</f>
        <v>1</v>
      </c>
      <c r="T15" s="9">
        <v>45862</v>
      </c>
      <c r="U15" s="8" t="s">
        <v>3257</v>
      </c>
      <c r="V15" s="24">
        <v>1</v>
      </c>
      <c r="W15" s="24"/>
      <c r="X15" t="s">
        <v>57</v>
      </c>
      <c r="Y15" t="s">
        <v>29</v>
      </c>
    </row>
    <row r="16" spans="1:30" x14ac:dyDescent="0.25">
      <c r="A16">
        <v>11213</v>
      </c>
      <c r="B16" t="e">
        <f>_xlfn.CONCAT([2]!bron[[#This Row],[personeelsnr]]," ",C16," ",D16)</f>
        <v>#REF!</v>
      </c>
      <c r="C16" t="str">
        <f>VLOOKUP(bron[[#This Row],[personeelsnr]],'data hastus'!$A:$C,2,0)</f>
        <v>De Plus</v>
      </c>
      <c r="D16" t="str">
        <f>VLOOKUP(bron[[#This Row],[personeelsnr]],'data hastus'!$A:$C,3,0)</f>
        <v>Gunter</v>
      </c>
      <c r="E16" t="str">
        <f>VLOOKUP(bron[[#This Row],[personeelsnr]],'data hastus'!A:K,11,FALSE)</f>
        <v>Bart Van Der Beken</v>
      </c>
      <c r="F16" s="10"/>
      <c r="G16" s="7"/>
      <c r="H16" s="7"/>
      <c r="I16" s="7"/>
      <c r="M16" s="5">
        <v>1</v>
      </c>
      <c r="S16" s="5">
        <f>SUM(bron[[#This Row],[Januari]:[December]])</f>
        <v>1</v>
      </c>
      <c r="T16" s="9">
        <v>45862</v>
      </c>
      <c r="U16" s="8" t="s">
        <v>3263</v>
      </c>
      <c r="V16" s="24"/>
      <c r="W16" s="24">
        <v>1</v>
      </c>
      <c r="X16" t="s">
        <v>58</v>
      </c>
      <c r="Y16" t="s">
        <v>2908</v>
      </c>
    </row>
    <row r="17" spans="1:25" x14ac:dyDescent="0.25">
      <c r="A17">
        <v>41162</v>
      </c>
      <c r="B17" t="e">
        <f>_xlfn.CONCAT([2]!bron[[#This Row],[personeelsnr]]," ",C17," ",D17)</f>
        <v>#REF!</v>
      </c>
      <c r="C17" t="str">
        <f>VLOOKUP(bron[[#This Row],[personeelsnr]],'data hastus'!$A:$C,2,0)</f>
        <v>Hoeckman</v>
      </c>
      <c r="D17" t="str">
        <f>VLOOKUP(bron[[#This Row],[personeelsnr]],'data hastus'!$A:$C,3,0)</f>
        <v>Jeroen</v>
      </c>
      <c r="E17" t="str">
        <f>VLOOKUP(bron[[#This Row],[personeelsnr]],'data hastus'!A:K,11,FALSE)</f>
        <v>Dominique De Clercq</v>
      </c>
      <c r="F17" s="10"/>
      <c r="G17" s="7"/>
      <c r="H17" s="7"/>
      <c r="I17" s="7"/>
      <c r="M17" s="5">
        <v>1</v>
      </c>
      <c r="S17" s="5">
        <f>SUM(bron[[#This Row],[Januari]:[December]])</f>
        <v>1</v>
      </c>
      <c r="T17" s="9">
        <v>45861</v>
      </c>
      <c r="U17" s="8" t="s">
        <v>3251</v>
      </c>
      <c r="V17" s="24">
        <v>1</v>
      </c>
      <c r="W17" s="24"/>
      <c r="X17" t="s">
        <v>57</v>
      </c>
      <c r="Y17" t="s">
        <v>2920</v>
      </c>
    </row>
    <row r="18" spans="1:25" x14ac:dyDescent="0.25">
      <c r="A18">
        <v>39581</v>
      </c>
      <c r="B18" t="e">
        <f>_xlfn.CONCAT([2]!bron[[#This Row],[personeelsnr]]," ",C18," ",D18)</f>
        <v>#REF!</v>
      </c>
      <c r="C18" t="str">
        <f>VLOOKUP(bron[[#This Row],[personeelsnr]],'data hastus'!$A:$C,2,0)</f>
        <v>Vandenhaute</v>
      </c>
      <c r="D18" t="str">
        <f>VLOOKUP(bron[[#This Row],[personeelsnr]],'data hastus'!$A:$C,3,0)</f>
        <v>Linus</v>
      </c>
      <c r="E18" t="str">
        <f>VLOOKUP(bron[[#This Row],[personeelsnr]],'data hastus'!A:K,11,FALSE)</f>
        <v>Els Dewulf</v>
      </c>
      <c r="F18" s="10"/>
      <c r="G18" s="7"/>
      <c r="H18" s="7"/>
      <c r="I18" s="7"/>
      <c r="M18" s="5">
        <v>1</v>
      </c>
      <c r="S18" s="5">
        <f>SUM(bron[[#This Row],[Januari]:[December]])</f>
        <v>1</v>
      </c>
      <c r="T18" s="9">
        <v>45861</v>
      </c>
      <c r="U18" s="8" t="s">
        <v>3264</v>
      </c>
      <c r="V18" s="24">
        <v>1</v>
      </c>
      <c r="W18" s="24"/>
      <c r="X18" t="s">
        <v>57</v>
      </c>
      <c r="Y18" t="s">
        <v>35</v>
      </c>
    </row>
    <row r="19" spans="1:25" x14ac:dyDescent="0.25">
      <c r="A19">
        <v>35397</v>
      </c>
      <c r="B19" t="e">
        <f>_xlfn.CONCAT([2]!bron[[#This Row],[personeelsnr]]," ",C19," ",D19)</f>
        <v>#REF!</v>
      </c>
      <c r="C19" t="str">
        <f>VLOOKUP(bron[[#This Row],[personeelsnr]],'data hastus'!$A:$C,2,0)</f>
        <v>Minbari</v>
      </c>
      <c r="D19" t="str">
        <f>VLOOKUP(bron[[#This Row],[personeelsnr]],'data hastus'!$A:$C,3,0)</f>
        <v>Ako</v>
      </c>
      <c r="E19" t="str">
        <f>VLOOKUP(bron[[#This Row],[personeelsnr]],'data hastus'!A:K,11,FALSE)</f>
        <v>Lucie Vande Velde</v>
      </c>
      <c r="F19" s="10"/>
      <c r="G19" s="7"/>
      <c r="H19" s="7"/>
      <c r="I19" s="7"/>
      <c r="M19" s="5">
        <v>1</v>
      </c>
      <c r="S19" s="5">
        <f>SUM(bron[[#This Row],[Januari]:[December]])</f>
        <v>1</v>
      </c>
      <c r="T19" s="9">
        <v>45861</v>
      </c>
      <c r="U19" s="8" t="s">
        <v>3250</v>
      </c>
      <c r="V19" s="24"/>
      <c r="W19" s="24">
        <v>1</v>
      </c>
      <c r="X19" t="s">
        <v>58</v>
      </c>
      <c r="Y19" t="s">
        <v>139</v>
      </c>
    </row>
    <row r="20" spans="1:25" x14ac:dyDescent="0.25">
      <c r="A20">
        <v>41137</v>
      </c>
      <c r="B20" t="e">
        <f>_xlfn.CONCAT([2]!bron[[#This Row],[personeelsnr]]," ",C20," ",D20)</f>
        <v>#REF!</v>
      </c>
      <c r="C20" t="str">
        <f>VLOOKUP(bron[[#This Row],[personeelsnr]],'data hastus'!$A:$C,2,0)</f>
        <v>De smet</v>
      </c>
      <c r="D20" t="str">
        <f>VLOOKUP(bron[[#This Row],[personeelsnr]],'data hastus'!$A:$C,3,0)</f>
        <v>Dirk</v>
      </c>
      <c r="E20" t="str">
        <f>VLOOKUP(bron[[#This Row],[personeelsnr]],'data hastus'!A:K,11,FALSE)</f>
        <v>Dominique De Clercq</v>
      </c>
      <c r="F20" s="10"/>
      <c r="G20" s="7"/>
      <c r="H20" s="7"/>
      <c r="I20" s="7"/>
      <c r="M20" s="5">
        <v>1</v>
      </c>
      <c r="S20" s="5">
        <f>SUM(bron[[#This Row],[Januari]:[December]])</f>
        <v>1</v>
      </c>
      <c r="T20" s="9">
        <v>45859</v>
      </c>
      <c r="U20" s="24" t="s">
        <v>3028</v>
      </c>
      <c r="V20" s="24">
        <v>1</v>
      </c>
      <c r="W20" s="24"/>
      <c r="X20" t="s">
        <v>57</v>
      </c>
      <c r="Y20" t="s">
        <v>157</v>
      </c>
    </row>
    <row r="21" spans="1:25" x14ac:dyDescent="0.25">
      <c r="A21">
        <v>26331</v>
      </c>
      <c r="B21" t="e">
        <f>_xlfn.CONCAT([2]!bron[[#This Row],[personeelsnr]]," ",C21," ",D21)</f>
        <v>#REF!</v>
      </c>
      <c r="C21" t="str">
        <f>VLOOKUP(bron[[#This Row],[personeelsnr]],'data hastus'!$A:$C,2,0)</f>
        <v>Van Semmertier</v>
      </c>
      <c r="D21" t="str">
        <f>VLOOKUP(bron[[#This Row],[personeelsnr]],'data hastus'!$A:$C,3,0)</f>
        <v>Pascal</v>
      </c>
      <c r="E21" t="str">
        <f>VLOOKUP(bron[[#This Row],[personeelsnr]],'data hastus'!A:K,11,FALSE)</f>
        <v>Bart Van Der Beken</v>
      </c>
      <c r="F21" s="10"/>
      <c r="G21" s="7"/>
      <c r="H21" s="7"/>
      <c r="I21" s="7"/>
      <c r="M21" s="5">
        <v>1</v>
      </c>
      <c r="S21" s="5">
        <f>SUM(bron[[#This Row],[Januari]:[December]])</f>
        <v>1</v>
      </c>
      <c r="T21" s="9">
        <v>45857</v>
      </c>
      <c r="U21" s="8" t="s">
        <v>3256</v>
      </c>
      <c r="V21" s="24">
        <v>1</v>
      </c>
      <c r="W21" s="24"/>
      <c r="X21" t="s">
        <v>57</v>
      </c>
      <c r="Y21" t="s">
        <v>2911</v>
      </c>
    </row>
    <row r="22" spans="1:25" x14ac:dyDescent="0.25">
      <c r="A22">
        <v>30271</v>
      </c>
      <c r="B22" t="e">
        <f>_xlfn.CONCAT([2]!bron[[#This Row],[personeelsnr]]," ",C22," ",D22)</f>
        <v>#REF!</v>
      </c>
      <c r="C22" t="str">
        <f>VLOOKUP(bron[[#This Row],[personeelsnr]],'data hastus'!$A:$C,2,0)</f>
        <v>Bracke</v>
      </c>
      <c r="D22" t="str">
        <f>VLOOKUP(bron[[#This Row],[personeelsnr]],'data hastus'!$A:$C,3,0)</f>
        <v>Jeroen</v>
      </c>
      <c r="E22" t="str">
        <f>VLOOKUP(bron[[#This Row],[personeelsnr]],'data hastus'!A:K,11,FALSE)</f>
        <v>Els Dewulf</v>
      </c>
      <c r="F22" s="10"/>
      <c r="G22" s="7"/>
      <c r="H22" s="7"/>
      <c r="I22" s="7"/>
      <c r="M22" s="5">
        <v>1</v>
      </c>
      <c r="S22" s="5">
        <f>SUM(bron[[#This Row],[Januari]:[December]])</f>
        <v>1</v>
      </c>
      <c r="T22" s="9">
        <v>45854</v>
      </c>
      <c r="U22" s="8" t="s">
        <v>3262</v>
      </c>
      <c r="V22" s="24">
        <v>1</v>
      </c>
      <c r="W22" s="24"/>
      <c r="X22" t="s">
        <v>57</v>
      </c>
      <c r="Y22" t="s">
        <v>18</v>
      </c>
    </row>
    <row r="23" spans="1:25" x14ac:dyDescent="0.25">
      <c r="A23">
        <v>12684</v>
      </c>
      <c r="B23" t="e">
        <f>_xlfn.CONCAT([2]!bron[[#This Row],[personeelsnr]]," ",C23," ",D23)</f>
        <v>#REF!</v>
      </c>
      <c r="C23" t="str">
        <f>VLOOKUP(bron[[#This Row],[personeelsnr]],'data hastus'!$A:$C,2,0)</f>
        <v>Van Den Bossche</v>
      </c>
      <c r="D23" t="str">
        <f>VLOOKUP(bron[[#This Row],[personeelsnr]],'data hastus'!$A:$C,3,0)</f>
        <v>Martine</v>
      </c>
      <c r="E23" t="str">
        <f>VLOOKUP(bron[[#This Row],[personeelsnr]],'data hastus'!A:K,11,FALSE)</f>
        <v>Els Vanhoe</v>
      </c>
      <c r="F23" s="10"/>
      <c r="G23" s="7"/>
      <c r="H23" s="7"/>
      <c r="I23" s="7"/>
      <c r="M23" s="5">
        <v>1</v>
      </c>
      <c r="S23" s="5">
        <f>SUM(bron[[#This Row],[Januari]:[December]])</f>
        <v>1</v>
      </c>
      <c r="T23" s="9">
        <v>45853</v>
      </c>
      <c r="U23" s="8" t="s">
        <v>3265</v>
      </c>
      <c r="V23" s="24">
        <v>1</v>
      </c>
      <c r="W23" s="24"/>
      <c r="X23" t="s">
        <v>57</v>
      </c>
      <c r="Y23" t="s">
        <v>155</v>
      </c>
    </row>
    <row r="24" spans="1:25" x14ac:dyDescent="0.25">
      <c r="A24">
        <v>19917</v>
      </c>
      <c r="B24" t="e">
        <f>_xlfn.CONCAT([2]!bron[[#This Row],[personeelsnr]]," ",C24," ",D24)</f>
        <v>#REF!</v>
      </c>
      <c r="C24" t="str">
        <f>VLOOKUP(bron[[#This Row],[personeelsnr]],'data hastus'!$A:$C,2,0)</f>
        <v>Vandevyvere</v>
      </c>
      <c r="D24" t="str">
        <f>VLOOKUP(bron[[#This Row],[personeelsnr]],'data hastus'!$A:$C,3,0)</f>
        <v>Frank</v>
      </c>
      <c r="E24" t="str">
        <f>VLOOKUP(bron[[#This Row],[personeelsnr]],'data hastus'!A:K,11,FALSE)</f>
        <v>Bart Van Der Beken</v>
      </c>
      <c r="F24" s="10"/>
      <c r="G24" s="7"/>
      <c r="H24" s="7"/>
      <c r="I24" s="7"/>
      <c r="M24" s="5">
        <v>1</v>
      </c>
      <c r="S24" s="5">
        <f>SUM(bron[[#This Row],[Januari]:[December]])</f>
        <v>1</v>
      </c>
      <c r="T24" s="9">
        <v>45853</v>
      </c>
      <c r="U24" s="8" t="s">
        <v>3267</v>
      </c>
      <c r="V24" s="24">
        <v>1</v>
      </c>
      <c r="W24" s="24"/>
      <c r="X24" t="s">
        <v>57</v>
      </c>
      <c r="Y24" t="s">
        <v>41</v>
      </c>
    </row>
    <row r="25" spans="1:25" x14ac:dyDescent="0.25">
      <c r="A25">
        <v>36577</v>
      </c>
      <c r="B25" t="e">
        <f>_xlfn.CONCAT([2]!bron[[#This Row],[personeelsnr]]," ",C25," ",D25)</f>
        <v>#REF!</v>
      </c>
      <c r="C25" t="str">
        <f>VLOOKUP(bron[[#This Row],[personeelsnr]],'data hastus'!$A:$C,2,0)</f>
        <v>De Smet</v>
      </c>
      <c r="D25" t="str">
        <f>VLOOKUP(bron[[#This Row],[personeelsnr]],'data hastus'!$A:$C,3,0)</f>
        <v>Martine</v>
      </c>
      <c r="E25" t="str">
        <f>VLOOKUP(bron[[#This Row],[personeelsnr]],'data hastus'!A:K,11,FALSE)</f>
        <v>Els Dewulf</v>
      </c>
      <c r="F25" s="10"/>
      <c r="G25" s="7"/>
      <c r="H25" s="7"/>
      <c r="I25" s="7"/>
      <c r="M25" s="5">
        <v>1</v>
      </c>
      <c r="S25" s="5">
        <f>SUM(bron[[#This Row],[Januari]:[December]])</f>
        <v>1</v>
      </c>
      <c r="T25" s="9">
        <v>45852</v>
      </c>
      <c r="U25" s="8" t="s">
        <v>3268</v>
      </c>
      <c r="V25" s="24">
        <v>1</v>
      </c>
      <c r="W25" s="24"/>
      <c r="X25" t="s">
        <v>57</v>
      </c>
      <c r="Y25" t="s">
        <v>70</v>
      </c>
    </row>
    <row r="26" spans="1:25" x14ac:dyDescent="0.25">
      <c r="A26">
        <v>36428</v>
      </c>
      <c r="B26" t="e">
        <f>_xlfn.CONCAT([2]!bron[[#This Row],[personeelsnr]]," ",C26," ",D26)</f>
        <v>#REF!</v>
      </c>
      <c r="C26" t="str">
        <f>VLOOKUP(bron[[#This Row],[personeelsnr]],'data hastus'!$A:$C,2,0)</f>
        <v>Abdi Shaiye</v>
      </c>
      <c r="D26" t="str">
        <f>VLOOKUP(bron[[#This Row],[personeelsnr]],'data hastus'!$A:$C,3,0)</f>
        <v>Rashid</v>
      </c>
      <c r="E26" t="str">
        <f>VLOOKUP(bron[[#This Row],[personeelsnr]],'data hastus'!A:K,11,FALSE)</f>
        <v>Lucie Vande Velde</v>
      </c>
      <c r="F26" s="10"/>
      <c r="G26" s="7"/>
      <c r="H26" s="7"/>
      <c r="I26" s="7"/>
      <c r="M26" s="5">
        <v>1</v>
      </c>
      <c r="S26" s="5">
        <f>SUM(bron[[#This Row],[Januari]:[December]])</f>
        <v>1</v>
      </c>
      <c r="T26" s="9">
        <v>45851</v>
      </c>
      <c r="U26" s="8" t="s">
        <v>3270</v>
      </c>
      <c r="V26" s="24">
        <v>1</v>
      </c>
      <c r="W26" s="24"/>
      <c r="X26" t="s">
        <v>57</v>
      </c>
      <c r="Y26" t="s">
        <v>2906</v>
      </c>
    </row>
    <row r="27" spans="1:25" x14ac:dyDescent="0.25">
      <c r="A27">
        <v>37936</v>
      </c>
      <c r="B27" t="e">
        <f>_xlfn.CONCAT([2]!bron[[#This Row],[personeelsnr]]," ",C27," ",D27)</f>
        <v>#REF!</v>
      </c>
      <c r="C27" t="str">
        <f>VLOOKUP(bron[[#This Row],[personeelsnr]],'data hastus'!$A:$C,2,0)</f>
        <v>Detaeye</v>
      </c>
      <c r="D27" t="str">
        <f>VLOOKUP(bron[[#This Row],[personeelsnr]],'data hastus'!$A:$C,3,0)</f>
        <v>Alexander</v>
      </c>
      <c r="E27" t="str">
        <f>VLOOKUP(bron[[#This Row],[personeelsnr]],'data hastus'!A:K,11,FALSE)</f>
        <v>Steven Storm</v>
      </c>
      <c r="F27" s="10"/>
      <c r="G27" s="7"/>
      <c r="H27" s="7"/>
      <c r="I27" s="7"/>
      <c r="M27" s="5">
        <v>1</v>
      </c>
      <c r="S27" s="5">
        <f>SUM(bron[[#This Row],[Januari]:[December]])</f>
        <v>1</v>
      </c>
      <c r="T27" s="9">
        <v>45851</v>
      </c>
      <c r="U27" s="8" t="s">
        <v>3261</v>
      </c>
      <c r="V27" s="24">
        <v>1</v>
      </c>
      <c r="W27" s="24"/>
      <c r="X27" t="s">
        <v>57</v>
      </c>
      <c r="Y27" t="s">
        <v>2909</v>
      </c>
    </row>
    <row r="28" spans="1:25" x14ac:dyDescent="0.25">
      <c r="A28">
        <v>40856</v>
      </c>
      <c r="B28" t="e">
        <f>_xlfn.CONCAT([2]!bron[[#This Row],[personeelsnr]]," ",C28," ",D28)</f>
        <v>#REF!</v>
      </c>
      <c r="C28" t="str">
        <f>VLOOKUP(bron[[#This Row],[personeelsnr]],'data hastus'!$A:$C,2,0)</f>
        <v>Neissi</v>
      </c>
      <c r="D28" t="str">
        <f>VLOOKUP(bron[[#This Row],[personeelsnr]],'data hastus'!$A:$C,3,0)</f>
        <v>Sadegh</v>
      </c>
      <c r="E28" t="str">
        <f>VLOOKUP(bron[[#This Row],[personeelsnr]],'data hastus'!A:K,11,FALSE)</f>
        <v>Kenneth De Rick</v>
      </c>
      <c r="F28" s="10"/>
      <c r="G28" s="7"/>
      <c r="H28" s="7"/>
      <c r="I28" s="7"/>
      <c r="M28" s="5">
        <v>1</v>
      </c>
      <c r="S28" s="5">
        <f>SUM(bron[[#This Row],[Januari]:[December]])</f>
        <v>1</v>
      </c>
      <c r="T28" s="9">
        <v>45850</v>
      </c>
      <c r="U28" s="8" t="s">
        <v>3269</v>
      </c>
      <c r="V28" s="24">
        <v>1</v>
      </c>
      <c r="W28" s="24"/>
      <c r="X28" t="s">
        <v>57</v>
      </c>
      <c r="Y28" t="s">
        <v>28</v>
      </c>
    </row>
    <row r="29" spans="1:25" x14ac:dyDescent="0.25">
      <c r="A29">
        <v>31668</v>
      </c>
      <c r="B29" t="e">
        <f>_xlfn.CONCAT([2]!bron[[#This Row],[personeelsnr]]," ",C29," ",D29)</f>
        <v>#REF!</v>
      </c>
      <c r="C29" t="str">
        <f>VLOOKUP(bron[[#This Row],[personeelsnr]],'data hastus'!$A:$C,2,0)</f>
        <v>Weemhof</v>
      </c>
      <c r="D29" t="str">
        <f>VLOOKUP(bron[[#This Row],[personeelsnr]],'data hastus'!$A:$C,3,0)</f>
        <v>Maurice</v>
      </c>
      <c r="E29" t="str">
        <f>VLOOKUP(bron[[#This Row],[personeelsnr]],'data hastus'!A:K,11,FALSE)</f>
        <v>Dominique De Clercq</v>
      </c>
      <c r="F29" s="10"/>
      <c r="G29" s="7"/>
      <c r="H29" s="7"/>
      <c r="I29" s="7"/>
      <c r="M29" s="5">
        <v>1</v>
      </c>
      <c r="S29" s="5">
        <f>SUM(bron[[#This Row],[Januari]:[December]])</f>
        <v>1</v>
      </c>
      <c r="T29" s="9">
        <v>45848</v>
      </c>
      <c r="U29" s="8" t="s">
        <v>3276</v>
      </c>
      <c r="V29" s="24">
        <v>1</v>
      </c>
      <c r="W29" s="24"/>
      <c r="X29" t="s">
        <v>57</v>
      </c>
      <c r="Y29" t="s">
        <v>29</v>
      </c>
    </row>
    <row r="30" spans="1:25" x14ac:dyDescent="0.25">
      <c r="A30">
        <v>12684</v>
      </c>
      <c r="B30" t="e">
        <f>_xlfn.CONCAT([2]!bron[[#This Row],[personeelsnr]]," ",C30," ",D30)</f>
        <v>#REF!</v>
      </c>
      <c r="C30" t="str">
        <f>VLOOKUP(bron[[#This Row],[personeelsnr]],'data hastus'!$A:$C,2,0)</f>
        <v>Van Den Bossche</v>
      </c>
      <c r="D30" t="str">
        <f>VLOOKUP(bron[[#This Row],[personeelsnr]],'data hastus'!$A:$C,3,0)</f>
        <v>Martine</v>
      </c>
      <c r="E30" t="str">
        <f>VLOOKUP(bron[[#This Row],[personeelsnr]],'data hastus'!A:K,11,FALSE)</f>
        <v>Els Vanhoe</v>
      </c>
      <c r="F30" s="10"/>
      <c r="G30" s="7"/>
      <c r="H30" s="7"/>
      <c r="I30" s="7"/>
      <c r="M30" s="5">
        <v>1</v>
      </c>
      <c r="S30" s="5">
        <f>SUM(bron[[#This Row],[Januari]:[December]])</f>
        <v>1</v>
      </c>
      <c r="T30" s="9">
        <v>45848</v>
      </c>
      <c r="U30" s="8" t="s">
        <v>3271</v>
      </c>
      <c r="V30" s="24">
        <v>1</v>
      </c>
      <c r="W30" s="24"/>
      <c r="X30" t="s">
        <v>57</v>
      </c>
      <c r="Y30" t="s">
        <v>30</v>
      </c>
    </row>
    <row r="31" spans="1:25" x14ac:dyDescent="0.25">
      <c r="A31">
        <v>40362</v>
      </c>
      <c r="B31" t="e">
        <f>_xlfn.CONCAT([2]!bron[[#This Row],[personeelsnr]]," ",C31," ",D31)</f>
        <v>#REF!</v>
      </c>
      <c r="C31" t="str">
        <f>VLOOKUP(bron[[#This Row],[personeelsnr]],'data hastus'!$A:$C,2,0)</f>
        <v>Kuru</v>
      </c>
      <c r="D31" t="str">
        <f>VLOOKUP(bron[[#This Row],[personeelsnr]],'data hastus'!$A:$C,3,0)</f>
        <v>Cetin</v>
      </c>
      <c r="E31" t="str">
        <f>VLOOKUP(bron[[#This Row],[personeelsnr]],'data hastus'!A:K,11,FALSE)</f>
        <v>Kenneth De Rick</v>
      </c>
      <c r="F31" s="10"/>
      <c r="G31" s="7"/>
      <c r="H31" s="7"/>
      <c r="I31" s="7"/>
      <c r="M31" s="5">
        <v>1</v>
      </c>
      <c r="S31" s="5">
        <f>SUM(bron[[#This Row],[Januari]:[December]])</f>
        <v>1</v>
      </c>
      <c r="T31" s="9">
        <v>45848</v>
      </c>
      <c r="U31" s="8" t="s">
        <v>3274</v>
      </c>
      <c r="V31" s="24">
        <v>1</v>
      </c>
      <c r="W31" s="24"/>
      <c r="X31" t="s">
        <v>57</v>
      </c>
      <c r="Y31" t="s">
        <v>93</v>
      </c>
    </row>
    <row r="32" spans="1:25" x14ac:dyDescent="0.25">
      <c r="A32">
        <v>32002</v>
      </c>
      <c r="B32" t="e">
        <f>_xlfn.CONCAT([2]!bron[[#This Row],[personeelsnr]]," ",C32," ",D32)</f>
        <v>#REF!</v>
      </c>
      <c r="C32" t="str">
        <f>VLOOKUP(bron[[#This Row],[personeelsnr]],'data hastus'!$A:$C,2,0)</f>
        <v>Hasni</v>
      </c>
      <c r="D32" t="str">
        <f>VLOOKUP(bron[[#This Row],[personeelsnr]],'data hastus'!$A:$C,3,0)</f>
        <v>Helmi</v>
      </c>
      <c r="E32" t="str">
        <f>VLOOKUP(bron[[#This Row],[personeelsnr]],'data hastus'!A:K,11,FALSE)</f>
        <v>Steven Storm</v>
      </c>
      <c r="F32" s="10"/>
      <c r="G32" s="7"/>
      <c r="H32" s="7"/>
      <c r="I32" s="7"/>
      <c r="M32" s="5">
        <v>1</v>
      </c>
      <c r="S32" s="5">
        <f>SUM(bron[[#This Row],[Januari]:[December]])</f>
        <v>1</v>
      </c>
      <c r="T32" s="9">
        <v>45848</v>
      </c>
      <c r="U32" s="8" t="s">
        <v>3275</v>
      </c>
      <c r="V32" s="24"/>
      <c r="W32" s="24">
        <v>1</v>
      </c>
      <c r="X32" t="s">
        <v>58</v>
      </c>
      <c r="Y32" t="s">
        <v>2904</v>
      </c>
    </row>
    <row r="33" spans="1:25" x14ac:dyDescent="0.25">
      <c r="A33">
        <v>22877</v>
      </c>
      <c r="B33" t="e">
        <f>_xlfn.CONCAT([2]!bron[[#This Row],[personeelsnr]]," ",C33," ",D33)</f>
        <v>#REF!</v>
      </c>
      <c r="C33" t="str">
        <f>VLOOKUP(bron[[#This Row],[personeelsnr]],'data hastus'!$A:$C,2,0)</f>
        <v>Goossens</v>
      </c>
      <c r="D33" t="str">
        <f>VLOOKUP(bron[[#This Row],[personeelsnr]],'data hastus'!$A:$C,3,0)</f>
        <v>Gunther</v>
      </c>
      <c r="E33" t="str">
        <f>VLOOKUP(bron[[#This Row],[personeelsnr]],'data hastus'!A:K,11,FALSE)</f>
        <v>Els Dewulf</v>
      </c>
      <c r="F33" s="10"/>
      <c r="G33" s="7"/>
      <c r="H33" s="7"/>
      <c r="I33" s="7"/>
      <c r="M33" s="5">
        <v>1</v>
      </c>
      <c r="S33" s="5">
        <f>SUM(bron[[#This Row],[Januari]:[December]])</f>
        <v>1</v>
      </c>
      <c r="T33" s="9">
        <v>45847</v>
      </c>
      <c r="U33" s="8" t="s">
        <v>3272</v>
      </c>
      <c r="V33" s="24">
        <v>1</v>
      </c>
      <c r="W33" s="24"/>
      <c r="X33" t="s">
        <v>57</v>
      </c>
      <c r="Y33" t="s">
        <v>114</v>
      </c>
    </row>
    <row r="34" spans="1:25" x14ac:dyDescent="0.25">
      <c r="A34">
        <v>4720</v>
      </c>
      <c r="B34" t="e">
        <f>_xlfn.CONCAT([2]!bron[[#This Row],[personeelsnr]]," ",C34," ",D34)</f>
        <v>#REF!</v>
      </c>
      <c r="C34" t="str">
        <f>VLOOKUP(bron[[#This Row],[personeelsnr]],'data hastus'!$A:$C,2,0)</f>
        <v>De Roo</v>
      </c>
      <c r="D34" t="str">
        <f>VLOOKUP(bron[[#This Row],[personeelsnr]],'data hastus'!$A:$C,3,0)</f>
        <v>Jo</v>
      </c>
      <c r="E34" t="str">
        <f>VLOOKUP(bron[[#This Row],[personeelsnr]],'data hastus'!A:K,11,FALSE)</f>
        <v>Els Vanhoe</v>
      </c>
      <c r="F34" s="10"/>
      <c r="G34" s="7"/>
      <c r="H34" s="7"/>
      <c r="I34" s="7"/>
      <c r="M34" s="5">
        <v>1</v>
      </c>
      <c r="S34" s="5">
        <f>SUM(bron[[#This Row],[Januari]:[December]])</f>
        <v>1</v>
      </c>
      <c r="T34" s="9">
        <v>45847</v>
      </c>
      <c r="U34" s="8" t="s">
        <v>3273</v>
      </c>
      <c r="V34" s="24">
        <v>1</v>
      </c>
      <c r="W34" s="24"/>
      <c r="X34" t="s">
        <v>57</v>
      </c>
      <c r="Y34" t="s">
        <v>2905</v>
      </c>
    </row>
    <row r="35" spans="1:25" x14ac:dyDescent="0.25">
      <c r="A35">
        <v>18987</v>
      </c>
      <c r="B35" t="e">
        <f>_xlfn.CONCAT([2]!bron[[#This Row],[personeelsnr]]," ",C35," ",D35)</f>
        <v>#REF!</v>
      </c>
      <c r="C35" t="str">
        <f>VLOOKUP(bron[[#This Row],[personeelsnr]],'data hastus'!$A:$C,2,0)</f>
        <v>De Geyter</v>
      </c>
      <c r="D35" t="str">
        <f>VLOOKUP(bron[[#This Row],[personeelsnr]],'data hastus'!$A:$C,3,0)</f>
        <v>Dolly</v>
      </c>
      <c r="E35" t="str">
        <f>VLOOKUP(bron[[#This Row],[personeelsnr]],'data hastus'!A:K,11,FALSE)</f>
        <v>Steven Storm</v>
      </c>
      <c r="F35" s="10"/>
      <c r="G35" s="7"/>
      <c r="H35" s="7"/>
      <c r="I35" s="7"/>
      <c r="M35" s="5">
        <v>1</v>
      </c>
      <c r="S35" s="5">
        <f>SUM(bron[[#This Row],[Januari]:[December]])</f>
        <v>1</v>
      </c>
      <c r="T35" s="9">
        <v>45846</v>
      </c>
      <c r="U35" s="8" t="s">
        <v>3280</v>
      </c>
      <c r="V35" s="24"/>
      <c r="W35" s="24">
        <v>1</v>
      </c>
      <c r="X35" t="s">
        <v>58</v>
      </c>
      <c r="Y35" t="s">
        <v>68</v>
      </c>
    </row>
    <row r="36" spans="1:25" x14ac:dyDescent="0.25">
      <c r="A36">
        <v>31776</v>
      </c>
      <c r="B36" t="e">
        <f>_xlfn.CONCAT([2]!bron[[#This Row],[personeelsnr]]," ",C36," ",D36)</f>
        <v>#REF!</v>
      </c>
      <c r="C36" t="str">
        <f>VLOOKUP(bron[[#This Row],[personeelsnr]],'data hastus'!$A:$C,2,0)</f>
        <v>Famelaer</v>
      </c>
      <c r="D36" t="str">
        <f>VLOOKUP(bron[[#This Row],[personeelsnr]],'data hastus'!$A:$C,3,0)</f>
        <v>Steve</v>
      </c>
      <c r="E36" t="str">
        <f>VLOOKUP(bron[[#This Row],[personeelsnr]],'data hastus'!A:K,11,FALSE)</f>
        <v>Dominique De Clercq</v>
      </c>
      <c r="F36" s="10"/>
      <c r="G36" s="7"/>
      <c r="H36" s="7"/>
      <c r="I36" s="7"/>
      <c r="M36" s="5">
        <v>1</v>
      </c>
      <c r="S36" s="5">
        <f>SUM(bron[[#This Row],[Januari]:[December]])</f>
        <v>1</v>
      </c>
      <c r="T36" s="9">
        <v>45845</v>
      </c>
      <c r="U36" s="8" t="s">
        <v>3279</v>
      </c>
      <c r="V36" s="24">
        <v>1</v>
      </c>
      <c r="W36" s="24"/>
      <c r="X36" t="s">
        <v>57</v>
      </c>
      <c r="Y36" t="s">
        <v>28</v>
      </c>
    </row>
    <row r="37" spans="1:25" x14ac:dyDescent="0.25">
      <c r="A37">
        <v>37439</v>
      </c>
      <c r="B37" t="e">
        <f>_xlfn.CONCAT([2]!bron[[#This Row],[personeelsnr]]," ",C37," ",D37)</f>
        <v>#REF!</v>
      </c>
      <c r="C37" t="str">
        <f>VLOOKUP(bron[[#This Row],[personeelsnr]],'data hastus'!$A:$C,2,0)</f>
        <v>Demirkazik</v>
      </c>
      <c r="D37" t="str">
        <f>VLOOKUP(bron[[#This Row],[personeelsnr]],'data hastus'!$A:$C,3,0)</f>
        <v>Mustafa</v>
      </c>
      <c r="E37" t="str">
        <f>VLOOKUP(bron[[#This Row],[personeelsnr]],'data hastus'!A:K,11,FALSE)</f>
        <v>Kenneth De Rick</v>
      </c>
      <c r="F37" s="10"/>
      <c r="G37" s="7"/>
      <c r="H37" s="7"/>
      <c r="I37" s="7"/>
      <c r="M37" s="5">
        <v>1</v>
      </c>
      <c r="S37" s="5">
        <f>SUM(bron[[#This Row],[Januari]:[December]])</f>
        <v>1</v>
      </c>
      <c r="T37" s="9">
        <v>45845</v>
      </c>
      <c r="U37" s="8" t="s">
        <v>3277</v>
      </c>
      <c r="V37" s="24">
        <v>1</v>
      </c>
      <c r="W37" s="24"/>
      <c r="X37" t="s">
        <v>57</v>
      </c>
      <c r="Y37" t="s">
        <v>64</v>
      </c>
    </row>
    <row r="38" spans="1:25" x14ac:dyDescent="0.25">
      <c r="A38">
        <v>41859</v>
      </c>
      <c r="B38" t="str">
        <f>_xlfn.CONCAT([2]!bron[[#This Row],[personeelsnr]]," ",C38," ",D38)</f>
        <v>41859 Palit Ramazan</v>
      </c>
      <c r="C38" t="s">
        <v>2903</v>
      </c>
      <c r="D38" t="s">
        <v>1329</v>
      </c>
      <c r="E38" t="s">
        <v>2926</v>
      </c>
      <c r="F38" s="10"/>
      <c r="G38" s="7"/>
      <c r="H38" s="7"/>
      <c r="I38" s="7"/>
      <c r="M38" s="5">
        <v>1</v>
      </c>
      <c r="S38" s="5">
        <f>SUM(bron[[#This Row],[Januari]:[December]])</f>
        <v>1</v>
      </c>
      <c r="T38" s="9">
        <v>45845</v>
      </c>
      <c r="U38" s="8" t="s">
        <v>3278</v>
      </c>
      <c r="V38" s="24">
        <v>1</v>
      </c>
      <c r="W38" s="24"/>
      <c r="X38" t="s">
        <v>57</v>
      </c>
      <c r="Y38" t="s">
        <v>29</v>
      </c>
    </row>
    <row r="39" spans="1:25" x14ac:dyDescent="0.25">
      <c r="A39">
        <v>40939</v>
      </c>
      <c r="B39" t="e">
        <f>_xlfn.CONCAT([2]!bron[[#This Row],[personeelsnr]]," ",C39," ",D39)</f>
        <v>#REF!</v>
      </c>
      <c r="C39" t="str">
        <f>VLOOKUP(bron[[#This Row],[personeelsnr]],'data hastus'!$A:$C,2,0)</f>
        <v>Cisse</v>
      </c>
      <c r="D39" t="str">
        <f>VLOOKUP(bron[[#This Row],[personeelsnr]],'data hastus'!$A:$C,3,0)</f>
        <v>Sayon</v>
      </c>
      <c r="E39" t="str">
        <f>VLOOKUP(bron[[#This Row],[personeelsnr]],'data hastus'!A:K,11,FALSE)</f>
        <v>Kenneth De Rick</v>
      </c>
      <c r="F39" s="10"/>
      <c r="G39" s="7"/>
      <c r="H39" s="7"/>
      <c r="I39" s="7"/>
      <c r="M39" s="5">
        <v>1</v>
      </c>
      <c r="S39" s="5">
        <f>SUM(bron[[#This Row],[Januari]:[December]])</f>
        <v>1</v>
      </c>
      <c r="T39" s="9">
        <v>45843</v>
      </c>
      <c r="U39" s="8" t="s">
        <v>3282</v>
      </c>
      <c r="V39" s="24">
        <v>1</v>
      </c>
      <c r="W39" s="24"/>
      <c r="X39" t="s">
        <v>57</v>
      </c>
      <c r="Y39" t="s">
        <v>26</v>
      </c>
    </row>
    <row r="40" spans="1:25" x14ac:dyDescent="0.25">
      <c r="A40">
        <v>22416</v>
      </c>
      <c r="B40" t="e">
        <f>_xlfn.CONCAT([2]!bron[[#This Row],[personeelsnr]]," ",C40," ",D40)</f>
        <v>#REF!</v>
      </c>
      <c r="C40" t="str">
        <f>VLOOKUP(bron[[#This Row],[personeelsnr]],'data hastus'!$A:$C,2,0)</f>
        <v>Bicici</v>
      </c>
      <c r="D40" t="str">
        <f>VLOOKUP(bron[[#This Row],[personeelsnr]],'data hastus'!$A:$C,3,0)</f>
        <v>Abdul Kadir</v>
      </c>
      <c r="E40" t="str">
        <f>VLOOKUP(bron[[#This Row],[personeelsnr]],'data hastus'!A:K,11,FALSE)</f>
        <v>Christoff Rotty</v>
      </c>
      <c r="F40" s="10"/>
      <c r="G40" s="7"/>
      <c r="H40" s="7"/>
      <c r="I40" s="7"/>
      <c r="M40" s="5">
        <v>1</v>
      </c>
      <c r="S40" s="5">
        <f>SUM(bron[[#This Row],[Januari]:[December]])</f>
        <v>1</v>
      </c>
      <c r="T40" s="9">
        <v>45843</v>
      </c>
      <c r="U40" s="8" t="s">
        <v>3286</v>
      </c>
      <c r="V40" s="24"/>
      <c r="W40" s="24">
        <v>1</v>
      </c>
      <c r="X40" t="s">
        <v>58</v>
      </c>
      <c r="Y40" t="s">
        <v>2902</v>
      </c>
    </row>
    <row r="41" spans="1:25" x14ac:dyDescent="0.25">
      <c r="A41">
        <v>28737</v>
      </c>
      <c r="B41" t="e">
        <f>_xlfn.CONCAT([2]!bron[[#This Row],[personeelsnr]]," ",C41," ",D41)</f>
        <v>#REF!</v>
      </c>
      <c r="C41" t="str">
        <f>VLOOKUP(bron[[#This Row],[personeelsnr]],'data hastus'!$A:$C,2,0)</f>
        <v>El-Mohamed</v>
      </c>
      <c r="D41" t="str">
        <f>VLOOKUP(bron[[#This Row],[personeelsnr]],'data hastus'!$A:$C,3,0)</f>
        <v>Mohamed</v>
      </c>
      <c r="E41" t="str">
        <f>VLOOKUP(bron[[#This Row],[personeelsnr]],'data hastus'!A:K,11,FALSE)</f>
        <v>Lucie Vande Velde</v>
      </c>
      <c r="F41" s="10"/>
      <c r="G41" s="7"/>
      <c r="H41" s="7"/>
      <c r="I41" s="7"/>
      <c r="M41" s="5">
        <v>1</v>
      </c>
      <c r="S41" s="5">
        <f>SUM(bron[[#This Row],[Januari]:[December]])</f>
        <v>1</v>
      </c>
      <c r="T41" s="9">
        <v>45842</v>
      </c>
      <c r="U41" s="8" t="s">
        <v>3284</v>
      </c>
      <c r="V41" s="24">
        <v>1</v>
      </c>
      <c r="W41" s="24"/>
      <c r="X41" t="s">
        <v>57</v>
      </c>
      <c r="Y41" t="s">
        <v>389</v>
      </c>
    </row>
    <row r="42" spans="1:25" x14ac:dyDescent="0.25">
      <c r="A42">
        <v>40745</v>
      </c>
      <c r="B42" t="e">
        <f>_xlfn.CONCAT([2]!bron[[#This Row],[personeelsnr]]," ",C42," ",D42)</f>
        <v>#REF!</v>
      </c>
      <c r="C42" t="str">
        <f>VLOOKUP(bron[[#This Row],[personeelsnr]],'data hastus'!$A:$C,2,0)</f>
        <v>Ivanov</v>
      </c>
      <c r="D42" t="str">
        <f>VLOOKUP(bron[[#This Row],[personeelsnr]],'data hastus'!$A:$C,3,0)</f>
        <v>Ivan</v>
      </c>
      <c r="E42" t="str">
        <f>VLOOKUP(bron[[#This Row],[personeelsnr]],'data hastus'!A:K,11,FALSE)</f>
        <v>Bart Van Der Beken</v>
      </c>
      <c r="F42" s="10"/>
      <c r="G42" s="7"/>
      <c r="H42" s="7"/>
      <c r="I42" s="7"/>
      <c r="M42" s="5">
        <v>1</v>
      </c>
      <c r="S42" s="5">
        <f>SUM(bron[[#This Row],[Januari]:[December]])</f>
        <v>1</v>
      </c>
      <c r="T42" s="9">
        <v>45841</v>
      </c>
      <c r="U42" s="8" t="s">
        <v>3283</v>
      </c>
      <c r="V42" s="24">
        <v>1</v>
      </c>
      <c r="W42" s="24"/>
      <c r="X42" t="s">
        <v>57</v>
      </c>
      <c r="Y42" t="s">
        <v>111</v>
      </c>
    </row>
    <row r="43" spans="1:25" x14ac:dyDescent="0.25">
      <c r="A43">
        <v>37542</v>
      </c>
      <c r="B43" t="e">
        <f>_xlfn.CONCAT([2]!bron[[#This Row],[personeelsnr]]," ",C43," ",D43)</f>
        <v>#REF!</v>
      </c>
      <c r="C43" t="str">
        <f>VLOOKUP(bron[[#This Row],[personeelsnr]],'data hastus'!$A:$C,2,0)</f>
        <v>De Tandt</v>
      </c>
      <c r="D43" t="str">
        <f>VLOOKUP(bron[[#This Row],[personeelsnr]],'data hastus'!$A:$C,3,0)</f>
        <v>Hans</v>
      </c>
      <c r="E43" t="str">
        <f>VLOOKUP(bron[[#This Row],[personeelsnr]],'data hastus'!A:K,11,FALSE)</f>
        <v>Bart Van Der Beken</v>
      </c>
      <c r="F43" s="10"/>
      <c r="G43" s="7"/>
      <c r="H43" s="7"/>
      <c r="I43" s="7"/>
      <c r="M43" s="5">
        <v>1</v>
      </c>
      <c r="S43" s="5">
        <f>SUM(bron[[#This Row],[Januari]:[December]])</f>
        <v>1</v>
      </c>
      <c r="T43" s="9">
        <v>45840</v>
      </c>
      <c r="U43" s="8" t="s">
        <v>3288</v>
      </c>
      <c r="V43" s="24"/>
      <c r="W43" s="24">
        <v>1</v>
      </c>
      <c r="X43" t="s">
        <v>58</v>
      </c>
      <c r="Y43" t="s">
        <v>52</v>
      </c>
    </row>
    <row r="44" spans="1:25" x14ac:dyDescent="0.25">
      <c r="A44">
        <v>38648</v>
      </c>
      <c r="B44" t="e">
        <f>_xlfn.CONCAT([2]!bron[[#This Row],[personeelsnr]]," ",C44," ",D44)</f>
        <v>#REF!</v>
      </c>
      <c r="C44" t="str">
        <f>VLOOKUP(bron[[#This Row],[personeelsnr]],'data hastus'!$A:$C,2,0)</f>
        <v>Uckuyulu</v>
      </c>
      <c r="D44" t="str">
        <f>VLOOKUP(bron[[#This Row],[personeelsnr]],'data hastus'!$A:$C,3,0)</f>
        <v>Muhammet Emin</v>
      </c>
      <c r="E44" t="str">
        <f>VLOOKUP(bron[[#This Row],[personeelsnr]],'data hastus'!A:K,11,FALSE)</f>
        <v>Lucie Vande Velde</v>
      </c>
      <c r="F44" s="10"/>
      <c r="G44" s="7"/>
      <c r="H44" s="7"/>
      <c r="I44" s="7"/>
      <c r="M44" s="5">
        <v>1</v>
      </c>
      <c r="S44" s="5">
        <f>SUM(bron[[#This Row],[Januari]:[December]])</f>
        <v>1</v>
      </c>
      <c r="T44" s="9">
        <v>45840</v>
      </c>
      <c r="U44" s="8" t="s">
        <v>3289</v>
      </c>
      <c r="V44" s="24"/>
      <c r="W44" s="24">
        <v>1</v>
      </c>
      <c r="X44" t="s">
        <v>58</v>
      </c>
      <c r="Y44" t="s">
        <v>19</v>
      </c>
    </row>
    <row r="45" spans="1:25" x14ac:dyDescent="0.25">
      <c r="A45">
        <v>32528</v>
      </c>
      <c r="B45" t="e">
        <f>_xlfn.CONCAT([2]!bron[[#This Row],[personeelsnr]]," ",C45," ",D45)</f>
        <v>#REF!</v>
      </c>
      <c r="C45" t="str">
        <f>VLOOKUP(bron[[#This Row],[personeelsnr]],'data hastus'!$A:$C,2,0)</f>
        <v>Benjilali</v>
      </c>
      <c r="D45" t="str">
        <f>VLOOKUP(bron[[#This Row],[personeelsnr]],'data hastus'!$A:$C,3,0)</f>
        <v>Abdelhak</v>
      </c>
      <c r="E45" t="str">
        <f>VLOOKUP(bron[[#This Row],[personeelsnr]],'data hastus'!A:K,11,FALSE)</f>
        <v>Steven Storm</v>
      </c>
      <c r="F45" s="10"/>
      <c r="G45" s="7"/>
      <c r="H45" s="7"/>
      <c r="I45" s="7"/>
      <c r="M45" s="5">
        <v>1</v>
      </c>
      <c r="S45" s="5">
        <f>SUM(bron[[#This Row],[Januari]:[December]])</f>
        <v>1</v>
      </c>
      <c r="T45" s="9">
        <v>45839</v>
      </c>
      <c r="U45" s="8" t="s">
        <v>3281</v>
      </c>
      <c r="V45" s="24">
        <v>1</v>
      </c>
      <c r="W45" s="24"/>
      <c r="X45" t="s">
        <v>57</v>
      </c>
      <c r="Y45" t="s">
        <v>43</v>
      </c>
    </row>
    <row r="46" spans="1:25" x14ac:dyDescent="0.25">
      <c r="A46">
        <v>4419</v>
      </c>
      <c r="B46" t="e">
        <f>_xlfn.CONCAT([2]!bron[[#This Row],[personeelsnr]]," ",C46," ",D46)</f>
        <v>#REF!</v>
      </c>
      <c r="C46" t="str">
        <f>VLOOKUP(bron[[#This Row],[personeelsnr]],'data hastus'!$A:$C,2,0)</f>
        <v>Maelbrancke</v>
      </c>
      <c r="D46" t="str">
        <f>VLOOKUP(bron[[#This Row],[personeelsnr]],'data hastus'!$A:$C,3,0)</f>
        <v>Eddy</v>
      </c>
      <c r="E46" t="str">
        <f>VLOOKUP(bron[[#This Row],[personeelsnr]],'data hastus'!A:K,11,FALSE)</f>
        <v>Lucie Vande Velde</v>
      </c>
      <c r="F46" s="10"/>
      <c r="G46" s="7"/>
      <c r="H46" s="7"/>
      <c r="I46" s="7"/>
      <c r="M46" s="5">
        <v>1</v>
      </c>
      <c r="S46" s="5">
        <f>SUM(bron[[#This Row],[Januari]:[December]])</f>
        <v>1</v>
      </c>
      <c r="T46" s="9">
        <v>45839</v>
      </c>
      <c r="U46" s="8" t="s">
        <v>3292</v>
      </c>
      <c r="V46" s="24">
        <v>1</v>
      </c>
      <c r="W46" s="24"/>
      <c r="X46" t="s">
        <v>57</v>
      </c>
      <c r="Y46" t="s">
        <v>2900</v>
      </c>
    </row>
    <row r="47" spans="1:25" x14ac:dyDescent="0.25">
      <c r="A47">
        <v>21509</v>
      </c>
      <c r="B47" t="e">
        <f>_xlfn.CONCAT([2]!bron[[#This Row],[personeelsnr]]," ",C47," ",D47)</f>
        <v>#REF!</v>
      </c>
      <c r="C47" t="str">
        <f>VLOOKUP(bron[[#This Row],[personeelsnr]],'data hastus'!$A:$C,2,0)</f>
        <v>De Craemer</v>
      </c>
      <c r="D47" t="str">
        <f>VLOOKUP(bron[[#This Row],[personeelsnr]],'data hastus'!$A:$C,3,0)</f>
        <v>Kris</v>
      </c>
      <c r="E47" t="str">
        <f>VLOOKUP(bron[[#This Row],[personeelsnr]],'data hastus'!A:K,11,FALSE)</f>
        <v>Dominique De Clercq</v>
      </c>
      <c r="F47" s="10"/>
      <c r="G47" s="7"/>
      <c r="H47" s="7"/>
      <c r="I47" s="7"/>
      <c r="M47" s="5">
        <v>1</v>
      </c>
      <c r="S47" s="5">
        <f>SUM(bron[[#This Row],[Januari]:[December]])</f>
        <v>1</v>
      </c>
      <c r="T47" s="9">
        <v>45839</v>
      </c>
      <c r="U47" s="8" t="s">
        <v>3290</v>
      </c>
      <c r="V47" s="24"/>
      <c r="W47" s="24">
        <v>1</v>
      </c>
      <c r="X47" t="s">
        <v>58</v>
      </c>
      <c r="Y47" t="s">
        <v>70</v>
      </c>
    </row>
    <row r="48" spans="1:25" x14ac:dyDescent="0.25">
      <c r="A48">
        <v>39850</v>
      </c>
      <c r="B48" t="e">
        <f>_xlfn.CONCAT([2]!bron[[#This Row],[personeelsnr]]," ",C48," ",D48)</f>
        <v>#REF!</v>
      </c>
      <c r="C48" t="str">
        <f>VLOOKUP(bron[[#This Row],[personeelsnr]],'data hastus'!$A:$C,2,0)</f>
        <v>Helleputte</v>
      </c>
      <c r="D48" t="str">
        <f>VLOOKUP(bron[[#This Row],[personeelsnr]],'data hastus'!$A:$C,3,0)</f>
        <v>William</v>
      </c>
      <c r="E48" t="str">
        <f>VLOOKUP(bron[[#This Row],[personeelsnr]],'data hastus'!A:K,11,FALSE)</f>
        <v>Dominique De Clercq</v>
      </c>
      <c r="F48" s="10"/>
      <c r="G48" s="7"/>
      <c r="H48" s="7"/>
      <c r="I48" s="7"/>
      <c r="L48" s="5">
        <v>1</v>
      </c>
      <c r="S48" s="5">
        <f>SUM(bron[[#This Row],[Januari]:[December]])</f>
        <v>1</v>
      </c>
      <c r="T48" s="9">
        <v>45837</v>
      </c>
      <c r="U48" s="8" t="s">
        <v>3214</v>
      </c>
      <c r="V48" s="24">
        <v>1</v>
      </c>
      <c r="W48" s="24"/>
      <c r="X48" t="s">
        <v>57</v>
      </c>
      <c r="Y48" t="s">
        <v>39</v>
      </c>
    </row>
    <row r="49" spans="1:25" x14ac:dyDescent="0.25">
      <c r="A49">
        <v>15088</v>
      </c>
      <c r="B49" t="e">
        <f>_xlfn.CONCAT([2]!bron[[#This Row],[personeelsnr]]," ",C49," ",D49)</f>
        <v>#REF!</v>
      </c>
      <c r="C49" t="str">
        <f>VLOOKUP(bron[[#This Row],[personeelsnr]],'data hastus'!$A:$C,2,0)</f>
        <v>Laute</v>
      </c>
      <c r="D49" t="str">
        <f>VLOOKUP(bron[[#This Row],[personeelsnr]],'data hastus'!$A:$C,3,0)</f>
        <v>Dirk</v>
      </c>
      <c r="E49" t="str">
        <f>VLOOKUP(bron[[#This Row],[personeelsnr]],'data hastus'!A:K,11,FALSE)</f>
        <v>Els Vanhoe</v>
      </c>
      <c r="F49" s="10"/>
      <c r="G49" s="7"/>
      <c r="H49" s="7"/>
      <c r="I49" s="7"/>
      <c r="L49" s="5">
        <v>1</v>
      </c>
      <c r="S49" s="5">
        <f>SUM(bron[[#This Row],[Januari]:[December]])</f>
        <v>1</v>
      </c>
      <c r="T49" s="9">
        <v>45837</v>
      </c>
      <c r="U49" s="8" t="s">
        <v>3215</v>
      </c>
      <c r="V49" s="24">
        <v>1</v>
      </c>
      <c r="W49" s="24"/>
      <c r="X49" t="s">
        <v>57</v>
      </c>
      <c r="Y49" t="s">
        <v>53</v>
      </c>
    </row>
    <row r="50" spans="1:25" x14ac:dyDescent="0.25">
      <c r="A50">
        <v>40223</v>
      </c>
      <c r="B50" t="e">
        <f>_xlfn.CONCAT([2]!bron[[#This Row],[personeelsnr]]," ",C50," ",D50)</f>
        <v>#REF!</v>
      </c>
      <c r="C50" t="str">
        <f>VLOOKUP(bron[[#This Row],[personeelsnr]],'data hastus'!$A:$C,2,0)</f>
        <v>Teetaert</v>
      </c>
      <c r="D50" t="str">
        <f>VLOOKUP(bron[[#This Row],[personeelsnr]],'data hastus'!$A:$C,3,0)</f>
        <v>Billy</v>
      </c>
      <c r="E50" t="str">
        <f>VLOOKUP(bron[[#This Row],[personeelsnr]],'data hastus'!A:K,11,FALSE)</f>
        <v>Dominique De Clercq</v>
      </c>
      <c r="F50" s="10"/>
      <c r="G50" s="7"/>
      <c r="H50" s="7"/>
      <c r="I50" s="7"/>
      <c r="L50" s="5">
        <v>1</v>
      </c>
      <c r="S50" s="5">
        <f>SUM(bron[[#This Row],[Januari]:[December]])</f>
        <v>1</v>
      </c>
      <c r="T50" s="9">
        <v>45837</v>
      </c>
      <c r="U50" s="8" t="s">
        <v>3216</v>
      </c>
      <c r="V50" s="24">
        <v>1</v>
      </c>
      <c r="W50" s="24"/>
      <c r="X50" t="s">
        <v>57</v>
      </c>
      <c r="Y50" t="s">
        <v>2907</v>
      </c>
    </row>
    <row r="51" spans="1:25" x14ac:dyDescent="0.25">
      <c r="A51">
        <v>40362</v>
      </c>
      <c r="B51" t="e">
        <f>_xlfn.CONCAT([2]!bron[[#This Row],[personeelsnr]]," ",C51," ",D51)</f>
        <v>#REF!</v>
      </c>
      <c r="C51" t="str">
        <f>VLOOKUP(bron[[#This Row],[personeelsnr]],'data hastus'!$A:$C,2,0)</f>
        <v>Kuru</v>
      </c>
      <c r="D51" t="str">
        <f>VLOOKUP(bron[[#This Row],[personeelsnr]],'data hastus'!$A:$C,3,0)</f>
        <v>Cetin</v>
      </c>
      <c r="E51" t="str">
        <f>VLOOKUP(bron[[#This Row],[personeelsnr]],'data hastus'!A:K,11,FALSE)</f>
        <v>Kenneth De Rick</v>
      </c>
      <c r="F51" s="10"/>
      <c r="G51" s="7"/>
      <c r="H51" s="7"/>
      <c r="I51" s="7"/>
      <c r="L51" s="5">
        <v>1</v>
      </c>
      <c r="S51" s="5">
        <f>SUM(bron[[#This Row],[Januari]:[December]])</f>
        <v>1</v>
      </c>
      <c r="T51" s="9">
        <v>45833</v>
      </c>
      <c r="U51" s="8" t="s">
        <v>3218</v>
      </c>
      <c r="V51" s="24">
        <v>1</v>
      </c>
      <c r="W51" s="24"/>
      <c r="X51" t="s">
        <v>57</v>
      </c>
      <c r="Y51" t="s">
        <v>222</v>
      </c>
    </row>
    <row r="52" spans="1:25" x14ac:dyDescent="0.25">
      <c r="A52">
        <v>15412</v>
      </c>
      <c r="B52" t="e">
        <f>_xlfn.CONCAT([2]!bron[[#This Row],[personeelsnr]]," ",C52," ",D52)</f>
        <v>#REF!</v>
      </c>
      <c r="C52" t="str">
        <f>VLOOKUP(bron[[#This Row],[personeelsnr]],'data hastus'!$A:$C,2,0)</f>
        <v>Dhondt</v>
      </c>
      <c r="D52" t="str">
        <f>VLOOKUP(bron[[#This Row],[personeelsnr]],'data hastus'!$A:$C,3,0)</f>
        <v>Frank</v>
      </c>
      <c r="E52" t="str">
        <f>VLOOKUP(bron[[#This Row],[personeelsnr]],'data hastus'!A:K,11,FALSE)</f>
        <v>Bart Van Der Beken</v>
      </c>
      <c r="F52" s="10"/>
      <c r="G52" s="7"/>
      <c r="H52" s="7"/>
      <c r="I52" s="7"/>
      <c r="S52" s="5">
        <f>SUM(bron[[#This Row],[Januari]:[December]])</f>
        <v>0</v>
      </c>
      <c r="T52" s="9">
        <v>45833</v>
      </c>
      <c r="U52" s="8" t="s">
        <v>3223</v>
      </c>
      <c r="V52" s="24">
        <v>1</v>
      </c>
      <c r="W52" s="24"/>
      <c r="X52" t="s">
        <v>57</v>
      </c>
      <c r="Y52" t="s">
        <v>2899</v>
      </c>
    </row>
    <row r="53" spans="1:25" x14ac:dyDescent="0.25">
      <c r="A53">
        <v>38634</v>
      </c>
      <c r="B53" t="e">
        <f>_xlfn.CONCAT([2]!bron[[#This Row],[personeelsnr]]," ",C53," ",D53)</f>
        <v>#REF!</v>
      </c>
      <c r="C53" t="str">
        <f>VLOOKUP(bron[[#This Row],[personeelsnr]],'data hastus'!$A:$C,2,0)</f>
        <v>Asskale</v>
      </c>
      <c r="D53" t="str">
        <f>VLOOKUP(bron[[#This Row],[personeelsnr]],'data hastus'!$A:$C,3,0)</f>
        <v>Zouhir</v>
      </c>
      <c r="E53" t="str">
        <f>VLOOKUP(bron[[#This Row],[personeelsnr]],'data hastus'!A:K,11,FALSE)</f>
        <v>Bart Van Der Beken</v>
      </c>
      <c r="F53" s="10"/>
      <c r="G53" s="7"/>
      <c r="H53" s="7"/>
      <c r="I53" s="7"/>
      <c r="L53" s="5">
        <v>1</v>
      </c>
      <c r="S53" s="5">
        <f>SUM(bron[[#This Row],[Januari]:[December]])</f>
        <v>1</v>
      </c>
      <c r="T53" s="9">
        <v>45832</v>
      </c>
      <c r="U53" s="8" t="s">
        <v>3239</v>
      </c>
      <c r="V53" s="24"/>
      <c r="W53" s="24">
        <v>1</v>
      </c>
      <c r="X53" t="s">
        <v>58</v>
      </c>
      <c r="Y53" t="s">
        <v>113</v>
      </c>
    </row>
    <row r="54" spans="1:25" x14ac:dyDescent="0.25">
      <c r="A54">
        <v>38633</v>
      </c>
      <c r="B54" t="e">
        <f>_xlfn.CONCAT([2]!bron[[#This Row],[personeelsnr]]," ",C54," ",D54)</f>
        <v>#REF!</v>
      </c>
      <c r="C54" t="str">
        <f>VLOOKUP(bron[[#This Row],[personeelsnr]],'data hastus'!$A:$C,2,0)</f>
        <v>Stomphorst</v>
      </c>
      <c r="D54" t="str">
        <f>VLOOKUP(bron[[#This Row],[personeelsnr]],'data hastus'!$A:$C,3,0)</f>
        <v>Mattanja</v>
      </c>
      <c r="E54" t="str">
        <f>VLOOKUP(bron[[#This Row],[personeelsnr]],'data hastus'!A:K,11,FALSE)</f>
        <v>Els Dewulf</v>
      </c>
      <c r="F54" s="10"/>
      <c r="G54" s="7"/>
      <c r="H54" s="7"/>
      <c r="I54" s="7"/>
      <c r="L54" s="5">
        <v>1</v>
      </c>
      <c r="S54" s="5">
        <f>SUM(bron[[#This Row],[Januari]:[December]])</f>
        <v>1</v>
      </c>
      <c r="T54" s="9">
        <v>45831</v>
      </c>
      <c r="U54" s="8" t="s">
        <v>3245</v>
      </c>
      <c r="V54" s="24">
        <v>1</v>
      </c>
      <c r="W54" s="24"/>
      <c r="X54" t="s">
        <v>57</v>
      </c>
      <c r="Y54" t="s">
        <v>41</v>
      </c>
    </row>
    <row r="55" spans="1:25" x14ac:dyDescent="0.25">
      <c r="A55">
        <v>19917</v>
      </c>
      <c r="B55" t="e">
        <f>_xlfn.CONCAT([2]!bron[[#This Row],[personeelsnr]]," ",C55," ",D55)</f>
        <v>#REF!</v>
      </c>
      <c r="C55" t="str">
        <f>VLOOKUP(bron[[#This Row],[personeelsnr]],'data hastus'!$A:$C,2,0)</f>
        <v>Vandevyvere</v>
      </c>
      <c r="D55" t="str">
        <f>VLOOKUP(bron[[#This Row],[personeelsnr]],'data hastus'!$A:$C,3,0)</f>
        <v>Frank</v>
      </c>
      <c r="E55" t="str">
        <f>VLOOKUP(bron[[#This Row],[personeelsnr]],'data hastus'!A:K,11,FALSE)</f>
        <v>Bart Van Der Beken</v>
      </c>
      <c r="F55" s="10"/>
      <c r="G55" s="7"/>
      <c r="H55" s="7"/>
      <c r="I55" s="7"/>
      <c r="L55" s="5">
        <v>1</v>
      </c>
      <c r="S55" s="5">
        <f>SUM(bron[[#This Row],[Januari]:[December]])</f>
        <v>1</v>
      </c>
      <c r="T55" s="9">
        <v>45831</v>
      </c>
      <c r="U55" s="8" t="s">
        <v>3222</v>
      </c>
      <c r="V55" s="24">
        <v>1</v>
      </c>
      <c r="W55" s="24"/>
      <c r="X55" t="s">
        <v>57</v>
      </c>
      <c r="Y55" t="s">
        <v>53</v>
      </c>
    </row>
    <row r="56" spans="1:25" x14ac:dyDescent="0.25">
      <c r="A56">
        <v>40478</v>
      </c>
      <c r="B56" t="e">
        <f>_xlfn.CONCAT([2]!bron[[#This Row],[personeelsnr]]," ",C56," ",D56)</f>
        <v>#REF!</v>
      </c>
      <c r="C56" t="str">
        <f>VLOOKUP(bron[[#This Row],[personeelsnr]],'data hastus'!$A:$C,2,0)</f>
        <v>Hashimi</v>
      </c>
      <c r="D56" t="str">
        <f>VLOOKUP(bron[[#This Row],[personeelsnr]],'data hastus'!$A:$C,3,0)</f>
        <v>Ali Mir</v>
      </c>
      <c r="E56" t="str">
        <f>VLOOKUP(bron[[#This Row],[personeelsnr]],'data hastus'!A:K,11,FALSE)</f>
        <v>Bart Van Der Beken</v>
      </c>
      <c r="F56" s="10"/>
      <c r="G56" s="7"/>
      <c r="H56" s="7"/>
      <c r="I56" s="7"/>
      <c r="L56" s="5">
        <v>1</v>
      </c>
      <c r="S56" s="5">
        <f>SUM(bron[[#This Row],[Januari]:[December]])</f>
        <v>1</v>
      </c>
      <c r="T56" s="9">
        <v>45831</v>
      </c>
      <c r="U56" s="8" t="s">
        <v>3229</v>
      </c>
      <c r="V56" s="24">
        <v>1</v>
      </c>
      <c r="W56" s="24"/>
      <c r="X56" t="s">
        <v>57</v>
      </c>
      <c r="Y56" t="s">
        <v>93</v>
      </c>
    </row>
    <row r="57" spans="1:25" x14ac:dyDescent="0.25">
      <c r="A57">
        <v>38808</v>
      </c>
      <c r="B57" t="e">
        <f>_xlfn.CONCAT([2]!bron[[#This Row],[personeelsnr]]," ",C57," ",D57)</f>
        <v>#REF!</v>
      </c>
      <c r="C57" t="str">
        <f>VLOOKUP(bron[[#This Row],[personeelsnr]],'data hastus'!$A:$C,2,0)</f>
        <v>Wasen</v>
      </c>
      <c r="D57" t="str">
        <f>VLOOKUP(bron[[#This Row],[personeelsnr]],'data hastus'!$A:$C,3,0)</f>
        <v>Jens</v>
      </c>
      <c r="E57" t="str">
        <f>VLOOKUP(bron[[#This Row],[personeelsnr]],'data hastus'!A:K,11,FALSE)</f>
        <v>Els Dewulf</v>
      </c>
      <c r="F57" s="10"/>
      <c r="G57" s="7"/>
      <c r="H57" s="7"/>
      <c r="I57" s="7"/>
      <c r="L57" s="5">
        <v>1</v>
      </c>
      <c r="S57" s="5">
        <f>SUM(bron[[#This Row],[Januari]:[December]])</f>
        <v>1</v>
      </c>
      <c r="T57" s="9">
        <v>45830</v>
      </c>
      <c r="U57" s="8" t="s">
        <v>3231</v>
      </c>
      <c r="V57" s="24">
        <v>1</v>
      </c>
      <c r="W57" s="24"/>
      <c r="X57" t="s">
        <v>57</v>
      </c>
      <c r="Y57" t="s">
        <v>29</v>
      </c>
    </row>
    <row r="58" spans="1:25" x14ac:dyDescent="0.25">
      <c r="A58">
        <v>41690</v>
      </c>
      <c r="B58" t="e">
        <f>_xlfn.CONCAT([2]!bron[[#This Row],[personeelsnr]]," ",C58," ",D58)</f>
        <v>#REF!</v>
      </c>
      <c r="C58" t="str">
        <f>VLOOKUP(bron[[#This Row],[personeelsnr]],'data hastus'!$A:$C,2,0)</f>
        <v>Van de Winckel</v>
      </c>
      <c r="D58" t="str">
        <f>VLOOKUP(bron[[#This Row],[personeelsnr]],'data hastus'!$A:$C,3,0)</f>
        <v>Kelly</v>
      </c>
      <c r="E58" t="str">
        <f>VLOOKUP(bron[[#This Row],[personeelsnr]],'data hastus'!A:K,11,FALSE)</f>
        <v>Els Dewulf</v>
      </c>
      <c r="F58" s="10"/>
      <c r="G58" s="7"/>
      <c r="H58" s="7"/>
      <c r="I58" s="7"/>
      <c r="L58" s="5">
        <v>1</v>
      </c>
      <c r="S58" s="5">
        <f>SUM(bron[[#This Row],[Januari]:[December]])</f>
        <v>1</v>
      </c>
      <c r="T58" s="9">
        <v>45829</v>
      </c>
      <c r="U58" s="8" t="s">
        <v>3226</v>
      </c>
      <c r="V58" s="24">
        <v>1</v>
      </c>
      <c r="W58" s="24"/>
      <c r="X58" t="s">
        <v>57</v>
      </c>
      <c r="Y58" t="s">
        <v>22</v>
      </c>
    </row>
    <row r="59" spans="1:25" x14ac:dyDescent="0.25">
      <c r="A59">
        <v>36624</v>
      </c>
      <c r="B59" t="e">
        <f>_xlfn.CONCAT([2]!bron[[#This Row],[personeelsnr]]," ",C59," ",D59)</f>
        <v>#REF!</v>
      </c>
      <c r="C59" t="str">
        <f>VLOOKUP(bron[[#This Row],[personeelsnr]],'data hastus'!$A:$C,2,0)</f>
        <v>De Meulenaere</v>
      </c>
      <c r="D59" t="str">
        <f>VLOOKUP(bron[[#This Row],[personeelsnr]],'data hastus'!$A:$C,3,0)</f>
        <v>Kurt</v>
      </c>
      <c r="E59" t="str">
        <f>VLOOKUP(bron[[#This Row],[personeelsnr]],'data hastus'!A:K,11,FALSE)</f>
        <v>Dominique De Clercq</v>
      </c>
      <c r="F59" s="10"/>
      <c r="G59" s="7"/>
      <c r="H59" s="7"/>
      <c r="I59" s="7"/>
      <c r="L59" s="5">
        <v>1</v>
      </c>
      <c r="S59" s="5">
        <f>SUM(bron[[#This Row],[Januari]:[December]])</f>
        <v>1</v>
      </c>
      <c r="T59" s="9">
        <v>45829</v>
      </c>
      <c r="U59" s="8" t="s">
        <v>3228</v>
      </c>
      <c r="V59" s="24">
        <v>1</v>
      </c>
      <c r="W59" s="24"/>
      <c r="X59" t="s">
        <v>57</v>
      </c>
      <c r="Y59" t="s">
        <v>132</v>
      </c>
    </row>
    <row r="60" spans="1:25" x14ac:dyDescent="0.25">
      <c r="A60">
        <v>36426</v>
      </c>
      <c r="B60" t="e">
        <f>_xlfn.CONCAT([2]!bron[[#This Row],[personeelsnr]]," ",C60," ",D60)</f>
        <v>#REF!</v>
      </c>
      <c r="C60" t="str">
        <f>VLOOKUP(bron[[#This Row],[personeelsnr]],'data hastus'!$A:$C,2,0)</f>
        <v>Mohamed Yassin</v>
      </c>
      <c r="D60" t="str">
        <f>VLOOKUP(bron[[#This Row],[personeelsnr]],'data hastus'!$A:$C,3,0)</f>
        <v>Abdulhamid</v>
      </c>
      <c r="E60" t="str">
        <f>VLOOKUP(bron[[#This Row],[personeelsnr]],'data hastus'!A:K,11,FALSE)</f>
        <v>Bart Van Der Beken</v>
      </c>
      <c r="F60" s="10"/>
      <c r="G60" s="7"/>
      <c r="H60" s="7"/>
      <c r="I60" s="7"/>
      <c r="L60" s="5">
        <v>1</v>
      </c>
      <c r="S60" s="5">
        <f>SUM(bron[[#This Row],[Januari]:[December]])</f>
        <v>1</v>
      </c>
      <c r="T60" s="9">
        <v>45828</v>
      </c>
      <c r="U60" s="8" t="s">
        <v>3241</v>
      </c>
      <c r="V60" s="24"/>
      <c r="W60" s="24">
        <v>1</v>
      </c>
      <c r="X60" t="s">
        <v>58</v>
      </c>
      <c r="Y60" t="s">
        <v>74</v>
      </c>
    </row>
    <row r="61" spans="1:25" x14ac:dyDescent="0.25">
      <c r="A61">
        <v>26847</v>
      </c>
      <c r="B61" t="e">
        <f>_xlfn.CONCAT([2]!bron[[#This Row],[personeelsnr]]," ",C61," ",D61)</f>
        <v>#REF!</v>
      </c>
      <c r="C61" t="str">
        <f>VLOOKUP(bron[[#This Row],[personeelsnr]],'data hastus'!$A:$C,2,0)</f>
        <v>De Meester</v>
      </c>
      <c r="D61" t="str">
        <f>VLOOKUP(bron[[#This Row],[personeelsnr]],'data hastus'!$A:$C,3,0)</f>
        <v>David</v>
      </c>
      <c r="E61" t="str">
        <f>VLOOKUP(bron[[#This Row],[personeelsnr]],'data hastus'!A:K,11,FALSE)</f>
        <v>Bart Van Der Beken</v>
      </c>
      <c r="F61" s="10"/>
      <c r="G61" s="7"/>
      <c r="H61" s="7"/>
      <c r="I61" s="7"/>
      <c r="L61" s="5">
        <v>1</v>
      </c>
      <c r="S61" s="5">
        <f>SUM(bron[[#This Row],[Januari]:[December]])</f>
        <v>1</v>
      </c>
      <c r="T61" s="9">
        <v>45828</v>
      </c>
      <c r="U61" s="8" t="s">
        <v>3249</v>
      </c>
      <c r="V61" s="24"/>
      <c r="W61" s="24">
        <v>1</v>
      </c>
      <c r="X61" t="s">
        <v>58</v>
      </c>
      <c r="Y61" t="s">
        <v>18</v>
      </c>
    </row>
    <row r="62" spans="1:25" x14ac:dyDescent="0.25">
      <c r="A62">
        <v>41721</v>
      </c>
      <c r="B62" t="e">
        <f>_xlfn.CONCAT([2]!bron[[#This Row],[personeelsnr]]," ",C62," ",D62)</f>
        <v>#REF!</v>
      </c>
      <c r="C62" t="str">
        <f>VLOOKUP(bron[[#This Row],[personeelsnr]],'data hastus'!$A:$C,2,0)</f>
        <v>Nolf</v>
      </c>
      <c r="D62" t="str">
        <f>VLOOKUP(bron[[#This Row],[personeelsnr]],'data hastus'!$A:$C,3,0)</f>
        <v>Philippe</v>
      </c>
      <c r="E62" t="str">
        <f>VLOOKUP(bron[[#This Row],[personeelsnr]],'data hastus'!A:K,11,FALSE)</f>
        <v>Kenneth De Rick</v>
      </c>
      <c r="F62" s="10"/>
      <c r="G62" s="7"/>
      <c r="H62" s="7"/>
      <c r="I62" s="7"/>
      <c r="L62" s="5">
        <v>1</v>
      </c>
      <c r="S62" s="5">
        <f>SUM(bron[[#This Row],[Januari]:[December]])</f>
        <v>1</v>
      </c>
      <c r="T62" s="9">
        <v>45828</v>
      </c>
      <c r="U62" s="8" t="s">
        <v>3235</v>
      </c>
      <c r="V62" s="24">
        <v>1</v>
      </c>
      <c r="W62" s="24"/>
      <c r="X62" t="s">
        <v>57</v>
      </c>
      <c r="Y62" t="s">
        <v>140</v>
      </c>
    </row>
    <row r="63" spans="1:25" x14ac:dyDescent="0.25">
      <c r="A63">
        <v>36569</v>
      </c>
      <c r="B63" t="e">
        <f>_xlfn.CONCAT([2]!bron[[#This Row],[personeelsnr]]," ",C63," ",D63)</f>
        <v>#REF!</v>
      </c>
      <c r="C63" t="str">
        <f>VLOOKUP(bron[[#This Row],[personeelsnr]],'data hastus'!$A:$C,2,0)</f>
        <v>Stroobandt</v>
      </c>
      <c r="D63" t="str">
        <f>VLOOKUP(bron[[#This Row],[personeelsnr]],'data hastus'!$A:$C,3,0)</f>
        <v>Jonas</v>
      </c>
      <c r="E63" t="str">
        <f>VLOOKUP(bron[[#This Row],[personeelsnr]],'data hastus'!A:K,11,FALSE)</f>
        <v>Els Vanhoe</v>
      </c>
      <c r="F63" s="10"/>
      <c r="G63" s="7"/>
      <c r="H63" s="7"/>
      <c r="I63" s="7"/>
      <c r="L63" s="5">
        <v>1</v>
      </c>
      <c r="S63" s="5">
        <f>SUM(bron[[#This Row],[Januari]:[December]])</f>
        <v>1</v>
      </c>
      <c r="T63" s="9">
        <v>45828</v>
      </c>
      <c r="U63" s="8" t="s">
        <v>3236</v>
      </c>
      <c r="V63" s="24"/>
      <c r="W63" s="24">
        <v>1</v>
      </c>
      <c r="X63" t="s">
        <v>58</v>
      </c>
      <c r="Y63" t="s">
        <v>25</v>
      </c>
    </row>
    <row r="64" spans="1:25" x14ac:dyDescent="0.25">
      <c r="A64">
        <v>26695</v>
      </c>
      <c r="B64" t="e">
        <f>_xlfn.CONCAT([2]!bron[[#This Row],[personeelsnr]]," ",C64," ",D64)</f>
        <v>#REF!</v>
      </c>
      <c r="C64" t="str">
        <f>VLOOKUP(bron[[#This Row],[personeelsnr]],'data hastus'!$A:$C,2,0)</f>
        <v>Lippens</v>
      </c>
      <c r="D64" t="str">
        <f>VLOOKUP(bron[[#This Row],[personeelsnr]],'data hastus'!$A:$C,3,0)</f>
        <v>Miguel</v>
      </c>
      <c r="E64" t="str">
        <f>VLOOKUP(bron[[#This Row],[personeelsnr]],'data hastus'!A:K,11,FALSE)</f>
        <v>Christoff Rotty</v>
      </c>
      <c r="F64" s="10">
        <v>45821</v>
      </c>
      <c r="G64" s="7"/>
      <c r="H64" s="7"/>
      <c r="I64" s="7"/>
      <c r="L64" s="5">
        <v>1</v>
      </c>
      <c r="S64" s="5">
        <f>SUM(bron[[#This Row],[Januari]:[December]])</f>
        <v>1</v>
      </c>
      <c r="T64" s="9">
        <v>45821</v>
      </c>
      <c r="U64" s="8" t="s">
        <v>3248</v>
      </c>
      <c r="V64" s="24">
        <v>1</v>
      </c>
      <c r="W64" s="24"/>
      <c r="X64" t="s">
        <v>57</v>
      </c>
      <c r="Y64" t="s">
        <v>2896</v>
      </c>
    </row>
    <row r="65" spans="1:25" x14ac:dyDescent="0.25">
      <c r="A65">
        <v>31150</v>
      </c>
      <c r="B65" t="e">
        <f>_xlfn.CONCAT([2]!bron[[#This Row],[personeelsnr]]," ",C65," ",D65)</f>
        <v>#REF!</v>
      </c>
      <c r="C65" t="str">
        <f>VLOOKUP(bron[[#This Row],[personeelsnr]],'data hastus'!$A:$C,2,0)</f>
        <v>Oueslati</v>
      </c>
      <c r="D65" t="str">
        <f>VLOOKUP(bron[[#This Row],[personeelsnr]],'data hastus'!$A:$C,3,0)</f>
        <v>Mohamed Ali</v>
      </c>
      <c r="E65" t="str">
        <f>VLOOKUP(bron[[#This Row],[personeelsnr]],'data hastus'!A:K,11,FALSE)</f>
        <v>Kenneth De Rick</v>
      </c>
      <c r="F65" s="10"/>
      <c r="G65" s="7"/>
      <c r="H65" s="7"/>
      <c r="I65" s="7"/>
      <c r="L65" s="5">
        <v>1</v>
      </c>
      <c r="S65" s="5">
        <f>SUM(bron[[#This Row],[Januari]:[December]])</f>
        <v>1</v>
      </c>
      <c r="T65" s="9">
        <v>45820</v>
      </c>
      <c r="U65" s="8" t="s">
        <v>3213</v>
      </c>
      <c r="V65" s="24">
        <v>1</v>
      </c>
      <c r="W65" s="24"/>
      <c r="X65" t="s">
        <v>57</v>
      </c>
      <c r="Y65" t="s">
        <v>28</v>
      </c>
    </row>
    <row r="66" spans="1:25" x14ac:dyDescent="0.25">
      <c r="A66">
        <v>7746</v>
      </c>
      <c r="B66" t="e">
        <f>_xlfn.CONCAT([2]!bron[[#This Row],[personeelsnr]]," ",C66," ",D66)</f>
        <v>#REF!</v>
      </c>
      <c r="C66" t="str">
        <f>VLOOKUP(bron[[#This Row],[personeelsnr]],'data hastus'!$A:$C,2,0)</f>
        <v>Aelterman</v>
      </c>
      <c r="D66" t="str">
        <f>VLOOKUP(bron[[#This Row],[personeelsnr]],'data hastus'!$A:$C,3,0)</f>
        <v>Didier</v>
      </c>
      <c r="E66" t="str">
        <f>VLOOKUP(bron[[#This Row],[personeelsnr]],'data hastus'!A:K,11,FALSE)</f>
        <v>Christoff Rotty</v>
      </c>
      <c r="F66" s="10"/>
      <c r="G66" s="7"/>
      <c r="H66" s="7"/>
      <c r="I66" s="7"/>
      <c r="L66" s="5">
        <v>1</v>
      </c>
      <c r="S66" s="5">
        <f>SUM(bron[[#This Row],[Januari]:[December]])</f>
        <v>1</v>
      </c>
      <c r="T66" s="9">
        <v>45820</v>
      </c>
      <c r="U66" s="8" t="s">
        <v>3224</v>
      </c>
      <c r="V66" s="24">
        <v>1</v>
      </c>
      <c r="W66" s="24"/>
      <c r="X66" t="s">
        <v>57</v>
      </c>
      <c r="Y66" t="s">
        <v>2896</v>
      </c>
    </row>
    <row r="67" spans="1:25" x14ac:dyDescent="0.25">
      <c r="A67">
        <v>36512</v>
      </c>
      <c r="B67" t="e">
        <f>_xlfn.CONCAT([2]!bron[[#This Row],[personeelsnr]]," ",C67," ",D67)</f>
        <v>#REF!</v>
      </c>
      <c r="C67" t="str">
        <f>VLOOKUP(bron[[#This Row],[personeelsnr]],'data hastus'!$A:$C,2,0)</f>
        <v>Van Herreweghe</v>
      </c>
      <c r="D67" t="str">
        <f>VLOOKUP(bron[[#This Row],[personeelsnr]],'data hastus'!$A:$C,3,0)</f>
        <v>Branco</v>
      </c>
      <c r="E67" t="str">
        <f>VLOOKUP(bron[[#This Row],[personeelsnr]],'data hastus'!A:K,11,FALSE)</f>
        <v>Steven Storm</v>
      </c>
      <c r="F67" s="10"/>
      <c r="G67" s="7"/>
      <c r="H67" s="7"/>
      <c r="I67" s="7"/>
      <c r="L67" s="5">
        <v>1</v>
      </c>
      <c r="S67" s="5">
        <f>SUM(bron[[#This Row],[Januari]:[December]])</f>
        <v>1</v>
      </c>
      <c r="T67" s="9">
        <v>45819</v>
      </c>
      <c r="U67" s="8" t="s">
        <v>3244</v>
      </c>
      <c r="V67" s="24">
        <v>1</v>
      </c>
      <c r="W67" s="24"/>
      <c r="X67" t="s">
        <v>57</v>
      </c>
      <c r="Y67" t="s">
        <v>178</v>
      </c>
    </row>
    <row r="68" spans="1:25" x14ac:dyDescent="0.25">
      <c r="A68">
        <v>40645</v>
      </c>
      <c r="B68" t="e">
        <f>_xlfn.CONCAT([2]!bron[[#This Row],[personeelsnr]]," ",C68," ",D68)</f>
        <v>#REF!</v>
      </c>
      <c r="C68" t="str">
        <f>VLOOKUP(bron[[#This Row],[personeelsnr]],'data hastus'!$A:$C,2,0)</f>
        <v>Bytebier</v>
      </c>
      <c r="D68" t="str">
        <f>VLOOKUP(bron[[#This Row],[personeelsnr]],'data hastus'!$A:$C,3,0)</f>
        <v>Jason</v>
      </c>
      <c r="E68" t="str">
        <f>VLOOKUP(bron[[#This Row],[personeelsnr]],'data hastus'!A:K,11,FALSE)</f>
        <v>Els Dewulf</v>
      </c>
      <c r="F68" s="10"/>
      <c r="G68" s="7"/>
      <c r="H68" s="7"/>
      <c r="I68" s="7"/>
      <c r="L68" s="5">
        <v>1</v>
      </c>
      <c r="S68" s="5">
        <f>SUM(bron[[#This Row],[Januari]:[December]])</f>
        <v>1</v>
      </c>
      <c r="T68" s="9">
        <v>45818</v>
      </c>
      <c r="U68" s="8" t="s">
        <v>3227</v>
      </c>
      <c r="V68" s="24">
        <v>1</v>
      </c>
      <c r="W68" s="24"/>
      <c r="X68" t="s">
        <v>57</v>
      </c>
      <c r="Y68" t="s">
        <v>29</v>
      </c>
    </row>
    <row r="69" spans="1:25" x14ac:dyDescent="0.25">
      <c r="A69">
        <v>37208</v>
      </c>
      <c r="B69" t="e">
        <f>_xlfn.CONCAT([2]!bron[[#This Row],[personeelsnr]]," ",C69," ",D69)</f>
        <v>#REF!</v>
      </c>
      <c r="C69" t="str">
        <f>VLOOKUP(bron[[#This Row],[personeelsnr]],'data hastus'!$A:$C,2,0)</f>
        <v>Catar</v>
      </c>
      <c r="D69" t="str">
        <f>VLOOKUP(bron[[#This Row],[personeelsnr]],'data hastus'!$A:$C,3,0)</f>
        <v>Gökhan</v>
      </c>
      <c r="E69" t="str">
        <f>VLOOKUP(bron[[#This Row],[personeelsnr]],'data hastus'!A:K,11,FALSE)</f>
        <v>Kenneth De Rick</v>
      </c>
      <c r="F69" s="10"/>
      <c r="G69" s="7"/>
      <c r="H69" s="7"/>
      <c r="I69" s="7"/>
      <c r="L69" s="5">
        <v>1</v>
      </c>
      <c r="S69" s="5">
        <f>SUM(bron[[#This Row],[Januari]:[December]])</f>
        <v>1</v>
      </c>
      <c r="T69" s="9">
        <v>45815</v>
      </c>
      <c r="U69" s="8" t="s">
        <v>3238</v>
      </c>
      <c r="V69" s="24"/>
      <c r="W69" s="24">
        <v>1</v>
      </c>
      <c r="X69" t="s">
        <v>58</v>
      </c>
      <c r="Y69" t="s">
        <v>18</v>
      </c>
    </row>
    <row r="70" spans="1:25" x14ac:dyDescent="0.25">
      <c r="A70">
        <v>36627</v>
      </c>
      <c r="B70" t="e">
        <f>_xlfn.CONCAT([2]!bron[[#This Row],[personeelsnr]]," ",C70," ",D70)</f>
        <v>#REF!</v>
      </c>
      <c r="C70" t="str">
        <f>VLOOKUP(bron[[#This Row],[personeelsnr]],'data hastus'!$A:$C,2,0)</f>
        <v>Dobbelaere</v>
      </c>
      <c r="D70" t="str">
        <f>VLOOKUP(bron[[#This Row],[personeelsnr]],'data hastus'!$A:$C,3,0)</f>
        <v>David</v>
      </c>
      <c r="E70" t="str">
        <f>VLOOKUP(bron[[#This Row],[personeelsnr]],'data hastus'!A:K,11,FALSE)</f>
        <v>Els Dewulf</v>
      </c>
      <c r="F70" s="10"/>
      <c r="G70" s="7"/>
      <c r="H70" s="7"/>
      <c r="I70" s="7"/>
      <c r="L70" s="5">
        <v>1</v>
      </c>
      <c r="S70" s="5">
        <f>SUM(bron[[#This Row],[Januari]:[December]])</f>
        <v>1</v>
      </c>
      <c r="T70" s="9">
        <v>45814</v>
      </c>
      <c r="U70" s="8" t="s">
        <v>3243</v>
      </c>
      <c r="V70" s="24"/>
      <c r="W70" s="24">
        <v>1</v>
      </c>
      <c r="X70" t="s">
        <v>58</v>
      </c>
      <c r="Y70" t="s">
        <v>27</v>
      </c>
    </row>
    <row r="71" spans="1:25" x14ac:dyDescent="0.25">
      <c r="A71">
        <v>41032</v>
      </c>
      <c r="B71" t="e">
        <f>_xlfn.CONCAT([2]!bron[[#This Row],[personeelsnr]]," ",C71," ",D71)</f>
        <v>#REF!</v>
      </c>
      <c r="C71" t="str">
        <f>VLOOKUP(bron[[#This Row],[personeelsnr]],'data hastus'!$A:$C,2,0)</f>
        <v>Rocabado Hinojosa</v>
      </c>
      <c r="D71" t="str">
        <f>VLOOKUP(bron[[#This Row],[personeelsnr]],'data hastus'!$A:$C,3,0)</f>
        <v>Lukas</v>
      </c>
      <c r="E71" t="str">
        <f>VLOOKUP(bron[[#This Row],[personeelsnr]],'data hastus'!A:K,11,FALSE)</f>
        <v>Els Vanhoe</v>
      </c>
      <c r="F71" s="10"/>
      <c r="G71" s="7"/>
      <c r="H71" s="7"/>
      <c r="I71" s="7"/>
      <c r="L71" s="5">
        <v>1</v>
      </c>
      <c r="S71" s="5">
        <f>SUM(bron[[#This Row],[Januari]:[December]])</f>
        <v>1</v>
      </c>
      <c r="T71" s="9">
        <v>45813</v>
      </c>
      <c r="U71" s="8" t="s">
        <v>3220</v>
      </c>
      <c r="V71" s="8">
        <v>1</v>
      </c>
      <c r="W71" s="8"/>
      <c r="X71" t="s">
        <v>57</v>
      </c>
      <c r="Y71" t="s">
        <v>62</v>
      </c>
    </row>
    <row r="72" spans="1:25" x14ac:dyDescent="0.25">
      <c r="A72">
        <v>41032</v>
      </c>
      <c r="B72" t="e">
        <f>_xlfn.CONCAT([2]!bron[[#This Row],[personeelsnr]]," ",C72," ",D72)</f>
        <v>#REF!</v>
      </c>
      <c r="C72" t="str">
        <f>VLOOKUP(bron[[#This Row],[personeelsnr]],'data hastus'!$A:$C,2,0)</f>
        <v>Rocabado Hinojosa</v>
      </c>
      <c r="D72" t="str">
        <f>VLOOKUP(bron[[#This Row],[personeelsnr]],'data hastus'!$A:$C,3,0)</f>
        <v>Lukas</v>
      </c>
      <c r="E72" t="str">
        <f>VLOOKUP(bron[[#This Row],[personeelsnr]],'data hastus'!A:K,11,FALSE)</f>
        <v>Els Vanhoe</v>
      </c>
      <c r="F72" s="10"/>
      <c r="G72" s="7"/>
      <c r="H72" s="7"/>
      <c r="I72" s="7"/>
      <c r="L72" s="5">
        <v>1</v>
      </c>
      <c r="S72" s="5">
        <f>SUM(bron[[#This Row],[Januari]:[December]])</f>
        <v>1</v>
      </c>
      <c r="T72" s="9">
        <v>45813</v>
      </c>
      <c r="U72" s="8" t="s">
        <v>3221</v>
      </c>
      <c r="V72" s="8">
        <v>1</v>
      </c>
      <c r="W72" s="8"/>
      <c r="X72" t="s">
        <v>57</v>
      </c>
      <c r="Y72" t="s">
        <v>20</v>
      </c>
    </row>
    <row r="73" spans="1:25" x14ac:dyDescent="0.25">
      <c r="A73">
        <v>38481</v>
      </c>
      <c r="B73" t="e">
        <f>_xlfn.CONCAT([2]!bron[[#This Row],[personeelsnr]]," ",C73," ",D73)</f>
        <v>#REF!</v>
      </c>
      <c r="C73" t="str">
        <f>VLOOKUP(bron[[#This Row],[personeelsnr]],'data hastus'!$A:$C,2,0)</f>
        <v>Sari</v>
      </c>
      <c r="D73" t="str">
        <f>VLOOKUP(bron[[#This Row],[personeelsnr]],'data hastus'!$A:$C,3,0)</f>
        <v>Devrim</v>
      </c>
      <c r="E73" t="str">
        <f>VLOOKUP(bron[[#This Row],[personeelsnr]],'data hastus'!A:K,11,FALSE)</f>
        <v>Kenneth De Rick</v>
      </c>
      <c r="F73" s="10"/>
      <c r="G73" s="7"/>
      <c r="H73" s="7"/>
      <c r="I73" s="7"/>
      <c r="L73" s="5">
        <v>1</v>
      </c>
      <c r="S73" s="5">
        <f>SUM(bron[[#This Row],[Januari]:[December]])</f>
        <v>1</v>
      </c>
      <c r="T73" s="9">
        <v>45812</v>
      </c>
      <c r="U73" s="8" t="s">
        <v>3247</v>
      </c>
      <c r="V73" s="24">
        <v>1</v>
      </c>
      <c r="W73" s="24"/>
      <c r="X73" t="s">
        <v>57</v>
      </c>
      <c r="Y73" t="s">
        <v>2897</v>
      </c>
    </row>
    <row r="74" spans="1:25" x14ac:dyDescent="0.25">
      <c r="A74">
        <v>36154</v>
      </c>
      <c r="B74" t="e">
        <f>_xlfn.CONCAT([2]!bron[[#This Row],[personeelsnr]]," ",C74," ",D74)</f>
        <v>#REF!</v>
      </c>
      <c r="C74" t="str">
        <f>VLOOKUP(bron[[#This Row],[personeelsnr]],'data hastus'!$A:$C,2,0)</f>
        <v>De Clercq</v>
      </c>
      <c r="D74" t="str">
        <f>VLOOKUP(bron[[#This Row],[personeelsnr]],'data hastus'!$A:$C,3,0)</f>
        <v>Sven</v>
      </c>
      <c r="E74" t="str">
        <f>VLOOKUP(bron[[#This Row],[personeelsnr]],'data hastus'!A:K,11,FALSE)</f>
        <v>Lucie Vande Velde</v>
      </c>
      <c r="F74" s="10"/>
      <c r="G74" s="7"/>
      <c r="H74" s="7"/>
      <c r="I74" s="7"/>
      <c r="L74" s="5">
        <v>1</v>
      </c>
      <c r="S74" s="5">
        <f>SUM(bron[[#This Row],[Januari]:[December]])</f>
        <v>1</v>
      </c>
      <c r="T74" s="9">
        <v>45811</v>
      </c>
      <c r="U74" s="8" t="s">
        <v>3240</v>
      </c>
      <c r="V74" s="8"/>
      <c r="W74" s="8">
        <v>1</v>
      </c>
      <c r="X74" t="s">
        <v>58</v>
      </c>
      <c r="Y74" t="s">
        <v>34</v>
      </c>
    </row>
    <row r="75" spans="1:25" x14ac:dyDescent="0.25">
      <c r="A75">
        <v>41064</v>
      </c>
      <c r="B75" t="e">
        <f>_xlfn.CONCAT([2]!bron[[#This Row],[personeelsnr]]," ",C75," ",D75)</f>
        <v>#REF!</v>
      </c>
      <c r="C75" t="str">
        <f>VLOOKUP(bron[[#This Row],[personeelsnr]],'data hastus'!$A:$C,2,0)</f>
        <v>Ardic</v>
      </c>
      <c r="D75" t="str">
        <f>VLOOKUP(bron[[#This Row],[personeelsnr]],'data hastus'!$A:$C,3,0)</f>
        <v>Atilla</v>
      </c>
      <c r="E75" t="str">
        <f>VLOOKUP(bron[[#This Row],[personeelsnr]],'data hastus'!A:K,11,FALSE)</f>
        <v>Dominique De Clercq</v>
      </c>
      <c r="F75" s="10"/>
      <c r="G75" s="7"/>
      <c r="H75" s="7"/>
      <c r="I75" s="7"/>
      <c r="L75" s="5">
        <v>1</v>
      </c>
      <c r="S75" s="5">
        <f>SUM(bron[[#This Row],[Januari]:[December]])</f>
        <v>1</v>
      </c>
      <c r="T75" s="9">
        <v>45811</v>
      </c>
      <c r="U75" s="8" t="s">
        <v>3217</v>
      </c>
      <c r="V75" s="24">
        <v>1</v>
      </c>
      <c r="W75" s="24"/>
      <c r="X75" t="s">
        <v>57</v>
      </c>
      <c r="Y75" t="s">
        <v>19</v>
      </c>
    </row>
    <row r="76" spans="1:25" x14ac:dyDescent="0.25">
      <c r="A76">
        <v>41246</v>
      </c>
      <c r="B76" t="e">
        <f>_xlfn.CONCAT([2]!bron[[#This Row],[personeelsnr]]," ",C76," ",D76)</f>
        <v>#REF!</v>
      </c>
      <c r="C76" t="str">
        <f>VLOOKUP(bron[[#This Row],[personeelsnr]],'data hastus'!$A:$C,2,0)</f>
        <v>Van Holsbeeck</v>
      </c>
      <c r="D76" t="str">
        <f>VLOOKUP(bron[[#This Row],[personeelsnr]],'data hastus'!$A:$C,3,0)</f>
        <v>Yana</v>
      </c>
      <c r="E76" t="str">
        <f>VLOOKUP(bron[[#This Row],[personeelsnr]],'data hastus'!A:K,11,FALSE)</f>
        <v>Dominique De Clercq</v>
      </c>
      <c r="F76" s="10"/>
      <c r="G76" s="7"/>
      <c r="H76" s="7"/>
      <c r="I76" s="7"/>
      <c r="L76" s="5">
        <v>1</v>
      </c>
      <c r="S76" s="5">
        <f>SUM(bron[[#This Row],[Januari]:[December]])</f>
        <v>1</v>
      </c>
      <c r="T76" s="9">
        <v>45811</v>
      </c>
      <c r="U76" s="8" t="s">
        <v>3230</v>
      </c>
      <c r="V76" s="8">
        <v>1</v>
      </c>
      <c r="W76" s="8"/>
      <c r="X76" t="s">
        <v>57</v>
      </c>
      <c r="Y76" t="s">
        <v>233</v>
      </c>
    </row>
    <row r="77" spans="1:25" x14ac:dyDescent="0.25">
      <c r="A77">
        <v>23918</v>
      </c>
      <c r="B77" t="e">
        <f>_xlfn.CONCAT([2]!bron[[#This Row],[personeelsnr]]," ",C77," ",D77)</f>
        <v>#REF!</v>
      </c>
      <c r="C77" t="str">
        <f>VLOOKUP(bron[[#This Row],[personeelsnr]],'data hastus'!$A:$C,2,0)</f>
        <v>D'Haeyere</v>
      </c>
      <c r="D77" t="str">
        <f>VLOOKUP(bron[[#This Row],[personeelsnr]],'data hastus'!$A:$C,3,0)</f>
        <v>Bernard</v>
      </c>
      <c r="E77" t="str">
        <f>VLOOKUP(bron[[#This Row],[personeelsnr]],'data hastus'!A:K,11,FALSE)</f>
        <v>Els Vanhoe</v>
      </c>
      <c r="F77" s="10"/>
      <c r="G77" s="7"/>
      <c r="H77" s="7"/>
      <c r="I77" s="7"/>
      <c r="L77" s="5">
        <v>1</v>
      </c>
      <c r="S77" s="5">
        <f>SUM(bron[[#This Row],[Januari]:[December]])</f>
        <v>1</v>
      </c>
      <c r="T77" s="9">
        <v>45811</v>
      </c>
      <c r="U77" s="8" t="s">
        <v>3234</v>
      </c>
      <c r="V77" s="8">
        <v>1</v>
      </c>
      <c r="W77" s="8"/>
      <c r="X77" t="s">
        <v>57</v>
      </c>
      <c r="Y77" t="s">
        <v>187</v>
      </c>
    </row>
    <row r="78" spans="1:25" x14ac:dyDescent="0.25">
      <c r="A78">
        <v>40278</v>
      </c>
      <c r="B78" t="e">
        <f>_xlfn.CONCAT([2]!bron[[#This Row],[personeelsnr]]," ",C78," ",D78)</f>
        <v>#REF!</v>
      </c>
      <c r="C78" t="str">
        <f>VLOOKUP(bron[[#This Row],[personeelsnr]],'data hastus'!$A:$C,2,0)</f>
        <v>Ates</v>
      </c>
      <c r="D78" t="str">
        <f>VLOOKUP(bron[[#This Row],[personeelsnr]],'data hastus'!$A:$C,3,0)</f>
        <v>Firat</v>
      </c>
      <c r="E78" t="str">
        <f>VLOOKUP(bron[[#This Row],[personeelsnr]],'data hastus'!A:K,11,FALSE)</f>
        <v>Christoff Rotty</v>
      </c>
      <c r="F78" s="10"/>
      <c r="G78" s="7"/>
      <c r="H78" s="7"/>
      <c r="I78" s="7"/>
      <c r="L78" s="5">
        <v>1</v>
      </c>
      <c r="S78" s="5">
        <f>SUM(bron[[#This Row],[Januari]:[December]])</f>
        <v>1</v>
      </c>
      <c r="T78" s="9">
        <v>45810</v>
      </c>
      <c r="U78" s="8" t="s">
        <v>3219</v>
      </c>
      <c r="V78" s="8">
        <v>1</v>
      </c>
      <c r="W78" s="8"/>
      <c r="X78" t="s">
        <v>57</v>
      </c>
      <c r="Y78" t="s">
        <v>111</v>
      </c>
    </row>
    <row r="79" spans="1:25" x14ac:dyDescent="0.25">
      <c r="A79">
        <v>41384</v>
      </c>
      <c r="B79" t="e">
        <f>_xlfn.CONCAT([2]!bron[[#This Row],[personeelsnr]]," ",C79," ",D79)</f>
        <v>#REF!</v>
      </c>
      <c r="C79" t="str">
        <f>VLOOKUP(bron[[#This Row],[personeelsnr]],'data hastus'!$A:$C,2,0)</f>
        <v>Hillaert</v>
      </c>
      <c r="D79" t="str">
        <f>VLOOKUP(bron[[#This Row],[personeelsnr]],'data hastus'!$A:$C,3,0)</f>
        <v>Thimo</v>
      </c>
      <c r="E79" t="str">
        <f>VLOOKUP(bron[[#This Row],[personeelsnr]],'data hastus'!A:K,11,FALSE)</f>
        <v>Christoff Rotty</v>
      </c>
      <c r="F79" s="10"/>
      <c r="G79" s="7"/>
      <c r="H79" s="7"/>
      <c r="I79" s="7"/>
      <c r="L79" s="5">
        <v>1</v>
      </c>
      <c r="S79" s="5">
        <f>SUM(bron[[#This Row],[Januari]:[December]])</f>
        <v>1</v>
      </c>
      <c r="T79" s="9">
        <v>45810</v>
      </c>
      <c r="U79" s="8" t="s">
        <v>3225</v>
      </c>
      <c r="V79" s="8">
        <v>1</v>
      </c>
      <c r="W79" s="8"/>
      <c r="X79" t="s">
        <v>57</v>
      </c>
      <c r="Y79" t="s">
        <v>41</v>
      </c>
    </row>
    <row r="80" spans="1:25" x14ac:dyDescent="0.25">
      <c r="A80">
        <v>40036</v>
      </c>
      <c r="B80" t="e">
        <f>_xlfn.CONCAT([2]!bron[[#This Row],[personeelsnr]]," ",C80," ",D80)</f>
        <v>#REF!</v>
      </c>
      <c r="C80" t="str">
        <f>VLOOKUP(bron[[#This Row],[personeelsnr]],'data hastus'!$A:$C,2,0)</f>
        <v>Karakaya</v>
      </c>
      <c r="D80" t="str">
        <f>VLOOKUP(bron[[#This Row],[personeelsnr]],'data hastus'!$A:$C,3,0)</f>
        <v>Oguz</v>
      </c>
      <c r="E80" t="str">
        <f>VLOOKUP(bron[[#This Row],[personeelsnr]],'data hastus'!A:K,11,FALSE)</f>
        <v>Dominique De Clercq</v>
      </c>
      <c r="F80" s="10"/>
      <c r="G80" s="7"/>
      <c r="H80" s="7"/>
      <c r="I80" s="7"/>
      <c r="L80" s="5">
        <v>1</v>
      </c>
      <c r="S80" s="5">
        <f>SUM(bron[[#This Row],[Januari]:[December]])</f>
        <v>1</v>
      </c>
      <c r="T80" s="9">
        <v>45810</v>
      </c>
      <c r="U80" s="8" t="s">
        <v>3233</v>
      </c>
      <c r="V80" s="8">
        <v>1</v>
      </c>
      <c r="W80" s="8"/>
      <c r="X80" t="s">
        <v>57</v>
      </c>
      <c r="Y80" t="s">
        <v>88</v>
      </c>
    </row>
    <row r="81" spans="1:25" x14ac:dyDescent="0.25">
      <c r="A81">
        <v>39927</v>
      </c>
      <c r="B81" t="e">
        <f>_xlfn.CONCAT([2]!bron[[#This Row],[personeelsnr]]," ",C81," ",D81)</f>
        <v>#REF!</v>
      </c>
      <c r="C81" t="str">
        <f>VLOOKUP(bron[[#This Row],[personeelsnr]],'data hastus'!$A:$C,2,0)</f>
        <v>De Wilde</v>
      </c>
      <c r="D81" t="str">
        <f>VLOOKUP(bron[[#This Row],[personeelsnr]],'data hastus'!$A:$C,3,0)</f>
        <v>Jordy</v>
      </c>
      <c r="E81" t="str">
        <f>VLOOKUP(bron[[#This Row],[personeelsnr]],'data hastus'!A:K,11,FALSE)</f>
        <v>Christoff Rotty</v>
      </c>
      <c r="F81" s="10"/>
      <c r="G81" s="7"/>
      <c r="H81" s="7"/>
      <c r="I81" s="7"/>
      <c r="K81" s="5">
        <v>1</v>
      </c>
      <c r="S81" s="5">
        <f>SUM(bron[[#This Row],[Januari]:[December]])</f>
        <v>1</v>
      </c>
      <c r="T81" s="9">
        <v>45808</v>
      </c>
      <c r="U81" s="8" t="s">
        <v>3187</v>
      </c>
      <c r="V81" s="8"/>
      <c r="W81" s="8">
        <v>1</v>
      </c>
      <c r="X81" t="s">
        <v>58</v>
      </c>
      <c r="Y81" t="s">
        <v>19</v>
      </c>
    </row>
    <row r="82" spans="1:25" x14ac:dyDescent="0.25">
      <c r="A82">
        <v>41619</v>
      </c>
      <c r="B82" t="e">
        <f>_xlfn.CONCAT([2]!bron[[#This Row],[personeelsnr]]," ",C82," ",D82)</f>
        <v>#REF!</v>
      </c>
      <c r="C82" t="str">
        <f>VLOOKUP(bron[[#This Row],[personeelsnr]],'data hastus'!$A:$C,2,0)</f>
        <v>Bachiri</v>
      </c>
      <c r="D82" t="str">
        <f>VLOOKUP(bron[[#This Row],[personeelsnr]],'data hastus'!$A:$C,3,0)</f>
        <v>Ousama</v>
      </c>
      <c r="E82" t="str">
        <f>VLOOKUP(bron[[#This Row],[personeelsnr]],'data hastus'!A:K,11,FALSE)</f>
        <v>Bart Van Der Beken</v>
      </c>
      <c r="F82" s="10"/>
      <c r="G82" s="7"/>
      <c r="H82" s="7"/>
      <c r="I82" s="7"/>
      <c r="K82" s="5">
        <v>1</v>
      </c>
      <c r="S82" s="5">
        <f>SUM(bron[[#This Row],[Januari]:[December]])</f>
        <v>1</v>
      </c>
      <c r="T82" s="9">
        <v>45807</v>
      </c>
      <c r="U82" s="8" t="s">
        <v>3232</v>
      </c>
      <c r="V82" s="8">
        <v>1</v>
      </c>
      <c r="W82" s="8"/>
      <c r="X82" t="s">
        <v>57</v>
      </c>
      <c r="Y82" t="s">
        <v>140</v>
      </c>
    </row>
    <row r="83" spans="1:25" x14ac:dyDescent="0.25">
      <c r="A83">
        <v>40856</v>
      </c>
      <c r="B83" t="e">
        <f>_xlfn.CONCAT([2]!bron[[#This Row],[personeelsnr]]," ",C83," ",D83)</f>
        <v>#REF!</v>
      </c>
      <c r="C83" t="str">
        <f>VLOOKUP(bron[[#This Row],[personeelsnr]],'data hastus'!$A:$C,2,0)</f>
        <v>Neissi</v>
      </c>
      <c r="D83" t="str">
        <f>VLOOKUP(bron[[#This Row],[personeelsnr]],'data hastus'!$A:$C,3,0)</f>
        <v>Sadegh</v>
      </c>
      <c r="E83" t="str">
        <f>VLOOKUP(bron[[#This Row],[personeelsnr]],'data hastus'!A:K,11,FALSE)</f>
        <v>Kenneth De Rick</v>
      </c>
      <c r="F83" s="10"/>
      <c r="G83" s="7"/>
      <c r="H83" s="7"/>
      <c r="I83" s="7"/>
      <c r="K83" s="5">
        <v>1</v>
      </c>
      <c r="S83" s="5">
        <f>SUM(bron[[#This Row],[Januari]:[December]])</f>
        <v>1</v>
      </c>
      <c r="T83" s="9">
        <v>45806</v>
      </c>
      <c r="U83" s="8" t="s">
        <v>3188</v>
      </c>
      <c r="V83" s="8">
        <v>1</v>
      </c>
      <c r="W83" s="8"/>
      <c r="X83" t="s">
        <v>57</v>
      </c>
      <c r="Y83" t="s">
        <v>114</v>
      </c>
    </row>
    <row r="84" spans="1:25" x14ac:dyDescent="0.25">
      <c r="A84">
        <v>15282</v>
      </c>
      <c r="B84" t="e">
        <f>_xlfn.CONCAT([2]!bron[[#This Row],[personeelsnr]]," ",C84," ",D84)</f>
        <v>#REF!</v>
      </c>
      <c r="C84" t="str">
        <f>VLOOKUP(bron[[#This Row],[personeelsnr]],'data hastus'!$A:$C,2,0)</f>
        <v>Marinx</v>
      </c>
      <c r="D84" t="str">
        <f>VLOOKUP(bron[[#This Row],[personeelsnr]],'data hastus'!$A:$C,3,0)</f>
        <v>Kristoff</v>
      </c>
      <c r="E84" t="str">
        <f>VLOOKUP(bron[[#This Row],[personeelsnr]],'data hastus'!A:K,11,FALSE)</f>
        <v>Kenneth De Rick</v>
      </c>
      <c r="F84" s="10"/>
      <c r="G84" s="7"/>
      <c r="H84" s="7"/>
      <c r="I84" s="7"/>
      <c r="K84" s="5">
        <v>1</v>
      </c>
      <c r="S84" s="5">
        <f>SUM(bron[[#This Row],[Januari]:[December]])</f>
        <v>1</v>
      </c>
      <c r="T84" s="9">
        <v>45803</v>
      </c>
      <c r="U84" s="8" t="s">
        <v>3191</v>
      </c>
      <c r="V84" s="8"/>
      <c r="W84" s="8">
        <v>1</v>
      </c>
      <c r="X84" t="s">
        <v>58</v>
      </c>
      <c r="Y84" t="s">
        <v>96</v>
      </c>
    </row>
    <row r="85" spans="1:25" x14ac:dyDescent="0.25">
      <c r="A85">
        <v>15412</v>
      </c>
      <c r="B85" t="e">
        <f>_xlfn.CONCAT([2]!bron[[#This Row],[personeelsnr]]," ",C85," ",D85)</f>
        <v>#REF!</v>
      </c>
      <c r="C85" t="str">
        <f>VLOOKUP(bron[[#This Row],[personeelsnr]],'data hastus'!$A:$C,2,0)</f>
        <v>Dhondt</v>
      </c>
      <c r="D85" t="str">
        <f>VLOOKUP(bron[[#This Row],[personeelsnr]],'data hastus'!$A:$C,3,0)</f>
        <v>Frank</v>
      </c>
      <c r="E85" t="str">
        <f>VLOOKUP(bron[[#This Row],[personeelsnr]],'data hastus'!A:K,11,FALSE)</f>
        <v>Bart Van Der Beken</v>
      </c>
      <c r="F85" s="10"/>
      <c r="G85" s="7"/>
      <c r="H85" s="7"/>
      <c r="I85" s="7"/>
      <c r="L85" s="5">
        <v>1</v>
      </c>
      <c r="S85" s="5">
        <f>SUM(bron[[#This Row],[Januari]:[December]])</f>
        <v>1</v>
      </c>
      <c r="T85" s="9">
        <v>45803</v>
      </c>
      <c r="U85" s="8" t="s">
        <v>3186</v>
      </c>
      <c r="V85" s="8">
        <v>1</v>
      </c>
      <c r="W85" s="8"/>
      <c r="X85" t="s">
        <v>57</v>
      </c>
      <c r="Y85" t="s">
        <v>116</v>
      </c>
    </row>
    <row r="86" spans="1:25" x14ac:dyDescent="0.25">
      <c r="A86">
        <v>36438</v>
      </c>
      <c r="B86" t="e">
        <f>_xlfn.CONCAT([2]!bron[[#This Row],[personeelsnr]]," ",C86," ",D86)</f>
        <v>#REF!</v>
      </c>
      <c r="C86" t="str">
        <f>VLOOKUP(bron[[#This Row],[personeelsnr]],'data hastus'!$A:$C,2,0)</f>
        <v>Agil</v>
      </c>
      <c r="D86" t="str">
        <f>VLOOKUP(bron[[#This Row],[personeelsnr]],'data hastus'!$A:$C,3,0)</f>
        <v>Birol</v>
      </c>
      <c r="E86" t="str">
        <f>VLOOKUP(bron[[#This Row],[personeelsnr]],'data hastus'!A:K,11,FALSE)</f>
        <v>Bart Van Der Beken</v>
      </c>
      <c r="F86" s="10"/>
      <c r="G86" s="6"/>
      <c r="H86" s="6"/>
      <c r="I86" s="6"/>
      <c r="J86"/>
      <c r="K86">
        <v>1</v>
      </c>
      <c r="L86"/>
      <c r="M86"/>
      <c r="N86"/>
      <c r="O86"/>
      <c r="P86"/>
      <c r="Q86"/>
      <c r="R86"/>
      <c r="S86">
        <f>SUM(bron[[#This Row],[Januari]:[December]])</f>
        <v>1</v>
      </c>
      <c r="T86" s="3">
        <v>45803</v>
      </c>
      <c r="U86" s="8" t="s">
        <v>3190</v>
      </c>
      <c r="V86" s="8"/>
      <c r="W86" s="8">
        <v>1</v>
      </c>
      <c r="X86" t="s">
        <v>58</v>
      </c>
      <c r="Y86" t="s">
        <v>97</v>
      </c>
    </row>
    <row r="87" spans="1:25" x14ac:dyDescent="0.25">
      <c r="A87">
        <v>39651</v>
      </c>
      <c r="B87" t="e">
        <f>_xlfn.CONCAT([2]!bron[[#This Row],[personeelsnr]]," ",C87," ",D87)</f>
        <v>#REF!</v>
      </c>
      <c r="C87" t="str">
        <f>VLOOKUP(bron[[#This Row],[personeelsnr]],'data hastus'!$A:$C,2,0)</f>
        <v>Kallenbach</v>
      </c>
      <c r="D87" t="str">
        <f>VLOOKUP(bron[[#This Row],[personeelsnr]],'data hastus'!$A:$C,3,0)</f>
        <v>Sunny</v>
      </c>
      <c r="E87" t="str">
        <f>VLOOKUP(bron[[#This Row],[personeelsnr]],'data hastus'!A:K,11,FALSE)</f>
        <v>Kenneth De Rick</v>
      </c>
      <c r="F87" s="10">
        <v>45800</v>
      </c>
      <c r="G87" s="7"/>
      <c r="H87" s="7"/>
      <c r="I87" s="7"/>
      <c r="K87" s="5">
        <v>1</v>
      </c>
      <c r="S87" s="5">
        <f>SUM(bron[[#This Row],[Januari]:[December]])</f>
        <v>1</v>
      </c>
      <c r="T87" s="9">
        <v>45800</v>
      </c>
      <c r="U87" s="8" t="s">
        <v>3185</v>
      </c>
      <c r="V87" s="24">
        <v>1</v>
      </c>
      <c r="W87" s="24"/>
      <c r="X87" t="s">
        <v>57</v>
      </c>
      <c r="Y87" t="s">
        <v>18</v>
      </c>
    </row>
    <row r="88" spans="1:25" x14ac:dyDescent="0.25">
      <c r="A88">
        <v>40278</v>
      </c>
      <c r="B88" t="e">
        <f>_xlfn.CONCAT([2]!bron[[#This Row],[personeelsnr]]," ",C88," ",D88)</f>
        <v>#REF!</v>
      </c>
      <c r="C88" t="str">
        <f>VLOOKUP(bron[[#This Row],[personeelsnr]],'data hastus'!$A:$C,2,0)</f>
        <v>Ates</v>
      </c>
      <c r="D88" t="str">
        <f>VLOOKUP(bron[[#This Row],[personeelsnr]],'data hastus'!$A:$C,3,0)</f>
        <v>Firat</v>
      </c>
      <c r="E88" t="str">
        <f>VLOOKUP(bron[[#This Row],[personeelsnr]],'data hastus'!A:K,11,FALSE)</f>
        <v>Christoff Rotty</v>
      </c>
      <c r="F88" s="10"/>
      <c r="G88" s="7"/>
      <c r="H88" s="7"/>
      <c r="I88" s="7"/>
      <c r="K88" s="5">
        <v>1</v>
      </c>
      <c r="S88" s="5">
        <f>SUM(bron[[#This Row],[Januari]:[December]])</f>
        <v>1</v>
      </c>
      <c r="T88" s="9">
        <v>45800</v>
      </c>
      <c r="U88" s="5" t="s">
        <v>794</v>
      </c>
      <c r="V88" s="8">
        <v>1</v>
      </c>
      <c r="X88" t="s">
        <v>57</v>
      </c>
      <c r="Y88" t="s">
        <v>30</v>
      </c>
    </row>
    <row r="89" spans="1:25" x14ac:dyDescent="0.25">
      <c r="A89">
        <v>41482</v>
      </c>
      <c r="B89" t="e">
        <f>_xlfn.CONCAT([2]!bron[[#This Row],[personeelsnr]]," ",C89," ",D89)</f>
        <v>#REF!</v>
      </c>
      <c r="C89" t="str">
        <f>VLOOKUP(bron[[#This Row],[personeelsnr]],'data hastus'!$A:$C,2,0)</f>
        <v>Özdemir</v>
      </c>
      <c r="D89" t="str">
        <f>VLOOKUP(bron[[#This Row],[personeelsnr]],'data hastus'!$A:$C,3,0)</f>
        <v>Osman</v>
      </c>
      <c r="E89" t="str">
        <f>VLOOKUP(bron[[#This Row],[personeelsnr]],'data hastus'!A:K,11,FALSE)</f>
        <v>Bart Van Der Beken</v>
      </c>
      <c r="F89" s="10"/>
      <c r="G89" s="7"/>
      <c r="H89" s="7"/>
      <c r="I89" s="7"/>
      <c r="K89" s="5">
        <v>1</v>
      </c>
      <c r="S89" s="5">
        <f>SUM(bron[[#This Row],[Januari]:[December]])</f>
        <v>1</v>
      </c>
      <c r="T89" s="9">
        <v>45800</v>
      </c>
      <c r="U89" s="8" t="s">
        <v>3194</v>
      </c>
      <c r="V89" s="8">
        <v>1</v>
      </c>
      <c r="W89" s="8"/>
      <c r="X89" t="s">
        <v>57</v>
      </c>
      <c r="Y89" t="s">
        <v>20</v>
      </c>
    </row>
    <row r="90" spans="1:25" x14ac:dyDescent="0.25">
      <c r="A90">
        <v>41671</v>
      </c>
      <c r="B90" t="e">
        <f>_xlfn.CONCAT([2]!bron[[#This Row],[personeelsnr]]," ",C90," ",D90)</f>
        <v>#REF!</v>
      </c>
      <c r="C90" t="str">
        <f>VLOOKUP(bron[[#This Row],[personeelsnr]],'data hastus'!$A:$C,2,0)</f>
        <v>Hasan</v>
      </c>
      <c r="D90" t="str">
        <f>VLOOKUP(bron[[#This Row],[personeelsnr]],'data hastus'!$A:$C,3,0)</f>
        <v>Salem</v>
      </c>
      <c r="E90" t="str">
        <f>VLOOKUP(bron[[#This Row],[personeelsnr]],'data hastus'!A:K,11,FALSE)</f>
        <v>Bart Van Der Beken</v>
      </c>
      <c r="F90" s="10"/>
      <c r="G90" s="7"/>
      <c r="H90" s="7"/>
      <c r="I90" s="7"/>
      <c r="K90" s="5">
        <v>1</v>
      </c>
      <c r="S90" s="5">
        <f>SUM(bron[[#This Row],[Januari]:[December]])</f>
        <v>1</v>
      </c>
      <c r="T90" s="9">
        <v>45799</v>
      </c>
      <c r="U90" s="8" t="s">
        <v>3193</v>
      </c>
      <c r="V90" s="8">
        <v>1</v>
      </c>
      <c r="W90" s="8"/>
      <c r="X90" t="s">
        <v>57</v>
      </c>
      <c r="Y90" t="s">
        <v>52</v>
      </c>
    </row>
    <row r="91" spans="1:25" x14ac:dyDescent="0.25">
      <c r="A91">
        <v>41710</v>
      </c>
      <c r="B91" t="e">
        <f>_xlfn.CONCAT([2]!bron[[#This Row],[personeelsnr]]," ",C91," ",D91)</f>
        <v>#REF!</v>
      </c>
      <c r="C91" t="str">
        <f>VLOOKUP(bron[[#This Row],[personeelsnr]],'data hastus'!$A:$C,2,0)</f>
        <v>Ghani</v>
      </c>
      <c r="D91" t="str">
        <f>VLOOKUP(bron[[#This Row],[personeelsnr]],'data hastus'!$A:$C,3,0)</f>
        <v>Fazal</v>
      </c>
      <c r="E91" t="str">
        <f>VLOOKUP(bron[[#This Row],[personeelsnr]],'data hastus'!A:K,11,FALSE)</f>
        <v>Els Vanhoe</v>
      </c>
      <c r="F91" s="10"/>
      <c r="G91" s="7"/>
      <c r="H91" s="7"/>
      <c r="I91" s="7"/>
      <c r="K91" s="5">
        <v>1</v>
      </c>
      <c r="S91" s="5">
        <f>SUM(bron[[#This Row],[Januari]:[December]])</f>
        <v>1</v>
      </c>
      <c r="T91" s="9">
        <v>45798</v>
      </c>
      <c r="U91" s="8" t="s">
        <v>3196</v>
      </c>
      <c r="V91" s="8">
        <v>1</v>
      </c>
      <c r="W91" s="8"/>
      <c r="X91" t="s">
        <v>57</v>
      </c>
      <c r="Y91" t="s">
        <v>138</v>
      </c>
    </row>
    <row r="92" spans="1:25" x14ac:dyDescent="0.25">
      <c r="A92">
        <v>38648</v>
      </c>
      <c r="B92" t="e">
        <f>_xlfn.CONCAT([2]!bron[[#This Row],[personeelsnr]]," ",C92," ",D92)</f>
        <v>#REF!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/>
      <c r="K92" s="5">
        <v>1</v>
      </c>
      <c r="S92" s="5">
        <f>SUM(bron[[#This Row],[Januari]:[December]])</f>
        <v>1</v>
      </c>
      <c r="T92" s="9">
        <v>45798</v>
      </c>
      <c r="U92" s="8" t="s">
        <v>3195</v>
      </c>
      <c r="V92" s="8"/>
      <c r="W92" s="8">
        <v>1</v>
      </c>
      <c r="X92" t="s">
        <v>58</v>
      </c>
      <c r="Y92" t="s">
        <v>158</v>
      </c>
    </row>
    <row r="93" spans="1:25" x14ac:dyDescent="0.25">
      <c r="A93">
        <v>41230</v>
      </c>
      <c r="B93" t="e">
        <f>_xlfn.CONCAT([2]!bron[[#This Row],[personeelsnr]]," ",C93," ",D93)</f>
        <v>#REF!</v>
      </c>
      <c r="C93" t="str">
        <f>VLOOKUP(bron[[#This Row],[personeelsnr]],'data hastus'!$A:$C,2,0)</f>
        <v>De Witte</v>
      </c>
      <c r="D93" t="str">
        <f>VLOOKUP(bron[[#This Row],[personeelsnr]],'data hastus'!$A:$C,3,0)</f>
        <v>Bart</v>
      </c>
      <c r="E93" t="str">
        <f>VLOOKUP(bron[[#This Row],[personeelsnr]],'data hastus'!A:K,11,FALSE)</f>
        <v>Dominique De Clercq</v>
      </c>
      <c r="F93" s="10"/>
      <c r="G93" s="7"/>
      <c r="H93" s="7"/>
      <c r="I93" s="7"/>
      <c r="K93" s="5">
        <v>1</v>
      </c>
      <c r="S93" s="5">
        <f>SUM(bron[[#This Row],[Januari]:[December]])</f>
        <v>1</v>
      </c>
      <c r="T93" s="9">
        <v>45794</v>
      </c>
      <c r="U93" s="8" t="s">
        <v>3197</v>
      </c>
      <c r="V93" s="8">
        <v>1</v>
      </c>
      <c r="W93" s="8"/>
      <c r="X93" t="s">
        <v>57</v>
      </c>
      <c r="Y93" t="s">
        <v>156</v>
      </c>
    </row>
    <row r="94" spans="1:25" x14ac:dyDescent="0.25">
      <c r="A94">
        <v>40393</v>
      </c>
      <c r="B94" t="e">
        <f>_xlfn.CONCAT([2]!bron[[#This Row],[personeelsnr]]," ",C94," ",D94)</f>
        <v>#REF!</v>
      </c>
      <c r="C94" t="str">
        <f>VLOOKUP(bron[[#This Row],[personeelsnr]],'data hastus'!$A:$C,2,0)</f>
        <v>Salimova</v>
      </c>
      <c r="D94" t="str">
        <f>VLOOKUP(bron[[#This Row],[personeelsnr]],'data hastus'!$A:$C,3,0)</f>
        <v>Eydzhan</v>
      </c>
      <c r="E94" t="str">
        <f>VLOOKUP(bron[[#This Row],[personeelsnr]],'data hastus'!A:K,11,FALSE)</f>
        <v>Dominique De Clercq</v>
      </c>
      <c r="F94" s="10"/>
      <c r="G94" s="7"/>
      <c r="H94" s="7"/>
      <c r="I94" s="7"/>
      <c r="S94" s="5">
        <f>SUM(bron[[#This Row],[Januari]:[December]])</f>
        <v>0</v>
      </c>
      <c r="T94" s="9">
        <v>45792</v>
      </c>
      <c r="U94" s="8" t="s">
        <v>793</v>
      </c>
      <c r="V94" s="8">
        <v>1</v>
      </c>
      <c r="W94" s="8"/>
      <c r="X94" t="s">
        <v>57</v>
      </c>
      <c r="Y94" t="s">
        <v>189</v>
      </c>
    </row>
    <row r="95" spans="1:25" x14ac:dyDescent="0.25">
      <c r="A95">
        <v>36428</v>
      </c>
      <c r="B95" t="e">
        <f>_xlfn.CONCAT([2]!bron[[#This Row],[personeelsnr]]," ",C95," ",D95)</f>
        <v>#REF!</v>
      </c>
      <c r="C95" t="str">
        <f>VLOOKUP(bron[[#This Row],[personeelsnr]],'data hastus'!$A:$C,2,0)</f>
        <v>Abdi Shaiye</v>
      </c>
      <c r="D95" t="str">
        <f>VLOOKUP(bron[[#This Row],[personeelsnr]],'data hastus'!$A:$C,3,0)</f>
        <v>Rashid</v>
      </c>
      <c r="E95" t="str">
        <f>VLOOKUP(bron[[#This Row],[personeelsnr]],'data hastus'!A:K,11,FALSE)</f>
        <v>Lucie Vande Velde</v>
      </c>
      <c r="F95" s="10"/>
      <c r="G95" s="7"/>
      <c r="H95" s="7"/>
      <c r="I95" s="7"/>
      <c r="K95" s="5">
        <v>1</v>
      </c>
      <c r="S95" s="5">
        <f>SUM(bron[[#This Row],[Januari]:[December]])</f>
        <v>1</v>
      </c>
      <c r="T95" s="9">
        <v>45792</v>
      </c>
      <c r="U95" s="8" t="s">
        <v>3199</v>
      </c>
      <c r="V95" s="8"/>
      <c r="W95" s="8">
        <v>1</v>
      </c>
      <c r="X95" t="s">
        <v>58</v>
      </c>
      <c r="Y95" t="s">
        <v>18</v>
      </c>
    </row>
    <row r="96" spans="1:25" x14ac:dyDescent="0.25">
      <c r="A96">
        <v>29746</v>
      </c>
      <c r="B96" t="e">
        <f>_xlfn.CONCAT([2]!bron[[#This Row],[personeelsnr]]," ",C96," ",D96)</f>
        <v>#REF!</v>
      </c>
      <c r="C96" t="str">
        <f>VLOOKUP(bron[[#This Row],[personeelsnr]],'data hastus'!$A:$C,2,0)</f>
        <v>Huyse</v>
      </c>
      <c r="D96" t="str">
        <f>VLOOKUP(bron[[#This Row],[personeelsnr]],'data hastus'!$A:$C,3,0)</f>
        <v>Annicke</v>
      </c>
      <c r="E96" t="str">
        <f>VLOOKUP(bron[[#This Row],[personeelsnr]],'data hastus'!A:K,11,FALSE)</f>
        <v>Bart Van Der Beken</v>
      </c>
      <c r="F96" s="10"/>
      <c r="G96" s="7"/>
      <c r="H96" s="7"/>
      <c r="I96" s="7"/>
      <c r="K96" s="5">
        <v>1</v>
      </c>
      <c r="S96" s="5">
        <f>SUM(bron[[#This Row],[Januari]:[December]])</f>
        <v>1</v>
      </c>
      <c r="T96" s="9">
        <v>45791</v>
      </c>
      <c r="U96" s="8" t="s">
        <v>3192</v>
      </c>
      <c r="V96" s="8">
        <v>1</v>
      </c>
      <c r="W96" s="8"/>
      <c r="X96" t="s">
        <v>57</v>
      </c>
      <c r="Y96" t="s">
        <v>21</v>
      </c>
    </row>
    <row r="97" spans="1:25" x14ac:dyDescent="0.25">
      <c r="A97">
        <v>39856</v>
      </c>
      <c r="B97" t="e">
        <f>_xlfn.CONCAT([2]!bron[[#This Row],[personeelsnr]]," ",C97," ",D97)</f>
        <v>#REF!</v>
      </c>
      <c r="C97" t="str">
        <f>VLOOKUP(bron[[#This Row],[personeelsnr]],'data hastus'!$A:$C,2,0)</f>
        <v>Curukcu</v>
      </c>
      <c r="D97" t="str">
        <f>VLOOKUP(bron[[#This Row],[personeelsnr]],'data hastus'!$A:$C,3,0)</f>
        <v>Bayram</v>
      </c>
      <c r="E97" t="str">
        <f>VLOOKUP(bron[[#This Row],[personeelsnr]],'data hastus'!A:K,11,FALSE)</f>
        <v>Kenneth De Rick</v>
      </c>
      <c r="F97" s="10"/>
      <c r="G97" s="6"/>
      <c r="H97" s="6"/>
      <c r="I97" s="6"/>
      <c r="J97"/>
      <c r="K97">
        <v>1</v>
      </c>
      <c r="L97"/>
      <c r="M97"/>
      <c r="N97"/>
      <c r="O97"/>
      <c r="P97"/>
      <c r="Q97"/>
      <c r="R97"/>
      <c r="S97">
        <f>SUM(bron[[#This Row],[Januari]:[December]])</f>
        <v>1</v>
      </c>
      <c r="T97" s="3">
        <v>45790</v>
      </c>
      <c r="U97" s="8" t="s">
        <v>3203</v>
      </c>
      <c r="V97" s="8">
        <v>1</v>
      </c>
      <c r="W97" s="8"/>
      <c r="X97" t="s">
        <v>57</v>
      </c>
      <c r="Y97" t="s">
        <v>47</v>
      </c>
    </row>
    <row r="98" spans="1:25" x14ac:dyDescent="0.25">
      <c r="A98">
        <v>40138</v>
      </c>
      <c r="B98" t="e">
        <f>_xlfn.CONCAT([2]!bron[[#This Row],[personeelsnr]]," ",C98," ",D98)</f>
        <v>#REF!</v>
      </c>
      <c r="C98" t="str">
        <f>VLOOKUP(bron[[#This Row],[personeelsnr]],'data hastus'!$A:$C,2,0)</f>
        <v>Moerman</v>
      </c>
      <c r="D98" t="str">
        <f>VLOOKUP(bron[[#This Row],[personeelsnr]],'data hastus'!$A:$C,3,0)</f>
        <v>Tjimmy</v>
      </c>
      <c r="E98" t="str">
        <f>VLOOKUP(bron[[#This Row],[personeelsnr]],'data hastus'!A:K,11,FALSE)</f>
        <v>Christoff Rotty</v>
      </c>
      <c r="F98" s="10"/>
      <c r="G98" s="6"/>
      <c r="H98" s="6"/>
      <c r="I98" s="6"/>
      <c r="J98"/>
      <c r="K98">
        <v>1</v>
      </c>
      <c r="L98"/>
      <c r="M98"/>
      <c r="N98"/>
      <c r="O98"/>
      <c r="P98"/>
      <c r="Q98"/>
      <c r="R98"/>
      <c r="S98">
        <f>SUM(bron[[#This Row],[Januari]:[December]])</f>
        <v>1</v>
      </c>
      <c r="T98" s="3">
        <v>45788</v>
      </c>
      <c r="U98" s="8" t="s">
        <v>3204</v>
      </c>
      <c r="V98" s="8">
        <v>1</v>
      </c>
      <c r="W98" s="8"/>
      <c r="X98" t="s">
        <v>57</v>
      </c>
      <c r="Y98" t="s">
        <v>24</v>
      </c>
    </row>
    <row r="99" spans="1:25" x14ac:dyDescent="0.25">
      <c r="A99">
        <v>31165</v>
      </c>
      <c r="B99" t="e">
        <f>_xlfn.CONCAT([2]!bron[[#This Row],[personeelsnr]]," ",C99," ",D99)</f>
        <v>#REF!</v>
      </c>
      <c r="C99" t="str">
        <f>VLOOKUP(bron[[#This Row],[personeelsnr]],'data hastus'!$A:$C,2,0)</f>
        <v>Govaerts</v>
      </c>
      <c r="D99" t="str">
        <f>VLOOKUP(bron[[#This Row],[personeelsnr]],'data hastus'!$A:$C,3,0)</f>
        <v>Sandro</v>
      </c>
      <c r="E99" t="str">
        <f>VLOOKUP(bron[[#This Row],[personeelsnr]],'data hastus'!A:K,11,FALSE)</f>
        <v>Lucie Vande Velde</v>
      </c>
      <c r="F99" s="10"/>
      <c r="G99" s="6"/>
      <c r="H99" s="6"/>
      <c r="I99" s="6"/>
      <c r="J99"/>
      <c r="K99">
        <v>1</v>
      </c>
      <c r="L99"/>
      <c r="M99"/>
      <c r="N99"/>
      <c r="O99"/>
      <c r="P99"/>
      <c r="Q99"/>
      <c r="R99"/>
      <c r="S99">
        <f>SUM(bron[[#This Row],[Januari]:[December]])</f>
        <v>1</v>
      </c>
      <c r="T99" s="3">
        <v>45787</v>
      </c>
      <c r="U99" s="8" t="s">
        <v>3204</v>
      </c>
      <c r="V99" s="8">
        <v>1</v>
      </c>
      <c r="W99" s="8"/>
      <c r="X99" t="s">
        <v>57</v>
      </c>
      <c r="Y99" t="s">
        <v>148</v>
      </c>
    </row>
    <row r="100" spans="1:25" x14ac:dyDescent="0.25">
      <c r="A100">
        <v>27672</v>
      </c>
      <c r="B100" t="e">
        <f>_xlfn.CONCAT([2]!bron[[#This Row],[personeelsnr]]," ",C100," ",D100)</f>
        <v>#REF!</v>
      </c>
      <c r="C100" t="str">
        <f>VLOOKUP(bron[[#This Row],[personeelsnr]],'data hastus'!$A:$C,2,0)</f>
        <v>Criel</v>
      </c>
      <c r="D100" t="str">
        <f>VLOOKUP(bron[[#This Row],[personeelsnr]],'data hastus'!$A:$C,3,0)</f>
        <v>Veronique</v>
      </c>
      <c r="E100" t="str">
        <f>VLOOKUP(bron[[#This Row],[personeelsnr]],'data hastus'!A:K,11,FALSE)</f>
        <v>Steven Storm</v>
      </c>
      <c r="F100" s="10"/>
      <c r="G100" s="6"/>
      <c r="H100" s="6"/>
      <c r="I100" s="6"/>
      <c r="J100"/>
      <c r="K100">
        <v>1</v>
      </c>
      <c r="L100"/>
      <c r="M100"/>
      <c r="N100"/>
      <c r="O100"/>
      <c r="P100"/>
      <c r="Q100"/>
      <c r="R100"/>
      <c r="S100">
        <f>SUM(bron[[#This Row],[Januari]:[December]])</f>
        <v>1</v>
      </c>
      <c r="T100" s="3">
        <v>45787</v>
      </c>
      <c r="U100" s="8" t="s">
        <v>3200</v>
      </c>
      <c r="V100" s="8"/>
      <c r="W100" s="8">
        <v>1</v>
      </c>
      <c r="X100" t="s">
        <v>58</v>
      </c>
      <c r="Y100" t="s">
        <v>27</v>
      </c>
    </row>
    <row r="101" spans="1:25" x14ac:dyDescent="0.25">
      <c r="A101">
        <v>38931</v>
      </c>
      <c r="B101" t="e">
        <f>_xlfn.CONCAT([2]!bron[[#This Row],[personeelsnr]]," ",C101," ",D101)</f>
        <v>#REF!</v>
      </c>
      <c r="C101" t="str">
        <f>VLOOKUP(bron[[#This Row],[personeelsnr]],'data hastus'!$A:$C,2,0)</f>
        <v>Sancak</v>
      </c>
      <c r="D101" t="str">
        <f>VLOOKUP(bron[[#This Row],[personeelsnr]],'data hastus'!$A:$C,3,0)</f>
        <v>Eyuphan</v>
      </c>
      <c r="E101" t="str">
        <f>VLOOKUP(bron[[#This Row],[personeelsnr]],'data hastus'!A:K,11,FALSE)</f>
        <v>Bart Van Der Beken</v>
      </c>
      <c r="G101" s="6"/>
      <c r="H101" s="6"/>
      <c r="I101" s="6"/>
      <c r="J101"/>
      <c r="K101">
        <v>1</v>
      </c>
      <c r="L101"/>
      <c r="M101"/>
      <c r="N101"/>
      <c r="O101"/>
      <c r="P101"/>
      <c r="Q101"/>
      <c r="R101"/>
      <c r="S101">
        <f>SUM(bron[[#This Row],[Januari]:[December]])</f>
        <v>1</v>
      </c>
      <c r="T101" s="3">
        <v>45786</v>
      </c>
      <c r="U101" s="8" t="s">
        <v>3205</v>
      </c>
      <c r="V101" s="8">
        <v>1</v>
      </c>
      <c r="W101" s="8"/>
      <c r="X101" t="s">
        <v>57</v>
      </c>
      <c r="Y101" t="s">
        <v>243</v>
      </c>
    </row>
    <row r="102" spans="1:25" x14ac:dyDescent="0.25">
      <c r="A102">
        <v>40652</v>
      </c>
      <c r="B102" t="e">
        <f>_xlfn.CONCAT([2]!bron[[#This Row],[personeelsnr]]," ",C102," ",D102)</f>
        <v>#REF!</v>
      </c>
      <c r="C102" t="str">
        <f>VLOOKUP(bron[[#This Row],[personeelsnr]],'data hastus'!$A:$C,2,0)</f>
        <v>Van Damme</v>
      </c>
      <c r="D102" t="str">
        <f>VLOOKUP(bron[[#This Row],[personeelsnr]],'data hastus'!$A:$C,3,0)</f>
        <v>Gilyann</v>
      </c>
      <c r="E102" t="str">
        <f>VLOOKUP(bron[[#This Row],[personeelsnr]],'data hastus'!A:K,11,FALSE)</f>
        <v>Els Vanhoe</v>
      </c>
      <c r="F102" s="10"/>
      <c r="G102" s="6"/>
      <c r="H102" s="6"/>
      <c r="I102" s="6"/>
      <c r="J102"/>
      <c r="K102">
        <v>1</v>
      </c>
      <c r="L102"/>
      <c r="M102"/>
      <c r="N102"/>
      <c r="O102"/>
      <c r="P102"/>
      <c r="Q102"/>
      <c r="R102"/>
      <c r="S102">
        <f>SUM(bron[[#This Row],[Januari]:[December]])</f>
        <v>1</v>
      </c>
      <c r="T102" s="3">
        <v>45784</v>
      </c>
      <c r="U102" s="8" t="s">
        <v>3206</v>
      </c>
      <c r="V102" s="8">
        <v>1</v>
      </c>
      <c r="W102" s="8"/>
      <c r="X102" t="s">
        <v>57</v>
      </c>
      <c r="Y102" t="s">
        <v>235</v>
      </c>
    </row>
    <row r="103" spans="1:25" x14ac:dyDescent="0.25">
      <c r="A103">
        <v>40938</v>
      </c>
      <c r="B103" t="e">
        <f>_xlfn.CONCAT([2]!bron[[#This Row],[personeelsnr]]," ",C103," ",D103)</f>
        <v>#REF!</v>
      </c>
      <c r="C103" t="str">
        <f>VLOOKUP(bron[[#This Row],[personeelsnr]],'data hastus'!$A:$C,2,0)</f>
        <v>Hasnaoui</v>
      </c>
      <c r="D103" t="str">
        <f>VLOOKUP(bron[[#This Row],[personeelsnr]],'data hastus'!$A:$C,3,0)</f>
        <v>Nejmeddine</v>
      </c>
      <c r="E103" t="str">
        <f>VLOOKUP(bron[[#This Row],[personeelsnr]],'data hastus'!A:K,11,FALSE)</f>
        <v>Dominique De Clercq</v>
      </c>
      <c r="F103" s="10"/>
      <c r="G103" s="7"/>
      <c r="H103" s="7"/>
      <c r="I103" s="7"/>
      <c r="K103" s="5">
        <v>1</v>
      </c>
      <c r="S103" s="5">
        <f>SUM(bron[[#This Row],[Januari]:[December]])</f>
        <v>1</v>
      </c>
      <c r="T103" s="9">
        <v>45783</v>
      </c>
      <c r="U103" s="8" t="s">
        <v>3198</v>
      </c>
      <c r="V103" s="8">
        <v>1</v>
      </c>
      <c r="W103" s="8"/>
      <c r="X103" t="s">
        <v>57</v>
      </c>
      <c r="Y103" t="s">
        <v>45</v>
      </c>
    </row>
    <row r="104" spans="1:25" x14ac:dyDescent="0.25">
      <c r="A104">
        <v>38731</v>
      </c>
      <c r="B104" t="e">
        <f>_xlfn.CONCAT([2]!bron[[#This Row],[personeelsnr]]," ",C104," ",D104)</f>
        <v>#REF!</v>
      </c>
      <c r="C104" t="str">
        <f>VLOOKUP(bron[[#This Row],[personeelsnr]],'data hastus'!$A:$C,2,0)</f>
        <v>Ben Sidhom</v>
      </c>
      <c r="D104" t="str">
        <f>VLOOKUP(bron[[#This Row],[personeelsnr]],'data hastus'!$A:$C,3,0)</f>
        <v>Samir</v>
      </c>
      <c r="E104" t="str">
        <f>VLOOKUP(bron[[#This Row],[personeelsnr]],'data hastus'!A:K,11,FALSE)</f>
        <v>Christoff Rotty</v>
      </c>
      <c r="F104" s="10"/>
      <c r="G104" s="6"/>
      <c r="H104" s="6"/>
      <c r="I104" s="6"/>
      <c r="J104"/>
      <c r="K104">
        <v>1</v>
      </c>
      <c r="L104"/>
      <c r="M104"/>
      <c r="N104"/>
      <c r="O104"/>
      <c r="P104"/>
      <c r="Q104"/>
      <c r="R104"/>
      <c r="S104">
        <f>SUM(bron[[#This Row],[Januari]:[December]])</f>
        <v>1</v>
      </c>
      <c r="T104" s="3">
        <v>45782</v>
      </c>
      <c r="U104" s="8" t="s">
        <v>3209</v>
      </c>
      <c r="V104" s="8">
        <v>1</v>
      </c>
      <c r="W104" s="8"/>
      <c r="X104" t="s">
        <v>57</v>
      </c>
      <c r="Y104" t="s">
        <v>21</v>
      </c>
    </row>
    <row r="105" spans="1:25" x14ac:dyDescent="0.25">
      <c r="A105">
        <v>33965</v>
      </c>
      <c r="B105" t="e">
        <f>_xlfn.CONCAT([2]!bron[[#This Row],[personeelsnr]]," ",C105," ",D105)</f>
        <v>#REF!</v>
      </c>
      <c r="C105" t="str">
        <f>VLOOKUP(bron[[#This Row],[personeelsnr]],'data hastus'!$A:$C,2,0)</f>
        <v>Van de Gehuchte</v>
      </c>
      <c r="D105" t="str">
        <f>VLOOKUP(bron[[#This Row],[personeelsnr]],'data hastus'!$A:$C,3,0)</f>
        <v>Gilles</v>
      </c>
      <c r="E105" t="str">
        <f>VLOOKUP(bron[[#This Row],[personeelsnr]],'data hastus'!A:K,11,FALSE)</f>
        <v>Kenneth De Rick</v>
      </c>
      <c r="F105" s="10"/>
      <c r="G105" s="7"/>
      <c r="H105" s="7"/>
      <c r="I105" s="7"/>
      <c r="K105" s="12">
        <v>1</v>
      </c>
      <c r="S105" s="5">
        <f>SUM(bron[[#This Row],[Januari]:[December]])</f>
        <v>1</v>
      </c>
      <c r="T105" s="9">
        <v>45781</v>
      </c>
      <c r="U105" s="8" t="s">
        <v>3201</v>
      </c>
      <c r="V105" s="8"/>
      <c r="W105" s="8">
        <v>1</v>
      </c>
      <c r="X105" t="s">
        <v>58</v>
      </c>
      <c r="Y105" t="s">
        <v>19</v>
      </c>
    </row>
    <row r="106" spans="1:25" x14ac:dyDescent="0.25">
      <c r="A106">
        <v>4608</v>
      </c>
      <c r="B106" t="e">
        <f>_xlfn.CONCAT([2]!bron[[#This Row],[personeelsnr]]," ",C106," ",D106)</f>
        <v>#REF!</v>
      </c>
      <c r="C106" t="str">
        <f>VLOOKUP(bron[[#This Row],[personeelsnr]],'data hastus'!$A:$C,2,0)</f>
        <v>Steenbrugge</v>
      </c>
      <c r="D106" t="str">
        <f>VLOOKUP(bron[[#This Row],[personeelsnr]],'data hastus'!$A:$C,3,0)</f>
        <v>Johan</v>
      </c>
      <c r="E106" t="str">
        <f>VLOOKUP(bron[[#This Row],[personeelsnr]],'data hastus'!A:K,11,FALSE)</f>
        <v>Lucie Vande Velde</v>
      </c>
      <c r="F106" s="10"/>
      <c r="G106" s="6"/>
      <c r="H106" s="6"/>
      <c r="I106" s="6"/>
      <c r="J106"/>
      <c r="K106">
        <v>1</v>
      </c>
      <c r="L106"/>
      <c r="M106"/>
      <c r="N106"/>
      <c r="O106"/>
      <c r="P106"/>
      <c r="Q106"/>
      <c r="R106"/>
      <c r="S106">
        <f>SUM(bron[[#This Row],[Januari]:[December]])</f>
        <v>1</v>
      </c>
      <c r="T106" s="3">
        <v>45780</v>
      </c>
      <c r="U106" s="8" t="s">
        <v>3210</v>
      </c>
      <c r="V106" s="8">
        <v>1</v>
      </c>
      <c r="W106" s="8"/>
      <c r="X106" t="s">
        <v>57</v>
      </c>
      <c r="Y106" t="s">
        <v>20</v>
      </c>
    </row>
    <row r="107" spans="1:25" x14ac:dyDescent="0.25">
      <c r="A107">
        <v>40652</v>
      </c>
      <c r="B107" t="e">
        <f>_xlfn.CONCAT([2]!bron[[#This Row],[personeelsnr]]," ",C107," ",D107)</f>
        <v>#REF!</v>
      </c>
      <c r="C107" t="str">
        <f>VLOOKUP(bron[[#This Row],[personeelsnr]],'data hastus'!$A:$C,2,0)</f>
        <v>Van Damme</v>
      </c>
      <c r="D107" t="str">
        <f>VLOOKUP(bron[[#This Row],[personeelsnr]],'data hastus'!$A:$C,3,0)</f>
        <v>Gilyann</v>
      </c>
      <c r="E107" t="str">
        <f>VLOOKUP(bron[[#This Row],[personeelsnr]],'data hastus'!A:K,11,FALSE)</f>
        <v>Els Vanhoe</v>
      </c>
      <c r="F107" s="10"/>
      <c r="G107" s="6"/>
      <c r="H107" s="6"/>
      <c r="I107" s="6"/>
      <c r="J107"/>
      <c r="K107">
        <v>1</v>
      </c>
      <c r="L107"/>
      <c r="M107"/>
      <c r="N107"/>
      <c r="O107"/>
      <c r="P107"/>
      <c r="Q107"/>
      <c r="R107"/>
      <c r="S107">
        <f>SUM(bron[[#This Row],[Januari]:[December]])</f>
        <v>1</v>
      </c>
      <c r="T107" s="3">
        <v>45779</v>
      </c>
      <c r="U107" s="8" t="s">
        <v>2928</v>
      </c>
      <c r="V107" s="8">
        <v>1</v>
      </c>
      <c r="W107" s="8"/>
      <c r="X107" t="s">
        <v>57</v>
      </c>
      <c r="Y107" t="s">
        <v>61</v>
      </c>
    </row>
    <row r="108" spans="1:25" x14ac:dyDescent="0.25">
      <c r="A108">
        <v>40652</v>
      </c>
      <c r="B108" t="e">
        <f>_xlfn.CONCAT([2]!bron[[#This Row],[personeelsnr]]," ",C108," ",D108)</f>
        <v>#REF!</v>
      </c>
      <c r="C108" t="str">
        <f>VLOOKUP(bron[[#This Row],[personeelsnr]],'data hastus'!$A:$C,2,0)</f>
        <v>Van Damme</v>
      </c>
      <c r="D108" t="str">
        <f>VLOOKUP(bron[[#This Row],[personeelsnr]],'data hastus'!$A:$C,3,0)</f>
        <v>Gilyann</v>
      </c>
      <c r="E108" t="str">
        <f>VLOOKUP(bron[[#This Row],[personeelsnr]],'data hastus'!A:K,11,FALSE)</f>
        <v>Els Vanhoe</v>
      </c>
      <c r="F108" s="10"/>
      <c r="G108" s="7"/>
      <c r="H108" s="7"/>
      <c r="I108" s="7"/>
      <c r="K108" s="5">
        <v>1</v>
      </c>
      <c r="S108" s="5">
        <f>SUM(bron[[#This Row],[Januari]:[December]])</f>
        <v>1</v>
      </c>
      <c r="T108" s="9">
        <v>45779</v>
      </c>
      <c r="U108" s="8" t="s">
        <v>3211</v>
      </c>
      <c r="V108" s="24">
        <v>1</v>
      </c>
      <c r="W108" s="24"/>
      <c r="X108" t="s">
        <v>57</v>
      </c>
      <c r="Y108" t="s">
        <v>61</v>
      </c>
    </row>
    <row r="109" spans="1:25" x14ac:dyDescent="0.25">
      <c r="A109">
        <v>30967</v>
      </c>
      <c r="B109" t="e">
        <f>_xlfn.CONCAT([2]!bron[[#This Row],[personeelsnr]]," ",C109," ",D109)</f>
        <v>#REF!</v>
      </c>
      <c r="C109" t="str">
        <f>VLOOKUP(bron[[#This Row],[personeelsnr]],'data hastus'!$A:$C,2,0)</f>
        <v>Taser</v>
      </c>
      <c r="D109" t="str">
        <f>VLOOKUP(bron[[#This Row],[personeelsnr]],'data hastus'!$A:$C,3,0)</f>
        <v>Fatih</v>
      </c>
      <c r="E109" t="str">
        <f>VLOOKUP(bron[[#This Row],[personeelsnr]],'data hastus'!A:K,11,FALSE)</f>
        <v>Dominique De Clercq</v>
      </c>
      <c r="F109" s="10"/>
      <c r="G109" s="7"/>
      <c r="H109" s="7"/>
      <c r="I109" s="7"/>
      <c r="K109" s="12">
        <v>1</v>
      </c>
      <c r="S109" s="5">
        <f>SUM(bron[[#This Row],[Januari]:[December]])</f>
        <v>1</v>
      </c>
      <c r="T109" s="9">
        <v>45778</v>
      </c>
      <c r="U109" s="8" t="s">
        <v>3202</v>
      </c>
      <c r="V109" s="8">
        <v>1</v>
      </c>
      <c r="W109" s="8"/>
      <c r="X109" t="s">
        <v>57</v>
      </c>
      <c r="Y109" t="s">
        <v>28</v>
      </c>
    </row>
    <row r="110" spans="1:25" x14ac:dyDescent="0.25">
      <c r="A110">
        <v>37908</v>
      </c>
      <c r="B110" t="e">
        <f>_xlfn.CONCAT([2]!bron[[#This Row],[personeelsnr]]," ",C110," ",D110)</f>
        <v>#REF!</v>
      </c>
      <c r="C110" t="str">
        <f>VLOOKUP(bron[[#This Row],[personeelsnr]],'data hastus'!$A:$C,2,0)</f>
        <v>Vandenberghe</v>
      </c>
      <c r="D110" t="str">
        <f>VLOOKUP(bron[[#This Row],[personeelsnr]],'data hastus'!$A:$C,3,0)</f>
        <v>Michael</v>
      </c>
      <c r="E110" t="str">
        <f>VLOOKUP(bron[[#This Row],[personeelsnr]],'data hastus'!A:K,11,FALSE)</f>
        <v>Steven Storm</v>
      </c>
      <c r="F110" s="10"/>
      <c r="G110" s="6"/>
      <c r="H110" s="6"/>
      <c r="I110" s="6"/>
      <c r="J110" s="11">
        <v>1</v>
      </c>
      <c r="K110"/>
      <c r="L110"/>
      <c r="M110"/>
      <c r="N110"/>
      <c r="O110"/>
      <c r="P110"/>
      <c r="Q110"/>
      <c r="R110"/>
      <c r="S110">
        <f>SUM(bron[[#This Row],[Januari]:[December]])</f>
        <v>1</v>
      </c>
      <c r="T110" s="3">
        <v>45777</v>
      </c>
      <c r="U110" s="8" t="s">
        <v>3184</v>
      </c>
      <c r="V110" s="8">
        <v>1</v>
      </c>
      <c r="W110" s="8"/>
      <c r="X110" t="s">
        <v>57</v>
      </c>
      <c r="Y110" t="s">
        <v>24</v>
      </c>
    </row>
    <row r="111" spans="1:25" x14ac:dyDescent="0.25">
      <c r="A111">
        <v>41092</v>
      </c>
      <c r="B111" t="e">
        <f>_xlfn.CONCAT([2]!bron[[#This Row],[personeelsnr]]," ",C111," ",D111)</f>
        <v>#REF!</v>
      </c>
      <c r="C111" t="str">
        <f>VLOOKUP(bron[[#This Row],[personeelsnr]],'data hastus'!$A:$C,2,0)</f>
        <v>De Keyser</v>
      </c>
      <c r="D111" t="str">
        <f>VLOOKUP(bron[[#This Row],[personeelsnr]],'data hastus'!$A:$C,3,0)</f>
        <v>Dorien</v>
      </c>
      <c r="E111" t="str">
        <f>VLOOKUP(bron[[#This Row],[personeelsnr]],'data hastus'!A:K,11,FALSE)</f>
        <v>Dominique De Clercq</v>
      </c>
      <c r="F111" s="10"/>
      <c r="G111" s="6"/>
      <c r="H111" s="6"/>
      <c r="I111" s="6"/>
      <c r="J111">
        <v>1</v>
      </c>
      <c r="K111"/>
      <c r="L111"/>
      <c r="M111"/>
      <c r="N111"/>
      <c r="O111"/>
      <c r="P111"/>
      <c r="Q111"/>
      <c r="R111"/>
      <c r="S111">
        <f>SUM(bron[[#This Row],[Januari]:[December]])</f>
        <v>1</v>
      </c>
      <c r="T111" s="3">
        <v>45777</v>
      </c>
      <c r="U111" s="8" t="s">
        <v>3159</v>
      </c>
      <c r="V111" s="8">
        <v>1</v>
      </c>
      <c r="W111" s="8"/>
      <c r="X111" t="s">
        <v>57</v>
      </c>
      <c r="Y111" t="s">
        <v>89</v>
      </c>
    </row>
    <row r="112" spans="1:25" x14ac:dyDescent="0.25">
      <c r="A112">
        <v>24155</v>
      </c>
      <c r="B112" t="e">
        <f>_xlfn.CONCAT([2]!bron[[#This Row],[personeelsnr]]," ",C112," ",D112)</f>
        <v>#REF!</v>
      </c>
      <c r="C112" t="str">
        <f>VLOOKUP(bron[[#This Row],[personeelsnr]],'data hastus'!$A:$C,2,0)</f>
        <v>Luttens</v>
      </c>
      <c r="D112" t="str">
        <f>VLOOKUP(bron[[#This Row],[personeelsnr]],'data hastus'!$A:$C,3,0)</f>
        <v>Koen</v>
      </c>
      <c r="E112" t="str">
        <f>VLOOKUP(bron[[#This Row],[personeelsnr]],'data hastus'!A:K,11,FALSE)</f>
        <v>Els Vanhoe</v>
      </c>
      <c r="F112" s="10"/>
      <c r="G112" s="6"/>
      <c r="H112" s="6"/>
      <c r="I112" s="6"/>
      <c r="J112">
        <v>1</v>
      </c>
      <c r="K112"/>
      <c r="L112"/>
      <c r="M112"/>
      <c r="N112"/>
      <c r="O112"/>
      <c r="P112"/>
      <c r="Q112"/>
      <c r="R112"/>
      <c r="S112">
        <f>SUM(bron[[#This Row],[Januari]:[December]])</f>
        <v>1</v>
      </c>
      <c r="T112" s="3">
        <v>45776</v>
      </c>
      <c r="U112" s="8" t="s">
        <v>3174</v>
      </c>
      <c r="V112" s="8">
        <v>1</v>
      </c>
      <c r="W112" s="8"/>
      <c r="X112" t="s">
        <v>57</v>
      </c>
      <c r="Y112" t="s">
        <v>246</v>
      </c>
    </row>
    <row r="113" spans="1:25" x14ac:dyDescent="0.25">
      <c r="A113">
        <v>40591</v>
      </c>
      <c r="B113" t="e">
        <f>_xlfn.CONCAT([2]!bron[[#This Row],[personeelsnr]]," ",C113," ",D113)</f>
        <v>#REF!</v>
      </c>
      <c r="C113" t="str">
        <f>VLOOKUP(bron[[#This Row],[personeelsnr]],'data hastus'!$A:$C,2,0)</f>
        <v>Hiloui</v>
      </c>
      <c r="D113" t="str">
        <f>VLOOKUP(bron[[#This Row],[personeelsnr]],'data hastus'!$A:$C,3,0)</f>
        <v>Mahmoud</v>
      </c>
      <c r="E113" t="str">
        <f>VLOOKUP(bron[[#This Row],[personeelsnr]],'data hastus'!A:K,11,FALSE)</f>
        <v>Dominique De Clercq</v>
      </c>
      <c r="F113" s="10"/>
      <c r="G113" s="6"/>
      <c r="H113" s="6"/>
      <c r="I113" s="6"/>
      <c r="J113">
        <v>1</v>
      </c>
      <c r="K113"/>
      <c r="L113"/>
      <c r="M113"/>
      <c r="N113"/>
      <c r="O113"/>
      <c r="P113"/>
      <c r="Q113"/>
      <c r="R113"/>
      <c r="S113">
        <f>SUM(bron[[#This Row],[Januari]:[December]])</f>
        <v>1</v>
      </c>
      <c r="T113" s="3">
        <v>45775</v>
      </c>
      <c r="U113" s="8" t="s">
        <v>3148</v>
      </c>
      <c r="V113" s="8">
        <v>1</v>
      </c>
      <c r="W113" s="8"/>
      <c r="X113" t="s">
        <v>57</v>
      </c>
      <c r="Y113" t="s">
        <v>91</v>
      </c>
    </row>
    <row r="114" spans="1:25" x14ac:dyDescent="0.25">
      <c r="A114">
        <v>40134</v>
      </c>
      <c r="B114" t="e">
        <f>_xlfn.CONCAT([2]!bron[[#This Row],[personeelsnr]]," ",C114," ",D114)</f>
        <v>#REF!</v>
      </c>
      <c r="C114" t="str">
        <f>VLOOKUP(bron[[#This Row],[personeelsnr]],'data hastus'!$A:$C,2,0)</f>
        <v>Cardon</v>
      </c>
      <c r="D114" t="str">
        <f>VLOOKUP(bron[[#This Row],[personeelsnr]],'data hastus'!$A:$C,3,0)</f>
        <v>Sharon</v>
      </c>
      <c r="E114" t="str">
        <f>VLOOKUP(bron[[#This Row],[personeelsnr]],'data hastus'!A:K,11,FALSE)</f>
        <v>Dominique De Clercq</v>
      </c>
      <c r="F114" s="10"/>
      <c r="G114" s="6"/>
      <c r="H114" s="6"/>
      <c r="I114" s="6"/>
      <c r="J114">
        <v>1</v>
      </c>
      <c r="K114"/>
      <c r="L114"/>
      <c r="M114"/>
      <c r="N114"/>
      <c r="O114"/>
      <c r="P114"/>
      <c r="Q114"/>
      <c r="R114"/>
      <c r="S114">
        <f>SUM(bron[[#This Row],[Januari]:[December]])</f>
        <v>1</v>
      </c>
      <c r="T114" s="3">
        <v>45775</v>
      </c>
      <c r="U114" s="8" t="s">
        <v>3156</v>
      </c>
      <c r="V114" s="8">
        <v>1</v>
      </c>
      <c r="W114" s="8"/>
      <c r="X114" t="s">
        <v>57</v>
      </c>
      <c r="Y114" t="s">
        <v>112</v>
      </c>
    </row>
    <row r="115" spans="1:25" x14ac:dyDescent="0.25">
      <c r="A115">
        <v>38475</v>
      </c>
      <c r="B115" t="e">
        <f>_xlfn.CONCAT([2]!bron[[#This Row],[personeelsnr]]," ",C115," ",D115)</f>
        <v>#REF!</v>
      </c>
      <c r="C115" t="str">
        <f>VLOOKUP(bron[[#This Row],[personeelsnr]],'data hastus'!$A:$C,2,0)</f>
        <v>Verschraegen</v>
      </c>
      <c r="D115" t="str">
        <f>VLOOKUP(bron[[#This Row],[personeelsnr]],'data hastus'!$A:$C,3,0)</f>
        <v>Katleen</v>
      </c>
      <c r="E115" t="str">
        <f>VLOOKUP(bron[[#This Row],[personeelsnr]],'data hastus'!A:K,11,FALSE)</f>
        <v>Els Dewulf</v>
      </c>
      <c r="F115" s="10"/>
      <c r="G115" s="6"/>
      <c r="H115" s="6"/>
      <c r="I115" s="6"/>
      <c r="J115">
        <v>1</v>
      </c>
      <c r="K115"/>
      <c r="L115"/>
      <c r="M115"/>
      <c r="N115"/>
      <c r="O115"/>
      <c r="P115"/>
      <c r="Q115"/>
      <c r="R115"/>
      <c r="S115">
        <f>SUM(bron[[#This Row],[Januari]:[December]])</f>
        <v>1</v>
      </c>
      <c r="T115" s="3">
        <v>45775</v>
      </c>
      <c r="U115" s="8" t="s">
        <v>3163</v>
      </c>
      <c r="V115" s="8">
        <v>1</v>
      </c>
      <c r="W115" s="8"/>
      <c r="X115" t="s">
        <v>57</v>
      </c>
      <c r="Y115" t="s">
        <v>93</v>
      </c>
    </row>
    <row r="116" spans="1:25" x14ac:dyDescent="0.25">
      <c r="A116">
        <v>33085</v>
      </c>
      <c r="B116" t="e">
        <f>_xlfn.CONCAT([2]!bron[[#This Row],[personeelsnr]]," ",C116," ",D116)</f>
        <v>#REF!</v>
      </c>
      <c r="C116" t="str">
        <f>VLOOKUP(bron[[#This Row],[personeelsnr]],'data hastus'!$A:$C,2,0)</f>
        <v>Van Hoe</v>
      </c>
      <c r="D116" t="str">
        <f>VLOOKUP(bron[[#This Row],[personeelsnr]],'data hastus'!$A:$C,3,0)</f>
        <v>Ivo</v>
      </c>
      <c r="E116" t="str">
        <f>VLOOKUP(bron[[#This Row],[personeelsnr]],'data hastus'!A:K,11,FALSE)</f>
        <v>Kenneth De Rick</v>
      </c>
      <c r="F116" s="10"/>
      <c r="G116" s="6"/>
      <c r="H116" s="6"/>
      <c r="I116" s="6"/>
      <c r="J116">
        <v>1</v>
      </c>
      <c r="K116"/>
      <c r="L116"/>
      <c r="M116"/>
      <c r="N116"/>
      <c r="O116"/>
      <c r="P116"/>
      <c r="Q116"/>
      <c r="R116"/>
      <c r="S116">
        <f>SUM(bron[[#This Row],[Januari]:[December]])</f>
        <v>1</v>
      </c>
      <c r="T116" s="3">
        <v>45773</v>
      </c>
      <c r="U116" s="8" t="s">
        <v>3145</v>
      </c>
      <c r="V116" s="8">
        <v>1</v>
      </c>
      <c r="W116" s="8"/>
      <c r="X116" t="s">
        <v>57</v>
      </c>
      <c r="Y116" t="s">
        <v>161</v>
      </c>
    </row>
    <row r="117" spans="1:25" x14ac:dyDescent="0.25">
      <c r="A117">
        <v>9999</v>
      </c>
      <c r="B117" t="str">
        <f>_xlfn.CONCAT([2]!bron[[#This Row],[personeelsnr]]," ",C117," ",D117)</f>
        <v>9999 - -</v>
      </c>
      <c r="C117" t="s">
        <v>2919</v>
      </c>
      <c r="D117" t="s">
        <v>2919</v>
      </c>
      <c r="E117" t="s">
        <v>810</v>
      </c>
      <c r="F117" s="10"/>
      <c r="G117" s="6"/>
      <c r="H117" s="6"/>
      <c r="I117" s="6"/>
      <c r="J117">
        <v>1</v>
      </c>
      <c r="K117"/>
      <c r="L117"/>
      <c r="M117"/>
      <c r="N117"/>
      <c r="O117"/>
      <c r="P117"/>
      <c r="Q117"/>
      <c r="R117"/>
      <c r="S117">
        <f>SUM(bron[[#This Row],[Januari]:[December]])</f>
        <v>1</v>
      </c>
      <c r="T117" s="3">
        <v>45771</v>
      </c>
      <c r="U117" s="8" t="s">
        <v>3178</v>
      </c>
      <c r="V117" s="8">
        <v>1</v>
      </c>
      <c r="W117" s="8"/>
      <c r="X117" t="s">
        <v>57</v>
      </c>
      <c r="Y117" t="s">
        <v>19</v>
      </c>
    </row>
    <row r="118" spans="1:25" x14ac:dyDescent="0.25">
      <c r="A118">
        <v>33965</v>
      </c>
      <c r="B118" t="e">
        <f>_xlfn.CONCAT([2]!bron[[#This Row],[personeelsnr]]," ",C118," ",D118)</f>
        <v>#REF!</v>
      </c>
      <c r="C118" t="str">
        <f>VLOOKUP(bron[[#This Row],[personeelsnr]],'data hastus'!$A:$C,2,0)</f>
        <v>Van de Gehuchte</v>
      </c>
      <c r="D118" t="str">
        <f>VLOOKUP(bron[[#This Row],[personeelsnr]],'data hastus'!$A:$C,3,0)</f>
        <v>Gilles</v>
      </c>
      <c r="E118" t="str">
        <f>VLOOKUP(bron[[#This Row],[personeelsnr]],'data hastus'!A:K,11,FALSE)</f>
        <v>Kenneth De Rick</v>
      </c>
      <c r="F118" s="10"/>
      <c r="G118" s="6"/>
      <c r="H118" s="6"/>
      <c r="I118" s="6"/>
      <c r="J118">
        <v>1</v>
      </c>
      <c r="K118"/>
      <c r="L118"/>
      <c r="M118"/>
      <c r="N118"/>
      <c r="O118"/>
      <c r="P118"/>
      <c r="Q118"/>
      <c r="R118"/>
      <c r="S118">
        <f>SUM(bron[[#This Row],[Januari]:[December]])</f>
        <v>1</v>
      </c>
      <c r="T118" s="3">
        <v>45771</v>
      </c>
      <c r="U118" s="8" t="s">
        <v>3160</v>
      </c>
      <c r="V118" s="8">
        <v>1</v>
      </c>
      <c r="W118" s="8"/>
      <c r="X118" t="s">
        <v>57</v>
      </c>
      <c r="Y118" t="s">
        <v>43</v>
      </c>
    </row>
    <row r="119" spans="1:25" x14ac:dyDescent="0.25">
      <c r="A119">
        <v>38475</v>
      </c>
      <c r="B119" t="e">
        <f>_xlfn.CONCAT([2]!bron[[#This Row],[personeelsnr]]," ",C119," ",D119)</f>
        <v>#REF!</v>
      </c>
      <c r="C119" t="str">
        <f>VLOOKUP(bron[[#This Row],[personeelsnr]],'data hastus'!$A:$C,2,0)</f>
        <v>Verschraegen</v>
      </c>
      <c r="D119" t="str">
        <f>VLOOKUP(bron[[#This Row],[personeelsnr]],'data hastus'!$A:$C,3,0)</f>
        <v>Katleen</v>
      </c>
      <c r="E119" t="str">
        <f>VLOOKUP(bron[[#This Row],[personeelsnr]],'data hastus'!A:K,11,FALSE)</f>
        <v>Els Dewulf</v>
      </c>
      <c r="F119" s="10"/>
      <c r="G119" s="6"/>
      <c r="H119" s="6"/>
      <c r="I119" s="6"/>
      <c r="J119">
        <v>1</v>
      </c>
      <c r="K119"/>
      <c r="L119"/>
      <c r="M119"/>
      <c r="N119"/>
      <c r="O119"/>
      <c r="P119"/>
      <c r="Q119"/>
      <c r="R119"/>
      <c r="S119">
        <f>SUM(bron[[#This Row],[Januari]:[December]])</f>
        <v>1</v>
      </c>
      <c r="T119" s="3">
        <v>45771</v>
      </c>
      <c r="U119" s="8" t="s">
        <v>3164</v>
      </c>
      <c r="V119" s="8">
        <v>1</v>
      </c>
      <c r="W119" s="8"/>
      <c r="X119" t="s">
        <v>57</v>
      </c>
      <c r="Y119" t="s">
        <v>92</v>
      </c>
    </row>
    <row r="120" spans="1:25" x14ac:dyDescent="0.25">
      <c r="A120">
        <v>36512</v>
      </c>
      <c r="B120" t="e">
        <f>_xlfn.CONCAT([2]!bron[[#This Row],[personeelsnr]]," ",C120," ",D120)</f>
        <v>#REF!</v>
      </c>
      <c r="C120" t="str">
        <f>VLOOKUP(bron[[#This Row],[personeelsnr]],'data hastus'!$A:$C,2,0)</f>
        <v>Van Herreweghe</v>
      </c>
      <c r="D120" t="str">
        <f>VLOOKUP(bron[[#This Row],[personeelsnr]],'data hastus'!$A:$C,3,0)</f>
        <v>Branco</v>
      </c>
      <c r="E120" t="str">
        <f>VLOOKUP(bron[[#This Row],[personeelsnr]],'data hastus'!A:K,11,FALSE)</f>
        <v>Steven Storm</v>
      </c>
      <c r="F120" s="10"/>
      <c r="G120" s="7"/>
      <c r="H120" s="7"/>
      <c r="I120" s="7"/>
      <c r="J120" s="5">
        <v>1</v>
      </c>
      <c r="S120" s="5">
        <f>SUM(bron[[#This Row],[Januari]:[December]])</f>
        <v>1</v>
      </c>
      <c r="T120" s="9">
        <v>45770</v>
      </c>
      <c r="U120" s="8" t="s">
        <v>3183</v>
      </c>
      <c r="V120" s="24"/>
      <c r="W120" s="24">
        <v>1</v>
      </c>
      <c r="X120" t="s">
        <v>58</v>
      </c>
      <c r="Y120" t="s">
        <v>25</v>
      </c>
    </row>
    <row r="121" spans="1:25" x14ac:dyDescent="0.25">
      <c r="A121">
        <v>37132</v>
      </c>
      <c r="B121" t="e">
        <f>_xlfn.CONCAT([2]!bron[[#This Row],[personeelsnr]]," ",C121," ",D121)</f>
        <v>#REF!</v>
      </c>
      <c r="C121" t="str">
        <f>VLOOKUP(bron[[#This Row],[personeelsnr]],'data hastus'!$A:$C,2,0)</f>
        <v>Dacic</v>
      </c>
      <c r="D121" t="str">
        <f>VLOOKUP(bron[[#This Row],[personeelsnr]],'data hastus'!$A:$C,3,0)</f>
        <v>Esmir</v>
      </c>
      <c r="E121" t="str">
        <f>VLOOKUP(bron[[#This Row],[personeelsnr]],'data hastus'!A:K,11,FALSE)</f>
        <v>Dominique De Clercq</v>
      </c>
      <c r="F121" s="10"/>
      <c r="G121" s="6"/>
      <c r="H121" s="6"/>
      <c r="I121" s="6"/>
      <c r="J121">
        <v>1</v>
      </c>
      <c r="K121"/>
      <c r="L121"/>
      <c r="M121"/>
      <c r="N121"/>
      <c r="O121"/>
      <c r="P121"/>
      <c r="Q121"/>
      <c r="R121"/>
      <c r="S121">
        <f>SUM(bron[[#This Row],[Januari]:[December]])</f>
        <v>1</v>
      </c>
      <c r="T121" s="3">
        <v>45770</v>
      </c>
      <c r="U121" s="8" t="s">
        <v>3167</v>
      </c>
      <c r="V121" s="8"/>
      <c r="W121" s="8">
        <v>1</v>
      </c>
      <c r="X121" t="s">
        <v>58</v>
      </c>
      <c r="Y121" t="s">
        <v>124</v>
      </c>
    </row>
    <row r="122" spans="1:25" x14ac:dyDescent="0.25">
      <c r="A122">
        <v>41588</v>
      </c>
      <c r="B122" t="e">
        <f>_xlfn.CONCAT([2]!bron[[#This Row],[personeelsnr]]," ",C122," ",D122)</f>
        <v>#REF!</v>
      </c>
      <c r="C122" t="str">
        <f>VLOOKUP(bron[[#This Row],[personeelsnr]],'data hastus'!$A:$C,2,0)</f>
        <v>Naessens</v>
      </c>
      <c r="D122" t="str">
        <f>VLOOKUP(bron[[#This Row],[personeelsnr]],'data hastus'!$A:$C,3,0)</f>
        <v>Yves</v>
      </c>
      <c r="E122" t="str">
        <f>VLOOKUP(bron[[#This Row],[personeelsnr]],'data hastus'!A:K,11,FALSE)</f>
        <v>Kenneth De Rick</v>
      </c>
      <c r="F122" s="10"/>
      <c r="G122" s="6"/>
      <c r="H122" s="6"/>
      <c r="I122" s="6"/>
      <c r="J122">
        <v>1</v>
      </c>
      <c r="K122"/>
      <c r="L122"/>
      <c r="M122"/>
      <c r="N122"/>
      <c r="O122"/>
      <c r="P122"/>
      <c r="Q122"/>
      <c r="R122"/>
      <c r="S122">
        <f>SUM(bron[[#This Row],[Januari]:[December]])</f>
        <v>1</v>
      </c>
      <c r="T122" s="3">
        <v>45769</v>
      </c>
      <c r="U122" s="8" t="s">
        <v>3177</v>
      </c>
      <c r="V122" s="8">
        <v>1</v>
      </c>
      <c r="W122" s="8"/>
      <c r="X122" t="s">
        <v>57</v>
      </c>
      <c r="Y122" t="s">
        <v>160</v>
      </c>
    </row>
    <row r="123" spans="1:25" x14ac:dyDescent="0.25">
      <c r="A123">
        <v>40478</v>
      </c>
      <c r="B123" t="e">
        <f>_xlfn.CONCAT([2]!bron[[#This Row],[personeelsnr]]," ",C123," ",D123)</f>
        <v>#REF!</v>
      </c>
      <c r="C123" t="str">
        <f>VLOOKUP(bron[[#This Row],[personeelsnr]],'data hastus'!$A:$C,2,0)</f>
        <v>Hashimi</v>
      </c>
      <c r="D123" t="str">
        <f>VLOOKUP(bron[[#This Row],[personeelsnr]],'data hastus'!$A:$C,3,0)</f>
        <v>Ali Mir</v>
      </c>
      <c r="E123" t="str">
        <f>VLOOKUP(bron[[#This Row],[personeelsnr]],'data hastus'!A:K,11,FALSE)</f>
        <v>Bart Van Der Beken</v>
      </c>
      <c r="F123" s="10"/>
      <c r="G123" s="6"/>
      <c r="H123" s="6"/>
      <c r="I123" s="6"/>
      <c r="J123">
        <v>1</v>
      </c>
      <c r="K123"/>
      <c r="L123"/>
      <c r="M123"/>
      <c r="N123"/>
      <c r="O123"/>
      <c r="P123"/>
      <c r="Q123"/>
      <c r="R123"/>
      <c r="S123">
        <f>SUM(bron[[#This Row],[Januari]:[December]])</f>
        <v>1</v>
      </c>
      <c r="T123" s="3">
        <v>45769</v>
      </c>
      <c r="U123" s="8" t="s">
        <v>3157</v>
      </c>
      <c r="V123" s="8">
        <v>1</v>
      </c>
      <c r="W123" s="8"/>
      <c r="X123" t="s">
        <v>57</v>
      </c>
      <c r="Y123" t="s">
        <v>186</v>
      </c>
    </row>
    <row r="124" spans="1:25" x14ac:dyDescent="0.25">
      <c r="A124">
        <v>40110</v>
      </c>
      <c r="B124" t="e">
        <f>_xlfn.CONCAT([2]!bron[[#This Row],[personeelsnr]]," ",C124," ",D124)</f>
        <v>#REF!</v>
      </c>
      <c r="C124" t="str">
        <f>VLOOKUP(bron[[#This Row],[personeelsnr]],'data hastus'!$A:$C,2,0)</f>
        <v>Vanlerberghe</v>
      </c>
      <c r="D124" t="str">
        <f>VLOOKUP(bron[[#This Row],[personeelsnr]],'data hastus'!$A:$C,3,0)</f>
        <v>Sandra</v>
      </c>
      <c r="E124" t="str">
        <f>VLOOKUP(bron[[#This Row],[personeelsnr]],'data hastus'!A:K,11,FALSE)</f>
        <v>Christoff Rotty</v>
      </c>
      <c r="F124" s="10"/>
      <c r="G124" s="6"/>
      <c r="H124" s="6"/>
      <c r="I124" s="6"/>
      <c r="J124">
        <v>1</v>
      </c>
      <c r="K124"/>
      <c r="L124"/>
      <c r="M124"/>
      <c r="N124"/>
      <c r="O124"/>
      <c r="P124"/>
      <c r="Q124"/>
      <c r="R124"/>
      <c r="S124">
        <f>SUM(bron[[#This Row],[Januari]:[December]])</f>
        <v>1</v>
      </c>
      <c r="T124" s="3">
        <v>45766</v>
      </c>
      <c r="U124" s="8" t="s">
        <v>3144</v>
      </c>
      <c r="V124" s="8">
        <v>1</v>
      </c>
      <c r="W124" s="8"/>
      <c r="X124" t="s">
        <v>57</v>
      </c>
      <c r="Y124" t="s">
        <v>55</v>
      </c>
    </row>
    <row r="125" spans="1:25" x14ac:dyDescent="0.25">
      <c r="A125">
        <v>32245</v>
      </c>
      <c r="B125" t="e">
        <f>_xlfn.CONCAT([2]!bron[[#This Row],[personeelsnr]]," ",C125," ",D125)</f>
        <v>#REF!</v>
      </c>
      <c r="C125" t="str">
        <f>VLOOKUP(bron[[#This Row],[personeelsnr]],'data hastus'!$A:$C,2,0)</f>
        <v>Verlinden</v>
      </c>
      <c r="D125" t="str">
        <f>VLOOKUP(bron[[#This Row],[personeelsnr]],'data hastus'!$A:$C,3,0)</f>
        <v>Bianca</v>
      </c>
      <c r="E125" t="str">
        <f>VLOOKUP(bron[[#This Row],[personeelsnr]],'data hastus'!A:K,11,FALSE)</f>
        <v>Els Vanhoe</v>
      </c>
      <c r="F125" s="10"/>
      <c r="G125" s="6"/>
      <c r="H125" s="6"/>
      <c r="I125" s="6"/>
      <c r="J125">
        <v>1</v>
      </c>
      <c r="K125"/>
      <c r="L125"/>
      <c r="M125"/>
      <c r="N125"/>
      <c r="O125"/>
      <c r="P125"/>
      <c r="Q125"/>
      <c r="R125"/>
      <c r="S125">
        <f>SUM(bron[[#This Row],[Januari]:[December]])</f>
        <v>1</v>
      </c>
      <c r="T125" s="3">
        <v>45766</v>
      </c>
      <c r="U125" s="8" t="s">
        <v>3161</v>
      </c>
      <c r="V125" s="8">
        <v>1</v>
      </c>
      <c r="W125" s="8"/>
      <c r="X125" t="s">
        <v>57</v>
      </c>
      <c r="Y125" t="s">
        <v>21</v>
      </c>
    </row>
    <row r="126" spans="1:25" x14ac:dyDescent="0.25">
      <c r="A126">
        <v>41520</v>
      </c>
      <c r="B126" t="e">
        <f>_xlfn.CONCAT([2]!bron[[#This Row],[personeelsnr]]," ",C126," ",D126)</f>
        <v>#REF!</v>
      </c>
      <c r="C126" t="str">
        <f>VLOOKUP(bron[[#This Row],[personeelsnr]],'data hastus'!$A:$C,2,0)</f>
        <v>Smets</v>
      </c>
      <c r="D126" t="str">
        <f>VLOOKUP(bron[[#This Row],[personeelsnr]],'data hastus'!$A:$C,3,0)</f>
        <v>Avery</v>
      </c>
      <c r="E126" t="str">
        <f>VLOOKUP(bron[[#This Row],[personeelsnr]],'data hastus'!A:K,11,FALSE)</f>
        <v>Christoff Rotty</v>
      </c>
      <c r="F126" s="10"/>
      <c r="G126" s="6"/>
      <c r="H126" s="6"/>
      <c r="I126" s="6"/>
      <c r="J126">
        <v>1</v>
      </c>
      <c r="K126"/>
      <c r="L126"/>
      <c r="M126"/>
      <c r="N126"/>
      <c r="O126"/>
      <c r="P126"/>
      <c r="Q126"/>
      <c r="R126"/>
      <c r="S126">
        <f>SUM(bron[[#This Row],[Januari]:[December]])</f>
        <v>1</v>
      </c>
      <c r="T126" s="3">
        <v>45766</v>
      </c>
      <c r="U126" s="8" t="s">
        <v>3162</v>
      </c>
      <c r="V126" s="8">
        <v>1</v>
      </c>
      <c r="W126" s="8"/>
      <c r="X126" t="s">
        <v>57</v>
      </c>
      <c r="Y126" t="s">
        <v>197</v>
      </c>
    </row>
    <row r="127" spans="1:25" x14ac:dyDescent="0.25">
      <c r="A127">
        <v>37744</v>
      </c>
      <c r="B127" t="e">
        <f>_xlfn.CONCAT([2]!bron[[#This Row],[personeelsnr]]," ",C127," ",D127)</f>
        <v>#REF!</v>
      </c>
      <c r="C127" t="str">
        <f>VLOOKUP(bron[[#This Row],[personeelsnr]],'data hastus'!$A:$C,2,0)</f>
        <v>De Lange</v>
      </c>
      <c r="D127" t="str">
        <f>VLOOKUP(bron[[#This Row],[personeelsnr]],'data hastus'!$A:$C,3,0)</f>
        <v>Frank</v>
      </c>
      <c r="E127" t="str">
        <f>VLOOKUP(bron[[#This Row],[personeelsnr]],'data hastus'!A:K,11,FALSE)</f>
        <v>Dominique De Clercq</v>
      </c>
      <c r="F127" s="10"/>
      <c r="G127" s="6"/>
      <c r="H127" s="6"/>
      <c r="I127" s="6"/>
      <c r="J127">
        <v>1</v>
      </c>
      <c r="K127"/>
      <c r="L127"/>
      <c r="M127"/>
      <c r="N127"/>
      <c r="O127"/>
      <c r="P127"/>
      <c r="Q127"/>
      <c r="R127"/>
      <c r="S127">
        <f>SUM(bron[[#This Row],[Januari]:[December]])</f>
        <v>1</v>
      </c>
      <c r="T127" s="3">
        <v>45765</v>
      </c>
      <c r="U127" s="8" t="s">
        <v>3152</v>
      </c>
      <c r="V127" s="8">
        <v>1</v>
      </c>
      <c r="W127" s="8"/>
      <c r="X127" t="s">
        <v>57</v>
      </c>
      <c r="Y127" t="s">
        <v>178</v>
      </c>
    </row>
    <row r="128" spans="1:25" x14ac:dyDescent="0.25">
      <c r="A128">
        <v>41230</v>
      </c>
      <c r="B128" t="e">
        <f>_xlfn.CONCAT([2]!bron[[#This Row],[personeelsnr]]," ",C128," ",D128)</f>
        <v>#REF!</v>
      </c>
      <c r="C128" t="str">
        <f>VLOOKUP(bron[[#This Row],[personeelsnr]],'data hastus'!$A:$C,2,0)</f>
        <v>De Witte</v>
      </c>
      <c r="D128" t="str">
        <f>VLOOKUP(bron[[#This Row],[personeelsnr]],'data hastus'!$A:$C,3,0)</f>
        <v>Bart</v>
      </c>
      <c r="E128" t="str">
        <f>VLOOKUP(bron[[#This Row],[personeelsnr]],'data hastus'!A:K,11,FALSE)</f>
        <v>Dominique De Clercq</v>
      </c>
      <c r="F128" s="10"/>
      <c r="G128" s="6"/>
      <c r="H128" s="6"/>
      <c r="I128" s="6"/>
      <c r="J128">
        <v>1</v>
      </c>
      <c r="K128"/>
      <c r="L128"/>
      <c r="M128"/>
      <c r="N128"/>
      <c r="O128"/>
      <c r="P128"/>
      <c r="Q128"/>
      <c r="R128"/>
      <c r="S128">
        <f>SUM(bron[[#This Row],[Januari]:[December]])</f>
        <v>1</v>
      </c>
      <c r="T128" s="3">
        <v>45765</v>
      </c>
      <c r="U128" s="8" t="s">
        <v>3158</v>
      </c>
      <c r="V128" s="8">
        <v>1</v>
      </c>
      <c r="W128" s="8"/>
      <c r="X128" t="s">
        <v>57</v>
      </c>
      <c r="Y128" t="s">
        <v>105</v>
      </c>
    </row>
    <row r="129" spans="1:25" x14ac:dyDescent="0.25">
      <c r="A129">
        <v>21582</v>
      </c>
      <c r="B129" t="e">
        <f>_xlfn.CONCAT([2]!bron[[#This Row],[personeelsnr]]," ",C129," ",D129)</f>
        <v>#REF!</v>
      </c>
      <c r="C129" t="str">
        <f>VLOOKUP(bron[[#This Row],[personeelsnr]],'data hastus'!$A:$C,2,0)</f>
        <v>De Grom</v>
      </c>
      <c r="D129" t="str">
        <f>VLOOKUP(bron[[#This Row],[personeelsnr]],'data hastus'!$A:$C,3,0)</f>
        <v>Patrick</v>
      </c>
      <c r="E129" t="str">
        <f>VLOOKUP(bron[[#This Row],[personeelsnr]],'data hastus'!A:K,11,FALSE)</f>
        <v>Steven Storm</v>
      </c>
      <c r="F129" s="10"/>
      <c r="G129" s="6"/>
      <c r="H129" s="6"/>
      <c r="I129" s="6"/>
      <c r="J129">
        <v>1</v>
      </c>
      <c r="K129"/>
      <c r="L129"/>
      <c r="M129"/>
      <c r="N129"/>
      <c r="O129"/>
      <c r="P129"/>
      <c r="Q129"/>
      <c r="R129"/>
      <c r="S129">
        <f>SUM(bron[[#This Row],[Januari]:[December]])</f>
        <v>1</v>
      </c>
      <c r="T129" s="3">
        <v>45765</v>
      </c>
      <c r="U129" s="8" t="s">
        <v>3165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38938</v>
      </c>
      <c r="B130" t="e">
        <f>_xlfn.CONCAT([2]!bron[[#This Row],[personeelsnr]]," ",C130," ",D130)</f>
        <v>#REF!</v>
      </c>
      <c r="C130" t="str">
        <f>VLOOKUP(bron[[#This Row],[personeelsnr]],'data hastus'!$A:$C,2,0)</f>
        <v>Sedighi</v>
      </c>
      <c r="D130" t="str">
        <f>VLOOKUP(bron[[#This Row],[personeelsnr]],'data hastus'!$A:$C,3,0)</f>
        <v>Hamid</v>
      </c>
      <c r="E130" t="str">
        <f>VLOOKUP(bron[[#This Row],[personeelsnr]],'data hastus'!A:K,11,FALSE)</f>
        <v>Lucie Vande Velde</v>
      </c>
      <c r="F130" s="10"/>
      <c r="G130" s="6"/>
      <c r="H130" s="6"/>
      <c r="I130" s="6"/>
      <c r="J130">
        <v>1</v>
      </c>
      <c r="K130"/>
      <c r="L130"/>
      <c r="M130"/>
      <c r="N130"/>
      <c r="O130"/>
      <c r="P130"/>
      <c r="Q130"/>
      <c r="R130"/>
      <c r="S130">
        <f>SUM(bron[[#This Row],[Januari]:[December]])</f>
        <v>1</v>
      </c>
      <c r="T130" s="3">
        <v>45765</v>
      </c>
      <c r="U130" s="8" t="s">
        <v>3172</v>
      </c>
      <c r="V130" s="8"/>
      <c r="W130" s="8">
        <v>1</v>
      </c>
      <c r="X130" t="s">
        <v>58</v>
      </c>
      <c r="Y130" t="s">
        <v>108</v>
      </c>
    </row>
    <row r="131" spans="1:25" x14ac:dyDescent="0.25">
      <c r="A131">
        <v>34445</v>
      </c>
      <c r="B131" t="e">
        <f>_xlfn.CONCAT([2]!bron[[#This Row],[personeelsnr]]," ",C131," ",D131)</f>
        <v>#REF!</v>
      </c>
      <c r="C131" t="str">
        <f>VLOOKUP(bron[[#This Row],[personeelsnr]],'data hastus'!$A:$C,2,0)</f>
        <v>Wulleput</v>
      </c>
      <c r="D131" t="str">
        <f>VLOOKUP(bron[[#This Row],[personeelsnr]],'data hastus'!$A:$C,3,0)</f>
        <v>Illya</v>
      </c>
      <c r="E131" t="str">
        <f>VLOOKUP(bron[[#This Row],[personeelsnr]],'data hastus'!A:K,11,FALSE)</f>
        <v>Dominique De Clercq</v>
      </c>
      <c r="F131" s="10"/>
      <c r="G131" s="6"/>
      <c r="H131" s="6"/>
      <c r="I131" s="6"/>
      <c r="J131">
        <v>1</v>
      </c>
      <c r="K131"/>
      <c r="L131"/>
      <c r="M131"/>
      <c r="N131"/>
      <c r="O131"/>
      <c r="P131"/>
      <c r="Q131"/>
      <c r="R131"/>
      <c r="S131">
        <f>SUM(bron[[#This Row],[Januari]:[December]])</f>
        <v>1</v>
      </c>
      <c r="T131" s="3">
        <v>45763</v>
      </c>
      <c r="U131" s="8" t="s">
        <v>3173</v>
      </c>
      <c r="V131" s="8"/>
      <c r="W131" s="8">
        <v>1</v>
      </c>
      <c r="X131" t="s">
        <v>58</v>
      </c>
      <c r="Y131" t="s">
        <v>52</v>
      </c>
    </row>
    <row r="132" spans="1:25" x14ac:dyDescent="0.25">
      <c r="A132">
        <v>40443</v>
      </c>
      <c r="B132" t="e">
        <f>_xlfn.CONCAT([2]!bron[[#This Row],[personeelsnr]]," ",C132," ",D132)</f>
        <v>#REF!</v>
      </c>
      <c r="C132" t="str">
        <f>VLOOKUP(bron[[#This Row],[personeelsnr]],'data hastus'!$A:$C,2,0)</f>
        <v>Fakash</v>
      </c>
      <c r="D132" t="str">
        <f>VLOOKUP(bron[[#This Row],[personeelsnr]],'data hastus'!$A:$C,3,0)</f>
        <v>Mahmoud</v>
      </c>
      <c r="E132" t="str">
        <f>VLOOKUP(bron[[#This Row],[personeelsnr]],'data hastus'!A:K,11,FALSE)</f>
        <v>Bart Van Der Beken</v>
      </c>
      <c r="F132" s="10"/>
      <c r="G132" s="6"/>
      <c r="H132" s="6"/>
      <c r="I132" s="6"/>
      <c r="J132">
        <v>1</v>
      </c>
      <c r="K132"/>
      <c r="L132"/>
      <c r="M132"/>
      <c r="N132"/>
      <c r="O132"/>
      <c r="P132"/>
      <c r="Q132"/>
      <c r="R132"/>
      <c r="S132">
        <f>SUM(bron[[#This Row],[Januari]:[December]])</f>
        <v>1</v>
      </c>
      <c r="T132" s="3">
        <v>45762</v>
      </c>
      <c r="U132" s="8" t="s">
        <v>3155</v>
      </c>
      <c r="V132" s="8">
        <v>1</v>
      </c>
      <c r="W132" s="8"/>
      <c r="X132" t="s">
        <v>57</v>
      </c>
      <c r="Y132" t="s">
        <v>222</v>
      </c>
    </row>
    <row r="133" spans="1:25" x14ac:dyDescent="0.25">
      <c r="A133">
        <v>36820</v>
      </c>
      <c r="B133" t="e">
        <f>_xlfn.CONCAT([2]!bron[[#This Row],[personeelsnr]]," ",C133," ",D133)</f>
        <v>#REF!</v>
      </c>
      <c r="C133" t="str">
        <f>VLOOKUP(bron[[#This Row],[personeelsnr]],'data hastus'!$A:$C,2,0)</f>
        <v>Haché</v>
      </c>
      <c r="D133" t="str">
        <f>VLOOKUP(bron[[#This Row],[personeelsnr]],'data hastus'!$A:$C,3,0)</f>
        <v>Philip</v>
      </c>
      <c r="E133" t="str">
        <f>VLOOKUP(bron[[#This Row],[personeelsnr]],'data hastus'!A:K,11,FALSE)</f>
        <v>Steven Storm</v>
      </c>
      <c r="F133" s="10"/>
      <c r="G133" s="6"/>
      <c r="H133" s="6"/>
      <c r="I133" s="6"/>
      <c r="J133">
        <v>1</v>
      </c>
      <c r="K133"/>
      <c r="L133"/>
      <c r="M133"/>
      <c r="N133"/>
      <c r="O133"/>
      <c r="P133"/>
      <c r="Q133"/>
      <c r="R133"/>
      <c r="S133">
        <f>SUM(bron[[#This Row],[Januari]:[December]])</f>
        <v>1</v>
      </c>
      <c r="T133" s="3">
        <v>45759</v>
      </c>
      <c r="U133" s="8" t="s">
        <v>3182</v>
      </c>
      <c r="V133" s="8">
        <v>1</v>
      </c>
      <c r="W133" s="8"/>
      <c r="X133" t="s">
        <v>57</v>
      </c>
      <c r="Y133" t="s">
        <v>372</v>
      </c>
    </row>
    <row r="134" spans="1:25" x14ac:dyDescent="0.25">
      <c r="A134">
        <v>25733</v>
      </c>
      <c r="B134" t="e">
        <f>_xlfn.CONCAT([2]!bron[[#This Row],[personeelsnr]]," ",C134," ",D134)</f>
        <v>#REF!</v>
      </c>
      <c r="C134" t="str">
        <f>VLOOKUP(bron[[#This Row],[personeelsnr]],'data hastus'!$A:$C,2,0)</f>
        <v>Simsek</v>
      </c>
      <c r="D134" t="str">
        <f>VLOOKUP(bron[[#This Row],[personeelsnr]],'data hastus'!$A:$C,3,0)</f>
        <v>Abdullah</v>
      </c>
      <c r="E134" t="str">
        <f>VLOOKUP(bron[[#This Row],[personeelsnr]],'data hastus'!A:K,11,FALSE)</f>
        <v>Els Vanhoe</v>
      </c>
      <c r="F134" s="10"/>
      <c r="G134" s="6"/>
      <c r="H134" s="6"/>
      <c r="I134" s="6"/>
      <c r="J134">
        <v>1</v>
      </c>
      <c r="K134"/>
      <c r="L134"/>
      <c r="M134"/>
      <c r="N134"/>
      <c r="O134"/>
      <c r="P134"/>
      <c r="Q134"/>
      <c r="R134"/>
      <c r="S134">
        <f>SUM(bron[[#This Row],[Januari]:[December]])</f>
        <v>1</v>
      </c>
      <c r="T134" s="3">
        <v>45759</v>
      </c>
      <c r="U134" s="8" t="s">
        <v>3171</v>
      </c>
      <c r="V134" s="8"/>
      <c r="W134" s="8">
        <v>1</v>
      </c>
      <c r="X134" t="s">
        <v>58</v>
      </c>
      <c r="Y134" t="s">
        <v>89</v>
      </c>
    </row>
    <row r="135" spans="1:25" x14ac:dyDescent="0.25">
      <c r="A135">
        <v>35645</v>
      </c>
      <c r="B135" t="e">
        <f>_xlfn.CONCAT([2]!bron[[#This Row],[personeelsnr]]," ",C135," ",D135)</f>
        <v>#REF!</v>
      </c>
      <c r="C135" t="str">
        <f>VLOOKUP(bron[[#This Row],[personeelsnr]],'data hastus'!$A:$C,2,0)</f>
        <v>Jalili</v>
      </c>
      <c r="D135" t="str">
        <f>VLOOKUP(bron[[#This Row],[personeelsnr]],'data hastus'!$A:$C,3,0)</f>
        <v>Yaseeb</v>
      </c>
      <c r="E135" t="str">
        <f>VLOOKUP(bron[[#This Row],[personeelsnr]],'data hastus'!A:K,11,FALSE)</f>
        <v>Steven Storm</v>
      </c>
      <c r="F135" s="10"/>
      <c r="G135" s="6"/>
      <c r="H135" s="6"/>
      <c r="I135" s="6"/>
      <c r="J135">
        <v>1</v>
      </c>
      <c r="K135"/>
      <c r="L135"/>
      <c r="M135"/>
      <c r="N135"/>
      <c r="O135"/>
      <c r="P135"/>
      <c r="Q135"/>
      <c r="R135"/>
      <c r="S135">
        <f>SUM(bron[[#This Row],[Januari]:[December]])</f>
        <v>1</v>
      </c>
      <c r="T135" s="3">
        <v>45758</v>
      </c>
      <c r="U135" s="8" t="s">
        <v>3181</v>
      </c>
      <c r="V135" s="8">
        <v>1</v>
      </c>
      <c r="W135" s="8"/>
      <c r="X135" t="s">
        <v>57</v>
      </c>
      <c r="Y135" t="s">
        <v>21</v>
      </c>
    </row>
    <row r="136" spans="1:25" x14ac:dyDescent="0.25">
      <c r="A136">
        <v>9158</v>
      </c>
      <c r="B136" t="e">
        <f>_xlfn.CONCAT([2]!bron[[#This Row],[personeelsnr]]," ",C136," ",D136)</f>
        <v>#REF!</v>
      </c>
      <c r="C136" t="str">
        <f>VLOOKUP(bron[[#This Row],[personeelsnr]],'data hastus'!$A:$C,2,0)</f>
        <v>De Weirdt</v>
      </c>
      <c r="D136" t="str">
        <f>VLOOKUP(bron[[#This Row],[personeelsnr]],'data hastus'!$A:$C,3,0)</f>
        <v>Ronny</v>
      </c>
      <c r="E136" t="str">
        <f>VLOOKUP(bron[[#This Row],[personeelsnr]],'data hastus'!A:K,11,FALSE)</f>
        <v>Steven Storm</v>
      </c>
      <c r="F136" s="10"/>
      <c r="G136" s="6"/>
      <c r="H136" s="6"/>
      <c r="I136" s="6"/>
      <c r="J136">
        <v>1</v>
      </c>
      <c r="K136"/>
      <c r="L136"/>
      <c r="M136"/>
      <c r="N136"/>
      <c r="O136"/>
      <c r="P136"/>
      <c r="Q136"/>
      <c r="R136"/>
      <c r="S136">
        <f>SUM(bron[[#This Row],[Januari]:[December]])</f>
        <v>1</v>
      </c>
      <c r="T136" s="3">
        <v>45758</v>
      </c>
      <c r="U136" s="8" t="s">
        <v>3176</v>
      </c>
      <c r="V136" s="8"/>
      <c r="W136" s="8">
        <v>1</v>
      </c>
      <c r="X136" t="s">
        <v>58</v>
      </c>
      <c r="Y136" t="s">
        <v>19</v>
      </c>
    </row>
    <row r="137" spans="1:25" x14ac:dyDescent="0.25">
      <c r="A137">
        <v>34325</v>
      </c>
      <c r="B137" t="e">
        <f>_xlfn.CONCAT([2]!bron[[#This Row],[personeelsnr]]," ",C137," ",D137)</f>
        <v>#REF!</v>
      </c>
      <c r="C137" t="str">
        <f>VLOOKUP(bron[[#This Row],[personeelsnr]],'data hastus'!$A:$C,2,0)</f>
        <v>Eid</v>
      </c>
      <c r="D137" t="str">
        <f>VLOOKUP(bron[[#This Row],[personeelsnr]],'data hastus'!$A:$C,3,0)</f>
        <v>Mathyn</v>
      </c>
      <c r="E137" t="str">
        <f>VLOOKUP(bron[[#This Row],[personeelsnr]],'data hastus'!A:K,11,FALSE)</f>
        <v>Steven Storm</v>
      </c>
      <c r="F137" s="10"/>
      <c r="G137" s="6"/>
      <c r="H137" s="6"/>
      <c r="I137" s="6"/>
      <c r="J137">
        <v>1</v>
      </c>
      <c r="K137"/>
      <c r="L137"/>
      <c r="M137"/>
      <c r="N137"/>
      <c r="O137"/>
      <c r="P137"/>
      <c r="Q137"/>
      <c r="R137"/>
      <c r="S137">
        <f>SUM(bron[[#This Row],[Januari]:[December]])</f>
        <v>1</v>
      </c>
      <c r="T137" s="3">
        <v>45757</v>
      </c>
      <c r="U137" s="8" t="s">
        <v>3180</v>
      </c>
      <c r="V137" s="8"/>
      <c r="W137" s="8">
        <v>1</v>
      </c>
      <c r="X137" t="s">
        <v>58</v>
      </c>
      <c r="Y137" t="s">
        <v>201</v>
      </c>
    </row>
    <row r="138" spans="1:25" x14ac:dyDescent="0.25">
      <c r="A138">
        <v>39929</v>
      </c>
      <c r="B138" t="e">
        <f>_xlfn.CONCAT([2]!bron[[#This Row],[personeelsnr]]," ",C138," ",D138)</f>
        <v>#REF!</v>
      </c>
      <c r="C138" t="str">
        <f>VLOOKUP(bron[[#This Row],[personeelsnr]],'data hastus'!$A:$C,2,0)</f>
        <v>Staneva</v>
      </c>
      <c r="D138" t="str">
        <f>VLOOKUP(bron[[#This Row],[personeelsnr]],'data hastus'!$A:$C,3,0)</f>
        <v>Mariyana</v>
      </c>
      <c r="E138" t="str">
        <f>VLOOKUP(bron[[#This Row],[personeelsnr]],'data hastus'!A:K,11,FALSE)</f>
        <v>Christoff Rotty</v>
      </c>
      <c r="F138" s="10"/>
      <c r="G138" s="6"/>
      <c r="H138" s="6"/>
      <c r="I138" s="6"/>
      <c r="J138">
        <v>1</v>
      </c>
      <c r="K138"/>
      <c r="L138"/>
      <c r="M138"/>
      <c r="N138"/>
      <c r="O138"/>
      <c r="P138"/>
      <c r="Q138"/>
      <c r="R138"/>
      <c r="S138">
        <f>SUM(bron[[#This Row],[Januari]:[December]])</f>
        <v>1</v>
      </c>
      <c r="T138" s="3">
        <v>45756</v>
      </c>
      <c r="U138" s="8" t="s">
        <v>3143</v>
      </c>
      <c r="V138" s="8">
        <v>1</v>
      </c>
      <c r="W138" s="8"/>
      <c r="X138" t="s">
        <v>57</v>
      </c>
      <c r="Y138" t="s">
        <v>128</v>
      </c>
    </row>
    <row r="139" spans="1:25" x14ac:dyDescent="0.25">
      <c r="A139">
        <v>39358</v>
      </c>
      <c r="B139" t="e">
        <f>_xlfn.CONCAT([2]!bron[[#This Row],[personeelsnr]]," ",C139," ",D139)</f>
        <v>#REF!</v>
      </c>
      <c r="C139" t="str">
        <f>VLOOKUP(bron[[#This Row],[personeelsnr]],'data hastus'!$A:$C,2,0)</f>
        <v>Weeks Aracena</v>
      </c>
      <c r="D139" t="str">
        <f>VLOOKUP(bron[[#This Row],[personeelsnr]],'data hastus'!$A:$C,3,0)</f>
        <v>Jimmy Alexander</v>
      </c>
      <c r="E139" t="str">
        <f>VLOOKUP(bron[[#This Row],[personeelsnr]],'data hastus'!A:K,11,FALSE)</f>
        <v>Christoff Rotty</v>
      </c>
      <c r="F139" s="10"/>
      <c r="G139" s="6"/>
      <c r="H139" s="6"/>
      <c r="I139" s="6"/>
      <c r="J139">
        <v>1</v>
      </c>
      <c r="K139"/>
      <c r="L139"/>
      <c r="M139"/>
      <c r="N139"/>
      <c r="O139"/>
      <c r="P139"/>
      <c r="Q139"/>
      <c r="R139"/>
      <c r="S139">
        <f>SUM(bron[[#This Row],[Januari]:[December]])</f>
        <v>1</v>
      </c>
      <c r="T139" s="3">
        <v>45756</v>
      </c>
      <c r="U139" s="8" t="s">
        <v>3151</v>
      </c>
      <c r="V139" s="8">
        <v>1</v>
      </c>
      <c r="W139" s="8"/>
      <c r="X139" t="s">
        <v>57</v>
      </c>
      <c r="Y139" t="s">
        <v>24</v>
      </c>
    </row>
    <row r="140" spans="1:25" x14ac:dyDescent="0.25">
      <c r="A140">
        <v>38035</v>
      </c>
      <c r="B140" t="e">
        <f>_xlfn.CONCAT([2]!bron[[#This Row],[personeelsnr]]," ",C140," ",D140)</f>
        <v>#REF!</v>
      </c>
      <c r="C140" t="str">
        <f>VLOOKUP(bron[[#This Row],[personeelsnr]],'data hastus'!$A:$C,2,0)</f>
        <v>Simsek</v>
      </c>
      <c r="D140" t="str">
        <f>VLOOKUP(bron[[#This Row],[personeelsnr]],'data hastus'!$A:$C,3,0)</f>
        <v>Isa</v>
      </c>
      <c r="E140" t="str">
        <f>VLOOKUP(bron[[#This Row],[personeelsnr]],'data hastus'!A:K,11,FALSE)</f>
        <v>Bart Van Der Beken</v>
      </c>
      <c r="F140" s="10"/>
      <c r="G140" s="6"/>
      <c r="H140" s="6"/>
      <c r="I140" s="6"/>
      <c r="J140">
        <v>1</v>
      </c>
      <c r="K140"/>
      <c r="L140"/>
      <c r="M140"/>
      <c r="N140"/>
      <c r="O140"/>
      <c r="P140"/>
      <c r="Q140"/>
      <c r="R140"/>
      <c r="S140">
        <f>SUM(bron[[#This Row],[Januari]:[December]])</f>
        <v>1</v>
      </c>
      <c r="T140" s="3">
        <v>45756</v>
      </c>
      <c r="U140" s="8" t="s">
        <v>3153</v>
      </c>
      <c r="V140" s="8">
        <v>1</v>
      </c>
      <c r="W140" s="8"/>
      <c r="X140" t="s">
        <v>57</v>
      </c>
      <c r="Y140" t="s">
        <v>26</v>
      </c>
    </row>
    <row r="141" spans="1:25" x14ac:dyDescent="0.25">
      <c r="A141">
        <v>25679</v>
      </c>
      <c r="B141" t="e">
        <f>_xlfn.CONCAT([2]!bron[[#This Row],[personeelsnr]]," ",C141," ",D141)</f>
        <v>#REF!</v>
      </c>
      <c r="C141" t="str">
        <f>VLOOKUP(bron[[#This Row],[personeelsnr]],'data hastus'!$A:$C,2,0)</f>
        <v>Vanrenterghem</v>
      </c>
      <c r="D141" t="str">
        <f>VLOOKUP(bron[[#This Row],[personeelsnr]],'data hastus'!$A:$C,3,0)</f>
        <v>Serge</v>
      </c>
      <c r="E141" t="str">
        <f>VLOOKUP(bron[[#This Row],[personeelsnr]],'data hastus'!A:K,11,FALSE)</f>
        <v>Christoff Rotty</v>
      </c>
      <c r="F141" s="10"/>
      <c r="G141" s="6"/>
      <c r="H141" s="6"/>
      <c r="I141" s="6"/>
      <c r="J141">
        <v>1</v>
      </c>
      <c r="K141"/>
      <c r="L141"/>
      <c r="M141"/>
      <c r="N141"/>
      <c r="O141"/>
      <c r="P141"/>
      <c r="Q141"/>
      <c r="R141"/>
      <c r="S141">
        <f>SUM(bron[[#This Row],[Januari]:[December]])</f>
        <v>1</v>
      </c>
      <c r="T141" s="3">
        <v>45756</v>
      </c>
      <c r="U141" s="8" t="s">
        <v>3166</v>
      </c>
      <c r="V141" s="8"/>
      <c r="W141" s="8">
        <v>1</v>
      </c>
      <c r="X141" t="s">
        <v>58</v>
      </c>
      <c r="Y141" t="s">
        <v>19</v>
      </c>
    </row>
    <row r="142" spans="1:25" x14ac:dyDescent="0.25">
      <c r="A142">
        <v>35619</v>
      </c>
      <c r="B142" t="e">
        <f>_xlfn.CONCAT([2]!bron[[#This Row],[personeelsnr]]," ",C142," ",D142)</f>
        <v>#REF!</v>
      </c>
      <c r="C142" t="str">
        <f>VLOOKUP(bron[[#This Row],[personeelsnr]],'data hastus'!$A:$C,2,0)</f>
        <v>El Mezroui</v>
      </c>
      <c r="D142" t="str">
        <f>VLOOKUP(bron[[#This Row],[personeelsnr]],'data hastus'!$A:$C,3,0)</f>
        <v>Zouheir</v>
      </c>
      <c r="E142" t="str">
        <f>VLOOKUP(bron[[#This Row],[personeelsnr]],'data hastus'!A:K,11,FALSE)</f>
        <v>Steven Storm</v>
      </c>
      <c r="F142" s="10"/>
      <c r="G142" s="6"/>
      <c r="H142" s="6"/>
      <c r="I142" s="6"/>
      <c r="J142">
        <v>1</v>
      </c>
      <c r="K142"/>
      <c r="L142"/>
      <c r="M142"/>
      <c r="N142"/>
      <c r="O142"/>
      <c r="P142"/>
      <c r="Q142"/>
      <c r="R142"/>
      <c r="S142">
        <f>SUM(bron[[#This Row],[Januari]:[December]])</f>
        <v>1</v>
      </c>
      <c r="T142" s="3">
        <v>45755</v>
      </c>
      <c r="U142" s="8" t="s">
        <v>3179</v>
      </c>
      <c r="V142" s="8"/>
      <c r="W142" s="8">
        <v>1</v>
      </c>
      <c r="X142" t="s">
        <v>58</v>
      </c>
      <c r="Y142" t="s">
        <v>70</v>
      </c>
    </row>
    <row r="143" spans="1:25" x14ac:dyDescent="0.25">
      <c r="A143">
        <v>41092</v>
      </c>
      <c r="B143" t="e">
        <f>_xlfn.CONCAT([2]!bron[[#This Row],[personeelsnr]]," ",C143," ",D143)</f>
        <v>#REF!</v>
      </c>
      <c r="C143" t="str">
        <f>VLOOKUP(bron[[#This Row],[personeelsnr]],'data hastus'!$A:$C,2,0)</f>
        <v>De Keyser</v>
      </c>
      <c r="D143" t="str">
        <f>VLOOKUP(bron[[#This Row],[personeelsnr]],'data hastus'!$A:$C,3,0)</f>
        <v>Dorien</v>
      </c>
      <c r="E143" t="str">
        <f>VLOOKUP(bron[[#This Row],[personeelsnr]],'data hastus'!A:K,11,FALSE)</f>
        <v>Dominique De Clercq</v>
      </c>
      <c r="F143" s="10"/>
      <c r="G143" s="6"/>
      <c r="H143" s="6"/>
      <c r="I143" s="6"/>
      <c r="J143">
        <v>1</v>
      </c>
      <c r="K143"/>
      <c r="L143"/>
      <c r="M143"/>
      <c r="N143"/>
      <c r="O143"/>
      <c r="P143"/>
      <c r="Q143"/>
      <c r="R143"/>
      <c r="S143">
        <f>SUM(bron[[#This Row],[Januari]:[December]])</f>
        <v>1</v>
      </c>
      <c r="T143" s="3">
        <v>45754</v>
      </c>
      <c r="U143" s="8" t="s">
        <v>3154</v>
      </c>
      <c r="V143" s="8">
        <v>1</v>
      </c>
      <c r="W143" s="8"/>
      <c r="X143" t="s">
        <v>57</v>
      </c>
      <c r="Y143" t="s">
        <v>39</v>
      </c>
    </row>
    <row r="144" spans="1:25" x14ac:dyDescent="0.25">
      <c r="A144">
        <v>40939</v>
      </c>
      <c r="B144" t="e">
        <f>_xlfn.CONCAT([2]!bron[[#This Row],[personeelsnr]]," ",C144," ",D144)</f>
        <v>#REF!</v>
      </c>
      <c r="C144" t="str">
        <f>VLOOKUP(bron[[#This Row],[personeelsnr]],'data hastus'!$A:$C,2,0)</f>
        <v>Cisse</v>
      </c>
      <c r="D144" t="str">
        <f>VLOOKUP(bron[[#This Row],[personeelsnr]],'data hastus'!$A:$C,3,0)</f>
        <v>Sayon</v>
      </c>
      <c r="E144" t="str">
        <f>VLOOKUP(bron[[#This Row],[personeelsnr]],'data hastus'!A:K,11,FALSE)</f>
        <v>Kenneth De Rick</v>
      </c>
      <c r="F144" s="10"/>
      <c r="G144" s="6"/>
      <c r="H144" s="6"/>
      <c r="I144" s="6"/>
      <c r="J144">
        <v>1</v>
      </c>
      <c r="K144"/>
      <c r="L144"/>
      <c r="M144"/>
      <c r="N144"/>
      <c r="O144"/>
      <c r="P144"/>
      <c r="Q144"/>
      <c r="R144"/>
      <c r="S144">
        <f>SUM(bron[[#This Row],[Januari]:[December]])</f>
        <v>1</v>
      </c>
      <c r="T144" s="3">
        <v>45751</v>
      </c>
      <c r="U144" s="8" t="s">
        <v>3146</v>
      </c>
      <c r="V144" s="8">
        <v>1</v>
      </c>
      <c r="W144" s="8"/>
      <c r="X144" t="s">
        <v>57</v>
      </c>
      <c r="Y144" t="s">
        <v>45</v>
      </c>
    </row>
    <row r="145" spans="1:25" x14ac:dyDescent="0.25">
      <c r="A145">
        <v>32951</v>
      </c>
      <c r="B145" t="e">
        <f>_xlfn.CONCAT([2]!bron[[#This Row],[personeelsnr]]," ",C145," ",D145)</f>
        <v>#REF!</v>
      </c>
      <c r="C145" t="str">
        <f>VLOOKUP(bron[[#This Row],[personeelsnr]],'data hastus'!$A:$C,2,0)</f>
        <v>De Bruyne</v>
      </c>
      <c r="D145" t="str">
        <f>VLOOKUP(bron[[#This Row],[personeelsnr]],'data hastus'!$A:$C,3,0)</f>
        <v>Sonia</v>
      </c>
      <c r="E145" t="str">
        <f>VLOOKUP(bron[[#This Row],[personeelsnr]],'data hastus'!A:K,11,FALSE)</f>
        <v>Lucie Vande Velde</v>
      </c>
      <c r="F145" s="10"/>
      <c r="G145" s="6"/>
      <c r="H145" s="6"/>
      <c r="I145" s="6"/>
      <c r="J145">
        <v>1</v>
      </c>
      <c r="K145"/>
      <c r="L145"/>
      <c r="M145"/>
      <c r="N145"/>
      <c r="O145"/>
      <c r="P145"/>
      <c r="Q145"/>
      <c r="R145"/>
      <c r="S145">
        <f>SUM(bron[[#This Row],[Januari]:[December]])</f>
        <v>1</v>
      </c>
      <c r="T145" s="3">
        <v>45751</v>
      </c>
      <c r="U145" s="8" t="s">
        <v>3147</v>
      </c>
      <c r="V145" s="8">
        <v>1</v>
      </c>
      <c r="W145" s="8"/>
      <c r="X145" t="s">
        <v>57</v>
      </c>
      <c r="Y145" t="s">
        <v>45</v>
      </c>
    </row>
    <row r="146" spans="1:25" x14ac:dyDescent="0.25">
      <c r="A146">
        <v>38807</v>
      </c>
      <c r="B146" t="e">
        <f>_xlfn.CONCAT([2]!bron[[#This Row],[personeelsnr]]," ",C146," ",D146)</f>
        <v>#REF!</v>
      </c>
      <c r="C146" t="str">
        <f>VLOOKUP(bron[[#This Row],[personeelsnr]],'data hastus'!$A:$C,2,0)</f>
        <v>Dossche</v>
      </c>
      <c r="D146" t="str">
        <f>VLOOKUP(bron[[#This Row],[personeelsnr]],'data hastus'!$A:$C,3,0)</f>
        <v>Caroline</v>
      </c>
      <c r="E146" t="str">
        <f>VLOOKUP(bron[[#This Row],[personeelsnr]],'data hastus'!A:K,11,FALSE)</f>
        <v>Christoff Rotty</v>
      </c>
      <c r="F146" s="10"/>
      <c r="G146" s="6"/>
      <c r="H146" s="6"/>
      <c r="I146" s="6"/>
      <c r="J146">
        <v>1</v>
      </c>
      <c r="K146"/>
      <c r="L146"/>
      <c r="M146"/>
      <c r="N146"/>
      <c r="O146"/>
      <c r="P146"/>
      <c r="Q146"/>
      <c r="R146"/>
      <c r="S146">
        <f>SUM(bron[[#This Row],[Januari]:[December]])</f>
        <v>1</v>
      </c>
      <c r="T146" s="3">
        <v>45750</v>
      </c>
      <c r="U146" s="8" t="s">
        <v>3149</v>
      </c>
      <c r="V146" s="8">
        <v>1</v>
      </c>
      <c r="W146" s="8"/>
      <c r="X146" t="s">
        <v>57</v>
      </c>
      <c r="Y146" t="s">
        <v>61</v>
      </c>
    </row>
    <row r="147" spans="1:25" x14ac:dyDescent="0.25">
      <c r="A147">
        <v>17566</v>
      </c>
      <c r="B147" t="e">
        <f>_xlfn.CONCAT([2]!bron[[#This Row],[personeelsnr]]," ",C147," ",D147)</f>
        <v>#REF!</v>
      </c>
      <c r="C147" t="str">
        <f>VLOOKUP(bron[[#This Row],[personeelsnr]],'data hastus'!$A:$C,2,0)</f>
        <v>Praet</v>
      </c>
      <c r="D147" t="str">
        <f>VLOOKUP(bron[[#This Row],[personeelsnr]],'data hastus'!$A:$C,3,0)</f>
        <v>Reginald</v>
      </c>
      <c r="E147" t="str">
        <f>VLOOKUP(bron[[#This Row],[personeelsnr]],'data hastus'!A:K,11,FALSE)</f>
        <v>Bart Van Der Beken</v>
      </c>
      <c r="F147" s="10"/>
      <c r="G147" s="6"/>
      <c r="H147" s="6"/>
      <c r="I147" s="6"/>
      <c r="J147">
        <v>1</v>
      </c>
      <c r="K147"/>
      <c r="L147"/>
      <c r="M147"/>
      <c r="N147"/>
      <c r="O147"/>
      <c r="P147"/>
      <c r="Q147"/>
      <c r="R147"/>
      <c r="S147">
        <f>SUM(bron[[#This Row],[Januari]:[December]])</f>
        <v>1</v>
      </c>
      <c r="T147" s="3">
        <v>45749</v>
      </c>
      <c r="U147" s="8" t="s">
        <v>3169</v>
      </c>
      <c r="V147" s="8"/>
      <c r="W147" s="8">
        <v>1</v>
      </c>
      <c r="X147" t="s">
        <v>58</v>
      </c>
      <c r="Y147" t="s">
        <v>25</v>
      </c>
    </row>
    <row r="148" spans="1:25" x14ac:dyDescent="0.25">
      <c r="A148">
        <v>32620</v>
      </c>
      <c r="B148" t="e">
        <f>_xlfn.CONCAT([2]!bron[[#This Row],[personeelsnr]]," ",C148," ",D148)</f>
        <v>#REF!</v>
      </c>
      <c r="C148" t="str">
        <f>VLOOKUP(bron[[#This Row],[personeelsnr]],'data hastus'!$A:$C,2,0)</f>
        <v>Saey</v>
      </c>
      <c r="D148" t="str">
        <f>VLOOKUP(bron[[#This Row],[personeelsnr]],'data hastus'!$A:$C,3,0)</f>
        <v>Elias</v>
      </c>
      <c r="E148" t="str">
        <f>VLOOKUP(bron[[#This Row],[personeelsnr]],'data hastus'!A:K,11,FALSE)</f>
        <v>Els Vanhoe</v>
      </c>
      <c r="F148" s="10"/>
      <c r="G148" s="6"/>
      <c r="H148" s="6"/>
      <c r="I148" s="6"/>
      <c r="J148">
        <v>1</v>
      </c>
      <c r="K148"/>
      <c r="L148"/>
      <c r="M148"/>
      <c r="N148"/>
      <c r="O148"/>
      <c r="P148"/>
      <c r="Q148"/>
      <c r="R148"/>
      <c r="S148">
        <f>SUM(bron[[#This Row],[Januari]:[December]])</f>
        <v>1</v>
      </c>
      <c r="T148" s="3">
        <v>45749</v>
      </c>
      <c r="U148" s="8" t="s">
        <v>3170</v>
      </c>
      <c r="V148" s="8"/>
      <c r="W148" s="8">
        <v>1</v>
      </c>
      <c r="X148" t="s">
        <v>58</v>
      </c>
      <c r="Y148" t="s">
        <v>52</v>
      </c>
    </row>
    <row r="149" spans="1:25" x14ac:dyDescent="0.25">
      <c r="A149">
        <v>31668</v>
      </c>
      <c r="B149" t="e">
        <f>_xlfn.CONCAT([2]!bron[[#This Row],[personeelsnr]]," ",C149," ",D149)</f>
        <v>#REF!</v>
      </c>
      <c r="C149" t="str">
        <f>VLOOKUP(bron[[#This Row],[personeelsnr]],'data hastus'!$A:$C,2,0)</f>
        <v>Weemhof</v>
      </c>
      <c r="D149" t="str">
        <f>VLOOKUP(bron[[#This Row],[personeelsnr]],'data hastus'!$A:$C,3,0)</f>
        <v>Maurice</v>
      </c>
      <c r="E149" t="str">
        <f>VLOOKUP(bron[[#This Row],[personeelsnr]],'data hastus'!A:K,11,FALSE)</f>
        <v>Dominique De Clercq</v>
      </c>
      <c r="F149" s="10"/>
      <c r="G149" s="6"/>
      <c r="H149" s="6"/>
      <c r="I149" s="6">
        <v>1</v>
      </c>
      <c r="J149"/>
      <c r="K149"/>
      <c r="L149"/>
      <c r="M149"/>
      <c r="N149"/>
      <c r="O149"/>
      <c r="P149"/>
      <c r="Q149"/>
      <c r="R149"/>
      <c r="S149">
        <f>SUM(bron[[#This Row],[Januari]:[December]])</f>
        <v>1</v>
      </c>
      <c r="T149" s="3">
        <v>45745</v>
      </c>
      <c r="U149" s="8" t="s">
        <v>3118</v>
      </c>
      <c r="V149" s="8">
        <v>1</v>
      </c>
      <c r="W149" s="8"/>
      <c r="X149" t="s">
        <v>57</v>
      </c>
      <c r="Y149" t="s">
        <v>18</v>
      </c>
    </row>
    <row r="150" spans="1:25" x14ac:dyDescent="0.25">
      <c r="A150">
        <v>39581</v>
      </c>
      <c r="B150" t="e">
        <f>_xlfn.CONCAT([2]!bron[[#This Row],[personeelsnr]]," ",C150," ",D150)</f>
        <v>#REF!</v>
      </c>
      <c r="C150" t="str">
        <f>VLOOKUP(bron[[#This Row],[personeelsnr]],'data hastus'!$A:$C,2,0)</f>
        <v>Vandenhaute</v>
      </c>
      <c r="D150" t="str">
        <f>VLOOKUP(bron[[#This Row],[personeelsnr]],'data hastus'!$A:$C,3,0)</f>
        <v>Linus</v>
      </c>
      <c r="E150" t="str">
        <f>VLOOKUP(bron[[#This Row],[personeelsnr]],'data hastus'!A:K,11,FALSE)</f>
        <v>Els Dewulf</v>
      </c>
      <c r="F150" s="10"/>
      <c r="G150" s="6"/>
      <c r="H150" s="6"/>
      <c r="I150" s="6">
        <v>1</v>
      </c>
      <c r="J150"/>
      <c r="K150"/>
      <c r="L150"/>
      <c r="M150"/>
      <c r="N150"/>
      <c r="O150"/>
      <c r="P150"/>
      <c r="Q150"/>
      <c r="R150"/>
      <c r="S150">
        <f>SUM(bron[[#This Row],[Januari]:[December]])</f>
        <v>1</v>
      </c>
      <c r="T150" s="3">
        <v>45744</v>
      </c>
      <c r="U150" s="8" t="s">
        <v>3112</v>
      </c>
      <c r="V150" s="8">
        <v>1</v>
      </c>
      <c r="W150" s="8"/>
      <c r="X150" t="s">
        <v>57</v>
      </c>
      <c r="Y150" t="s">
        <v>53</v>
      </c>
    </row>
    <row r="151" spans="1:25" x14ac:dyDescent="0.25">
      <c r="A151">
        <v>36569</v>
      </c>
      <c r="B151" t="e">
        <f>_xlfn.CONCAT([2]!bron[[#This Row],[personeelsnr]]," ",C151," ",D151)</f>
        <v>#REF!</v>
      </c>
      <c r="C151" t="str">
        <f>VLOOKUP(bron[[#This Row],[personeelsnr]],'data hastus'!$A:$C,2,0)</f>
        <v>Stroobandt</v>
      </c>
      <c r="D151" t="str">
        <f>VLOOKUP(bron[[#This Row],[personeelsnr]],'data hastus'!$A:$C,3,0)</f>
        <v>Jonas</v>
      </c>
      <c r="E151" t="str">
        <f>VLOOKUP(bron[[#This Row],[personeelsnr]],'data hastus'!A:K,11,FALSE)</f>
        <v>Els Vanhoe</v>
      </c>
      <c r="F151" s="10"/>
      <c r="G151" s="6"/>
      <c r="H151" s="6"/>
      <c r="I151" s="6">
        <v>1</v>
      </c>
      <c r="J151"/>
      <c r="K151"/>
      <c r="L151"/>
      <c r="M151"/>
      <c r="N151"/>
      <c r="O151"/>
      <c r="P151"/>
      <c r="Q151"/>
      <c r="R151"/>
      <c r="S151">
        <f>SUM(bron[[#This Row],[Januari]:[December]])</f>
        <v>1</v>
      </c>
      <c r="T151" s="3">
        <v>45744</v>
      </c>
      <c r="U151" s="8" t="s">
        <v>3125</v>
      </c>
      <c r="V151" s="8">
        <v>1</v>
      </c>
      <c r="W151" s="8"/>
      <c r="X151" t="s">
        <v>57</v>
      </c>
      <c r="Y151" t="s">
        <v>151</v>
      </c>
    </row>
    <row r="152" spans="1:25" x14ac:dyDescent="0.25">
      <c r="A152">
        <v>36358</v>
      </c>
      <c r="B152" t="e">
        <f>_xlfn.CONCAT([2]!bron[[#This Row],[personeelsnr]]," ",C152," ",D152)</f>
        <v>#REF!</v>
      </c>
      <c r="C152" t="str">
        <f>VLOOKUP(bron[[#This Row],[personeelsnr]],'data hastus'!$A:$C,2,0)</f>
        <v>De Nys</v>
      </c>
      <c r="D152" t="str">
        <f>VLOOKUP(bron[[#This Row],[personeelsnr]],'data hastus'!$A:$C,3,0)</f>
        <v>Elise</v>
      </c>
      <c r="E152" t="str">
        <f>VLOOKUP(bron[[#This Row],[personeelsnr]],'data hastus'!A:K,11,FALSE)</f>
        <v>Els Dewulf</v>
      </c>
      <c r="F152" s="10"/>
      <c r="G152" s="6"/>
      <c r="H152" s="6"/>
      <c r="I152" s="6">
        <v>1</v>
      </c>
      <c r="J152"/>
      <c r="K152"/>
      <c r="L152"/>
      <c r="M152"/>
      <c r="N152"/>
      <c r="O152"/>
      <c r="P152"/>
      <c r="Q152"/>
      <c r="R152"/>
      <c r="S152">
        <f>SUM(bron[[#This Row],[Januari]:[December]])</f>
        <v>1</v>
      </c>
      <c r="T152" s="3">
        <v>45744</v>
      </c>
      <c r="U152" s="8" t="s">
        <v>3128</v>
      </c>
      <c r="V152" s="8"/>
      <c r="W152" s="8">
        <v>1</v>
      </c>
      <c r="X152" t="s">
        <v>58</v>
      </c>
      <c r="Y152" t="s">
        <v>103</v>
      </c>
    </row>
    <row r="153" spans="1:25" x14ac:dyDescent="0.25">
      <c r="A153">
        <v>31118</v>
      </c>
      <c r="B153" t="e">
        <f>_xlfn.CONCAT([2]!bron[[#This Row],[personeelsnr]]," ",C153," ",D153)</f>
        <v>#REF!</v>
      </c>
      <c r="C153" t="str">
        <f>VLOOKUP(bron[[#This Row],[personeelsnr]],'data hastus'!$A:$C,2,0)</f>
        <v>De Sutter</v>
      </c>
      <c r="D153" t="str">
        <f>VLOOKUP(bron[[#This Row],[personeelsnr]],'data hastus'!$A:$C,3,0)</f>
        <v>Michiel</v>
      </c>
      <c r="E153" t="str">
        <f>VLOOKUP(bron[[#This Row],[personeelsnr]],'data hastus'!A:K,11,FALSE)</f>
        <v>Els Dewulf</v>
      </c>
      <c r="F153" s="10"/>
      <c r="G153" s="6"/>
      <c r="H153" s="6"/>
      <c r="I153" s="6">
        <v>1</v>
      </c>
      <c r="J153"/>
      <c r="K153"/>
      <c r="L153"/>
      <c r="M153"/>
      <c r="N153"/>
      <c r="O153"/>
      <c r="P153"/>
      <c r="Q153"/>
      <c r="R153"/>
      <c r="S153">
        <f>SUM(bron[[#This Row],[Januari]:[December]])</f>
        <v>1</v>
      </c>
      <c r="T153" s="3">
        <v>45743</v>
      </c>
      <c r="U153" s="8" t="s">
        <v>3119</v>
      </c>
      <c r="V153" s="8">
        <v>1</v>
      </c>
      <c r="W153" s="8"/>
      <c r="X153" t="s">
        <v>57</v>
      </c>
      <c r="Y153" t="s">
        <v>372</v>
      </c>
    </row>
    <row r="154" spans="1:25" x14ac:dyDescent="0.25">
      <c r="A154">
        <v>38580</v>
      </c>
      <c r="B154" t="e">
        <f>_xlfn.CONCAT([2]!bron[[#This Row],[personeelsnr]]," ",C154," ",D154)</f>
        <v>#REF!</v>
      </c>
      <c r="C154" t="str">
        <f>VLOOKUP(bron[[#This Row],[personeelsnr]],'data hastus'!$A:$C,2,0)</f>
        <v>Smajla</v>
      </c>
      <c r="D154" t="str">
        <f>VLOOKUP(bron[[#This Row],[personeelsnr]],'data hastus'!$A:$C,3,0)</f>
        <v>Samet</v>
      </c>
      <c r="E154" t="str">
        <f>VLOOKUP(bron[[#This Row],[personeelsnr]],'data hastus'!A:K,11,FALSE)</f>
        <v>Els Dewulf</v>
      </c>
      <c r="F154" s="10"/>
      <c r="G154" s="6"/>
      <c r="H154" s="6"/>
      <c r="I154" s="6">
        <v>1</v>
      </c>
      <c r="J154"/>
      <c r="K154"/>
      <c r="L154"/>
      <c r="M154"/>
      <c r="N154"/>
      <c r="O154"/>
      <c r="P154"/>
      <c r="Q154"/>
      <c r="R154"/>
      <c r="S154">
        <f>SUM(bron[[#This Row],[Januari]:[December]])</f>
        <v>1</v>
      </c>
      <c r="T154" s="3">
        <v>45742</v>
      </c>
      <c r="U154" s="8" t="s">
        <v>3106</v>
      </c>
      <c r="V154" s="8">
        <v>1</v>
      </c>
      <c r="W154" s="8"/>
      <c r="X154" t="s">
        <v>57</v>
      </c>
      <c r="Y154" t="s">
        <v>64</v>
      </c>
    </row>
    <row r="155" spans="1:25" x14ac:dyDescent="0.25">
      <c r="A155">
        <v>37179</v>
      </c>
      <c r="B155" t="e">
        <f>_xlfn.CONCAT([2]!bron[[#This Row],[personeelsnr]]," ",C155," ",D155)</f>
        <v>#REF!</v>
      </c>
      <c r="C155" t="str">
        <f>VLOOKUP(bron[[#This Row],[personeelsnr]],'data hastus'!$A:$C,2,0)</f>
        <v>Bashir</v>
      </c>
      <c r="D155" t="str">
        <f>VLOOKUP(bron[[#This Row],[personeelsnr]],'data hastus'!$A:$C,3,0)</f>
        <v>Muhammad Salman</v>
      </c>
      <c r="E155" t="str">
        <f>VLOOKUP(bron[[#This Row],[personeelsnr]],'data hastus'!A:K,11,FALSE)</f>
        <v>Bart Van Der Beken</v>
      </c>
      <c r="F155" s="10"/>
      <c r="G155" s="6"/>
      <c r="H155" s="6"/>
      <c r="I155" s="6">
        <v>1</v>
      </c>
      <c r="J155"/>
      <c r="K155"/>
      <c r="L155"/>
      <c r="M155"/>
      <c r="N155"/>
      <c r="O155"/>
      <c r="P155"/>
      <c r="Q155"/>
      <c r="R155"/>
      <c r="S155">
        <f>SUM(bron[[#This Row],[Januari]:[December]])</f>
        <v>1</v>
      </c>
      <c r="T155" s="3">
        <v>45742</v>
      </c>
      <c r="U155" s="8" t="s">
        <v>3113</v>
      </c>
      <c r="V155" s="8">
        <v>1</v>
      </c>
      <c r="W155" s="8"/>
      <c r="X155" t="s">
        <v>57</v>
      </c>
      <c r="Y155" t="s">
        <v>53</v>
      </c>
    </row>
    <row r="156" spans="1:25" x14ac:dyDescent="0.25">
      <c r="A156">
        <v>37809</v>
      </c>
      <c r="B156" t="e">
        <f>_xlfn.CONCAT([2]!bron[[#This Row],[personeelsnr]]," ",C156," ",D156)</f>
        <v>#REF!</v>
      </c>
      <c r="C156" t="str">
        <f>VLOOKUP(bron[[#This Row],[personeelsnr]],'data hastus'!$A:$C,2,0)</f>
        <v>Sturtewagen</v>
      </c>
      <c r="D156" t="str">
        <f>VLOOKUP(bron[[#This Row],[personeelsnr]],'data hastus'!$A:$C,3,0)</f>
        <v>Kenny</v>
      </c>
      <c r="E156" t="str">
        <f>VLOOKUP(bron[[#This Row],[personeelsnr]],'data hastus'!A:K,11,FALSE)</f>
        <v>Steven Storm</v>
      </c>
      <c r="F156" s="10"/>
      <c r="G156" s="6"/>
      <c r="H156" s="6"/>
      <c r="I156" s="6">
        <v>1</v>
      </c>
      <c r="J156"/>
      <c r="K156"/>
      <c r="L156"/>
      <c r="M156"/>
      <c r="N156"/>
      <c r="O156"/>
      <c r="P156"/>
      <c r="Q156"/>
      <c r="R156"/>
      <c r="S156">
        <f>SUM(bron[[#This Row],[Januari]:[December]])</f>
        <v>1</v>
      </c>
      <c r="T156" s="3">
        <v>45740</v>
      </c>
      <c r="U156" s="8" t="s">
        <v>3109</v>
      </c>
      <c r="V156" s="8">
        <v>1</v>
      </c>
      <c r="W156" s="8"/>
      <c r="X156" t="s">
        <v>57</v>
      </c>
      <c r="Y156" t="s">
        <v>26</v>
      </c>
    </row>
    <row r="157" spans="1:25" x14ac:dyDescent="0.25">
      <c r="A157">
        <v>32611</v>
      </c>
      <c r="B157" t="e">
        <f>_xlfn.CONCAT([2]!bron[[#This Row],[personeelsnr]]," ",C157," ",D157)</f>
        <v>#REF!</v>
      </c>
      <c r="C157" t="str">
        <f>VLOOKUP(bron[[#This Row],[personeelsnr]],'data hastus'!$A:$C,2,0)</f>
        <v>Özer</v>
      </c>
      <c r="D157" t="str">
        <f>VLOOKUP(bron[[#This Row],[personeelsnr]],'data hastus'!$A:$C,3,0)</f>
        <v>Özgur</v>
      </c>
      <c r="E157" t="str">
        <f>VLOOKUP(bron[[#This Row],[personeelsnr]],'data hastus'!A:K,11,FALSE)</f>
        <v>Kenneth De Rick</v>
      </c>
      <c r="F157" s="10"/>
      <c r="G157" s="6"/>
      <c r="H157" s="6"/>
      <c r="I157" s="6">
        <v>1</v>
      </c>
      <c r="J157"/>
      <c r="K157"/>
      <c r="L157"/>
      <c r="M157"/>
      <c r="N157"/>
      <c r="O157"/>
      <c r="P157"/>
      <c r="Q157"/>
      <c r="R157"/>
      <c r="S157">
        <f>SUM(bron[[#This Row],[Januari]:[December]])</f>
        <v>1</v>
      </c>
      <c r="T157" s="3">
        <v>45737</v>
      </c>
      <c r="U157" s="8" t="s">
        <v>3120</v>
      </c>
      <c r="V157" s="8">
        <v>1</v>
      </c>
      <c r="W157" s="8"/>
      <c r="X157" t="s">
        <v>57</v>
      </c>
      <c r="Y157" t="s">
        <v>88</v>
      </c>
    </row>
    <row r="158" spans="1:25" x14ac:dyDescent="0.25">
      <c r="A158">
        <v>41520</v>
      </c>
      <c r="B158" t="e">
        <f>_xlfn.CONCAT([2]!bron[[#This Row],[personeelsnr]]," ",C158," ",D158)</f>
        <v>#REF!</v>
      </c>
      <c r="C158" t="str">
        <f>VLOOKUP(bron[[#This Row],[personeelsnr]],'data hastus'!$A:$C,2,0)</f>
        <v>Smets</v>
      </c>
      <c r="D158" t="str">
        <f>VLOOKUP(bron[[#This Row],[personeelsnr]],'data hastus'!$A:$C,3,0)</f>
        <v>Avery</v>
      </c>
      <c r="E158" t="str">
        <f>VLOOKUP(bron[[#This Row],[personeelsnr]],'data hastus'!A:K,11,FALSE)</f>
        <v>Christoff Rotty</v>
      </c>
      <c r="F158" s="10"/>
      <c r="G158" s="6"/>
      <c r="H158" s="6"/>
      <c r="I158" s="6">
        <v>1</v>
      </c>
      <c r="J158"/>
      <c r="K158"/>
      <c r="L158"/>
      <c r="M158"/>
      <c r="N158"/>
      <c r="O158"/>
      <c r="P158"/>
      <c r="Q158"/>
      <c r="R158"/>
      <c r="S158">
        <f>SUM(bron[[#This Row],[Januari]:[December]])</f>
        <v>1</v>
      </c>
      <c r="T158" s="3">
        <v>45736</v>
      </c>
      <c r="U158" s="8" t="s">
        <v>3130</v>
      </c>
      <c r="V158" s="8">
        <v>1</v>
      </c>
      <c r="W158" s="8"/>
      <c r="X158" t="s">
        <v>57</v>
      </c>
      <c r="Y158" t="s">
        <v>182</v>
      </c>
    </row>
    <row r="159" spans="1:25" x14ac:dyDescent="0.25">
      <c r="A159">
        <v>35450</v>
      </c>
      <c r="B159" t="e">
        <f>_xlfn.CONCAT([2]!bron[[#This Row],[personeelsnr]]," ",C159," ",D159)</f>
        <v>#REF!</v>
      </c>
      <c r="C159" t="str">
        <f>VLOOKUP(bron[[#This Row],[personeelsnr]],'data hastus'!$A:$C,2,0)</f>
        <v>Roos</v>
      </c>
      <c r="D159" t="str">
        <f>VLOOKUP(bron[[#This Row],[personeelsnr]],'data hastus'!$A:$C,3,0)</f>
        <v>Hugo</v>
      </c>
      <c r="E159" t="str">
        <f>VLOOKUP(bron[[#This Row],[personeelsnr]],'data hastus'!A:K,11,FALSE)</f>
        <v>Els Dewulf</v>
      </c>
      <c r="F159" s="10"/>
      <c r="G159" s="6"/>
      <c r="H159" s="6"/>
      <c r="I159" s="6">
        <v>1</v>
      </c>
      <c r="J159"/>
      <c r="K159"/>
      <c r="L159"/>
      <c r="M159"/>
      <c r="N159"/>
      <c r="O159"/>
      <c r="P159"/>
      <c r="Q159"/>
      <c r="R159"/>
      <c r="S159">
        <f>SUM(bron[[#This Row],[Januari]:[December]])</f>
        <v>1</v>
      </c>
      <c r="T159" s="3">
        <v>45735</v>
      </c>
      <c r="U159" s="8" t="s">
        <v>3105</v>
      </c>
      <c r="V159" s="8">
        <v>1</v>
      </c>
      <c r="W159" s="8"/>
      <c r="X159" t="s">
        <v>57</v>
      </c>
      <c r="Y159" t="s">
        <v>166</v>
      </c>
    </row>
    <row r="160" spans="1:25" x14ac:dyDescent="0.25">
      <c r="A160">
        <v>35216</v>
      </c>
      <c r="B160" t="e">
        <f>_xlfn.CONCAT([2]!bron[[#This Row],[personeelsnr]]," ",C160," ",D160)</f>
        <v>#REF!</v>
      </c>
      <c r="C160" t="str">
        <f>VLOOKUP(bron[[#This Row],[personeelsnr]],'data hastus'!$A:$C,2,0)</f>
        <v>Coban</v>
      </c>
      <c r="D160" t="str">
        <f>VLOOKUP(bron[[#This Row],[personeelsnr]],'data hastus'!$A:$C,3,0)</f>
        <v>Mehmet</v>
      </c>
      <c r="E160" t="str">
        <f>VLOOKUP(bron[[#This Row],[personeelsnr]],'data hastus'!A:K,11,FALSE)</f>
        <v>Lucie Vande Velde</v>
      </c>
      <c r="F160" s="10"/>
      <c r="G160" s="6"/>
      <c r="H160" s="6"/>
      <c r="I160" s="6">
        <v>1</v>
      </c>
      <c r="J160"/>
      <c r="K160"/>
      <c r="L160"/>
      <c r="M160"/>
      <c r="N160"/>
      <c r="O160"/>
      <c r="P160"/>
      <c r="Q160"/>
      <c r="R160"/>
      <c r="S160">
        <f>SUM(bron[[#This Row],[Januari]:[December]])</f>
        <v>1</v>
      </c>
      <c r="T160" s="3">
        <v>45735</v>
      </c>
      <c r="U160" s="8" t="s">
        <v>3122</v>
      </c>
      <c r="V160" s="8">
        <v>1</v>
      </c>
      <c r="W160" s="8"/>
      <c r="X160" t="s">
        <v>57</v>
      </c>
      <c r="Y160" t="s">
        <v>181</v>
      </c>
    </row>
    <row r="161" spans="1:27" x14ac:dyDescent="0.25">
      <c r="A161">
        <v>41064</v>
      </c>
      <c r="B161" t="e">
        <f>_xlfn.CONCAT([2]!bron[[#This Row],[personeelsnr]]," ",C161," ",D161)</f>
        <v>#REF!</v>
      </c>
      <c r="C161" t="str">
        <f>VLOOKUP(bron[[#This Row],[personeelsnr]],'data hastus'!$A:$C,2,0)</f>
        <v>Ardic</v>
      </c>
      <c r="D161" t="str">
        <f>VLOOKUP(bron[[#This Row],[personeelsnr]],'data hastus'!$A:$C,3,0)</f>
        <v>Atilla</v>
      </c>
      <c r="E161" t="str">
        <f>VLOOKUP(bron[[#This Row],[personeelsnr]],'data hastus'!A:K,11,FALSE)</f>
        <v>Dominique De Clercq</v>
      </c>
      <c r="F161" s="10"/>
      <c r="G161" s="6"/>
      <c r="H161" s="6"/>
      <c r="I161" s="6">
        <v>1</v>
      </c>
      <c r="J161"/>
      <c r="K161"/>
      <c r="L161"/>
      <c r="M161"/>
      <c r="N161"/>
      <c r="O161"/>
      <c r="P161"/>
      <c r="Q161"/>
      <c r="R161"/>
      <c r="S161">
        <f>SUM(bron[[#This Row],[Januari]:[December]])</f>
        <v>1</v>
      </c>
      <c r="T161" s="3">
        <v>45734</v>
      </c>
      <c r="U161" s="8" t="s">
        <v>3104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41012</v>
      </c>
      <c r="B162" t="e">
        <f>_xlfn.CONCAT([2]!bron[[#This Row],[personeelsnr]]," ",C162," ",D162)</f>
        <v>#REF!</v>
      </c>
      <c r="C162" t="str">
        <f>VLOOKUP(bron[[#This Row],[personeelsnr]],'data hastus'!$A:$C,2,0)</f>
        <v>Natad</v>
      </c>
      <c r="D162" t="str">
        <f>VLOOKUP(bron[[#This Row],[personeelsnr]],'data hastus'!$A:$C,3,0)</f>
        <v>Younes</v>
      </c>
      <c r="E162" t="str">
        <f>VLOOKUP(bron[[#This Row],[personeelsnr]],'data hastus'!A:K,11,FALSE)</f>
        <v>Els Vanhoe</v>
      </c>
      <c r="F162" s="10"/>
      <c r="G162" s="6"/>
      <c r="H162" s="6"/>
      <c r="I162" s="6">
        <v>1</v>
      </c>
      <c r="J162"/>
      <c r="K162"/>
      <c r="L162"/>
      <c r="M162"/>
      <c r="N162"/>
      <c r="O162"/>
      <c r="P162"/>
      <c r="Q162"/>
      <c r="R162"/>
      <c r="S162">
        <f>SUM(bron[[#This Row],[Januari]:[December]])</f>
        <v>1</v>
      </c>
      <c r="T162" s="3">
        <v>45734</v>
      </c>
      <c r="U162" s="8" t="s">
        <v>3107</v>
      </c>
      <c r="V162" s="8">
        <v>1</v>
      </c>
      <c r="W162" s="8"/>
      <c r="X162" t="s">
        <v>57</v>
      </c>
      <c r="Y162" t="s">
        <v>24</v>
      </c>
      <c r="AA162" s="8"/>
    </row>
    <row r="163" spans="1:27" x14ac:dyDescent="0.25">
      <c r="A163">
        <v>41092</v>
      </c>
      <c r="B163" t="e">
        <f>_xlfn.CONCAT([2]!bron[[#This Row],[personeelsnr]]," ",C163," ",D163)</f>
        <v>#REF!</v>
      </c>
      <c r="C163" t="str">
        <f>VLOOKUP(bron[[#This Row],[personeelsnr]],'data hastus'!$A:$C,2,0)</f>
        <v>De Keyser</v>
      </c>
      <c r="D163" t="str">
        <f>VLOOKUP(bron[[#This Row],[personeelsnr]],'data hastus'!$A:$C,3,0)</f>
        <v>Dorien</v>
      </c>
      <c r="E163" t="str">
        <f>VLOOKUP(bron[[#This Row],[personeelsnr]],'data hastus'!A:K,11,FALSE)</f>
        <v>Dominique De Clercq</v>
      </c>
      <c r="F163" s="10"/>
      <c r="G163" s="6"/>
      <c r="H163" s="6"/>
      <c r="I163" s="6">
        <v>1</v>
      </c>
      <c r="J163"/>
      <c r="K163"/>
      <c r="L163"/>
      <c r="M163"/>
      <c r="N163"/>
      <c r="O163"/>
      <c r="P163"/>
      <c r="Q163"/>
      <c r="R163"/>
      <c r="S163">
        <f>SUM(bron[[#This Row],[Januari]:[December]])</f>
        <v>1</v>
      </c>
      <c r="T163" s="3">
        <v>45734</v>
      </c>
      <c r="U163" s="8" t="s">
        <v>3115</v>
      </c>
      <c r="V163" s="8">
        <v>1</v>
      </c>
      <c r="W163" s="8"/>
      <c r="X163" t="s">
        <v>57</v>
      </c>
      <c r="Y163" t="s">
        <v>142</v>
      </c>
    </row>
    <row r="164" spans="1:27" x14ac:dyDescent="0.25">
      <c r="A164">
        <v>35246</v>
      </c>
      <c r="B164" t="e">
        <f>_xlfn.CONCAT([2]!bron[[#This Row],[personeelsnr]]," ",C164," ",D164)</f>
        <v>#REF!</v>
      </c>
      <c r="C164" t="str">
        <f>VLOOKUP(bron[[#This Row],[personeelsnr]],'data hastus'!$A:$C,2,0)</f>
        <v>De Meyer</v>
      </c>
      <c r="D164" t="str">
        <f>VLOOKUP(bron[[#This Row],[personeelsnr]],'data hastus'!$A:$C,3,0)</f>
        <v>Karel</v>
      </c>
      <c r="E164" t="str">
        <f>VLOOKUP(bron[[#This Row],[personeelsnr]],'data hastus'!A:K,11,FALSE)</f>
        <v>Els Vanhoe</v>
      </c>
      <c r="F164" s="10"/>
      <c r="G164" s="6"/>
      <c r="H164" s="6"/>
      <c r="I164" s="6">
        <v>1</v>
      </c>
      <c r="J164"/>
      <c r="K164"/>
      <c r="L164"/>
      <c r="M164"/>
      <c r="N164"/>
      <c r="O164"/>
      <c r="P164"/>
      <c r="Q164"/>
      <c r="R164"/>
      <c r="S164">
        <f>SUM(bron[[#This Row],[Januari]:[December]])</f>
        <v>1</v>
      </c>
      <c r="T164" s="3">
        <v>45734</v>
      </c>
      <c r="U164" s="8" t="s">
        <v>3121</v>
      </c>
      <c r="V164" s="8">
        <v>1</v>
      </c>
      <c r="W164" s="8"/>
      <c r="X164" t="s">
        <v>57</v>
      </c>
      <c r="Y164" t="s">
        <v>95</v>
      </c>
    </row>
    <row r="165" spans="1:27" x14ac:dyDescent="0.25">
      <c r="A165">
        <v>36635</v>
      </c>
      <c r="B165" t="e">
        <f>_xlfn.CONCAT([2]!bron[[#This Row],[personeelsnr]]," ",C165," ",D165)</f>
        <v>#REF!</v>
      </c>
      <c r="C165" t="str">
        <f>VLOOKUP(bron[[#This Row],[personeelsnr]],'data hastus'!$A:$C,2,0)</f>
        <v>Fadel</v>
      </c>
      <c r="D165" t="str">
        <f>VLOOKUP(bron[[#This Row],[personeelsnr]],'data hastus'!$A:$C,3,0)</f>
        <v>Husam</v>
      </c>
      <c r="E165" t="str">
        <f>VLOOKUP(bron[[#This Row],[personeelsnr]],'data hastus'!A:K,11,FALSE)</f>
        <v>Kenneth De Rick</v>
      </c>
      <c r="F165" s="10"/>
      <c r="G165" s="6"/>
      <c r="H165" s="6"/>
      <c r="I165" s="6">
        <v>1</v>
      </c>
      <c r="J165"/>
      <c r="K165"/>
      <c r="L165"/>
      <c r="M165"/>
      <c r="N165"/>
      <c r="O165"/>
      <c r="P165"/>
      <c r="Q165"/>
      <c r="R165"/>
      <c r="S165">
        <f>SUM(bron[[#This Row],[Januari]:[December]])</f>
        <v>1</v>
      </c>
      <c r="T165" s="3">
        <v>45733</v>
      </c>
      <c r="U165" s="8" t="s">
        <v>3127</v>
      </c>
      <c r="V165" s="8"/>
      <c r="W165" s="8">
        <v>1</v>
      </c>
      <c r="X165" t="s">
        <v>58</v>
      </c>
      <c r="Y165" t="s">
        <v>68</v>
      </c>
    </row>
    <row r="166" spans="1:27" x14ac:dyDescent="0.25">
      <c r="A166" s="15">
        <v>41246</v>
      </c>
      <c r="B166" s="15" t="e">
        <f>_xlfn.CONCAT([2]!bron[[#This Row],[personeelsnr]]," ",C166," ",D166)</f>
        <v>#REF!</v>
      </c>
      <c r="C166" s="15" t="str">
        <f>VLOOKUP(bron[[#This Row],[personeelsnr]],'data hastus'!$A:$C,2,0)</f>
        <v>Van Holsbeeck</v>
      </c>
      <c r="D166" s="15" t="str">
        <f>VLOOKUP(bron[[#This Row],[personeelsnr]],'data hastus'!$A:$C,3,0)</f>
        <v>Yana</v>
      </c>
      <c r="E166" s="15" t="str">
        <f>VLOOKUP(bron[[#This Row],[personeelsnr]],'data hastus'!A:K,11,FALSE)</f>
        <v>Dominique De Clercq</v>
      </c>
      <c r="F166" s="16"/>
      <c r="G166" s="17"/>
      <c r="H166" s="17"/>
      <c r="I166" s="17">
        <v>1</v>
      </c>
      <c r="J166" s="18"/>
      <c r="K166" s="18"/>
      <c r="L166" s="18"/>
      <c r="M166" s="18"/>
      <c r="N166" s="18"/>
      <c r="O166" s="18"/>
      <c r="P166" s="18"/>
      <c r="Q166" s="18"/>
      <c r="R166" s="18"/>
      <c r="S166" s="18">
        <f>SUM(bron[[#This Row],[Januari]:[December]])</f>
        <v>1</v>
      </c>
      <c r="T166" s="19">
        <v>45732</v>
      </c>
      <c r="U166" s="20" t="s">
        <v>3101</v>
      </c>
      <c r="V166" s="8">
        <v>1</v>
      </c>
      <c r="W166" s="20"/>
      <c r="X166" t="s">
        <v>57</v>
      </c>
      <c r="Y166" s="15" t="s">
        <v>102</v>
      </c>
    </row>
    <row r="167" spans="1:27" x14ac:dyDescent="0.25">
      <c r="A167">
        <v>35379</v>
      </c>
      <c r="B167" t="e">
        <f>_xlfn.CONCAT([2]!bron[[#This Row],[personeelsnr]]," ",C167," ",D167)</f>
        <v>#REF!</v>
      </c>
      <c r="C167" t="str">
        <f>VLOOKUP(bron[[#This Row],[personeelsnr]],'data hastus'!$A:$C,2,0)</f>
        <v>Engels</v>
      </c>
      <c r="D167" t="str">
        <f>VLOOKUP(bron[[#This Row],[personeelsnr]],'data hastus'!$A:$C,3,0)</f>
        <v>Sam</v>
      </c>
      <c r="E167" t="str">
        <f>VLOOKUP(bron[[#This Row],[personeelsnr]],'data hastus'!A:K,11,FALSE)</f>
        <v>Els Vanhoe</v>
      </c>
      <c r="F167" s="10"/>
      <c r="G167" s="6"/>
      <c r="H167" s="6"/>
      <c r="I167" s="6">
        <v>1</v>
      </c>
      <c r="J167"/>
      <c r="K167"/>
      <c r="L167"/>
      <c r="M167"/>
      <c r="N167"/>
      <c r="O167"/>
      <c r="P167"/>
      <c r="Q167"/>
      <c r="R167"/>
      <c r="S167">
        <f>SUM(bron[[#This Row],[Januari]:[December]])</f>
        <v>1</v>
      </c>
      <c r="T167" s="3">
        <v>45729</v>
      </c>
      <c r="U167" s="8" t="s">
        <v>3111</v>
      </c>
      <c r="V167" s="8">
        <v>1</v>
      </c>
      <c r="W167" s="8"/>
      <c r="X167" t="s">
        <v>57</v>
      </c>
      <c r="Y167" t="s">
        <v>116</v>
      </c>
    </row>
    <row r="168" spans="1:27" x14ac:dyDescent="0.25">
      <c r="A168">
        <v>37662</v>
      </c>
      <c r="B168" t="e">
        <f>_xlfn.CONCAT([2]!bron[[#This Row],[personeelsnr]]," ",C168," ",D168)</f>
        <v>#REF!</v>
      </c>
      <c r="C168" t="str">
        <f>VLOOKUP(bron[[#This Row],[personeelsnr]],'data hastus'!$A:$C,2,0)</f>
        <v>Van den Meerssche</v>
      </c>
      <c r="D168" t="str">
        <f>VLOOKUP(bron[[#This Row],[personeelsnr]],'data hastus'!$A:$C,3,0)</f>
        <v>Steven</v>
      </c>
      <c r="E168" t="str">
        <f>VLOOKUP(bron[[#This Row],[personeelsnr]],'data hastus'!A:K,11,FALSE)</f>
        <v>Bart Van Der Beken</v>
      </c>
      <c r="F168" s="10"/>
      <c r="G168" s="6"/>
      <c r="H168" s="6"/>
      <c r="I168" s="6">
        <v>1</v>
      </c>
      <c r="J168"/>
      <c r="K168"/>
      <c r="L168"/>
      <c r="M168"/>
      <c r="N168"/>
      <c r="O168"/>
      <c r="P168"/>
      <c r="Q168"/>
      <c r="R168"/>
      <c r="S168">
        <f>SUM(bron[[#This Row],[Januari]:[December]])</f>
        <v>1</v>
      </c>
      <c r="T168" s="3">
        <v>45729</v>
      </c>
      <c r="U168" s="8" t="s">
        <v>3117</v>
      </c>
      <c r="V168" s="8">
        <v>1</v>
      </c>
      <c r="W168" s="8"/>
      <c r="X168" t="s">
        <v>57</v>
      </c>
      <c r="Y168" t="s">
        <v>169</v>
      </c>
    </row>
    <row r="169" spans="1:27" x14ac:dyDescent="0.25">
      <c r="A169">
        <v>39532</v>
      </c>
      <c r="B169" t="e">
        <f>_xlfn.CONCAT([2]!bron[[#This Row],[personeelsnr]]," ",C169," ",D169)</f>
        <v>#REF!</v>
      </c>
      <c r="C169" t="str">
        <f>VLOOKUP(bron[[#This Row],[personeelsnr]],'data hastus'!$A:$C,2,0)</f>
        <v>Sahin</v>
      </c>
      <c r="D169" t="str">
        <f>VLOOKUP(bron[[#This Row],[personeelsnr]],'data hastus'!$A:$C,3,0)</f>
        <v>Orhan</v>
      </c>
      <c r="E169" t="str">
        <f>VLOOKUP(bron[[#This Row],[personeelsnr]],'data hastus'!A:K,11,FALSE)</f>
        <v>Christoff Rotty</v>
      </c>
      <c r="F169" s="10"/>
      <c r="G169" s="7"/>
      <c r="H169" s="7"/>
      <c r="I169" s="7">
        <v>1</v>
      </c>
      <c r="S169" s="5">
        <f>SUM(bron[[#This Row],[Januari]:[December]])</f>
        <v>1</v>
      </c>
      <c r="T169" s="9">
        <v>45728</v>
      </c>
      <c r="U169" s="8" t="s">
        <v>3110</v>
      </c>
      <c r="V169" s="8">
        <v>1</v>
      </c>
      <c r="W169" s="8"/>
      <c r="X169" t="s">
        <v>57</v>
      </c>
      <c r="Y169" t="s">
        <v>51</v>
      </c>
    </row>
    <row r="170" spans="1:27" x14ac:dyDescent="0.25">
      <c r="A170">
        <v>40138</v>
      </c>
      <c r="B170" t="e">
        <f>_xlfn.CONCAT([2]!bron[[#This Row],[personeelsnr]]," ",C170," ",D170)</f>
        <v>#REF!</v>
      </c>
      <c r="C170" t="str">
        <f>VLOOKUP(bron[[#This Row],[personeelsnr]],'data hastus'!$A:$C,2,0)</f>
        <v>Moerman</v>
      </c>
      <c r="D170" t="str">
        <f>VLOOKUP(bron[[#This Row],[personeelsnr]],'data hastus'!$A:$C,3,0)</f>
        <v>Tjimmy</v>
      </c>
      <c r="E170" t="str">
        <f>VLOOKUP(bron[[#This Row],[personeelsnr]],'data hastus'!A:K,11,FALSE)</f>
        <v>Christoff Rotty</v>
      </c>
      <c r="F170" s="10"/>
      <c r="G170" s="6"/>
      <c r="H170" s="6"/>
      <c r="I170" s="6">
        <v>1</v>
      </c>
      <c r="J170"/>
      <c r="K170"/>
      <c r="L170"/>
      <c r="M170"/>
      <c r="N170"/>
      <c r="O170"/>
      <c r="P170"/>
      <c r="Q170"/>
      <c r="R170"/>
      <c r="S170">
        <f>SUM(bron[[#This Row],[Januari]:[December]])</f>
        <v>1</v>
      </c>
      <c r="T170" s="3">
        <v>45727</v>
      </c>
      <c r="U170" s="8" t="s">
        <v>3114</v>
      </c>
      <c r="V170" s="8">
        <v>1</v>
      </c>
      <c r="W170" s="8"/>
      <c r="X170" t="s">
        <v>57</v>
      </c>
      <c r="Y170" t="s">
        <v>61</v>
      </c>
    </row>
    <row r="171" spans="1:27" x14ac:dyDescent="0.25">
      <c r="A171">
        <v>35645</v>
      </c>
      <c r="B171" t="e">
        <f>_xlfn.CONCAT([2]!bron[[#This Row],[personeelsnr]]," ",C171," ",D171)</f>
        <v>#REF!</v>
      </c>
      <c r="C171" t="str">
        <f>VLOOKUP(bron[[#This Row],[personeelsnr]],'data hastus'!$A:$C,2,0)</f>
        <v>Jalili</v>
      </c>
      <c r="D171" t="str">
        <f>VLOOKUP(bron[[#This Row],[personeelsnr]],'data hastus'!$A:$C,3,0)</f>
        <v>Yaseeb</v>
      </c>
      <c r="E171" t="str">
        <f>VLOOKUP(bron[[#This Row],[personeelsnr]],'data hastus'!A:K,11,FALSE)</f>
        <v>Steven Storm</v>
      </c>
      <c r="F171" s="10"/>
      <c r="G171" s="6"/>
      <c r="H171" s="6"/>
      <c r="I171" s="6">
        <v>1</v>
      </c>
      <c r="J171"/>
      <c r="K171"/>
      <c r="L171"/>
      <c r="M171"/>
      <c r="N171"/>
      <c r="O171"/>
      <c r="P171"/>
      <c r="Q171"/>
      <c r="R171"/>
      <c r="S171">
        <f>SUM(bron[[#This Row],[Januari]:[December]])</f>
        <v>1</v>
      </c>
      <c r="T171" s="3">
        <v>45726</v>
      </c>
      <c r="U171" s="8" t="s">
        <v>3141</v>
      </c>
      <c r="V171" s="8">
        <v>1</v>
      </c>
      <c r="W171" s="8"/>
      <c r="X171" t="s">
        <v>57</v>
      </c>
      <c r="Y171" t="s">
        <v>52</v>
      </c>
    </row>
    <row r="172" spans="1:27" x14ac:dyDescent="0.25">
      <c r="A172">
        <v>40939</v>
      </c>
      <c r="B172" t="e">
        <f>_xlfn.CONCAT([2]!bron[[#This Row],[personeelsnr]]," ",C172," ",D172)</f>
        <v>#REF!</v>
      </c>
      <c r="C172" t="str">
        <f>VLOOKUP(bron[[#This Row],[personeelsnr]],'data hastus'!$A:$C,2,0)</f>
        <v>Cisse</v>
      </c>
      <c r="D172" t="str">
        <f>VLOOKUP(bron[[#This Row],[personeelsnr]],'data hastus'!$A:$C,3,0)</f>
        <v>Sayon</v>
      </c>
      <c r="E172" t="str">
        <f>VLOOKUP(bron[[#This Row],[personeelsnr]],'data hastus'!A:K,11,FALSE)</f>
        <v>Kenneth De Rick</v>
      </c>
      <c r="F172" s="10"/>
      <c r="G172" s="6"/>
      <c r="H172" s="6"/>
      <c r="I172" s="6">
        <v>1</v>
      </c>
      <c r="J172"/>
      <c r="K172"/>
      <c r="L172"/>
      <c r="M172"/>
      <c r="N172"/>
      <c r="O172"/>
      <c r="P172"/>
      <c r="Q172"/>
      <c r="R172"/>
      <c r="S172">
        <f>SUM(bron[[#This Row],[Januari]:[December]])</f>
        <v>1</v>
      </c>
      <c r="T172" s="3">
        <v>45725</v>
      </c>
      <c r="U172" s="8" t="s">
        <v>3140</v>
      </c>
      <c r="V172" s="8">
        <v>1</v>
      </c>
      <c r="W172" s="8"/>
      <c r="X172" t="s">
        <v>57</v>
      </c>
      <c r="Y172" t="s">
        <v>21</v>
      </c>
    </row>
    <row r="173" spans="1:27" x14ac:dyDescent="0.25">
      <c r="A173">
        <v>28910</v>
      </c>
      <c r="B173" t="e">
        <f>_xlfn.CONCAT([2]!bron[[#This Row],[personeelsnr]]," ",C173," ",D173)</f>
        <v>#REF!</v>
      </c>
      <c r="C173" t="str">
        <f>VLOOKUP(bron[[#This Row],[personeelsnr]],'data hastus'!$A:$C,2,0)</f>
        <v>Gassa</v>
      </c>
      <c r="D173" t="str">
        <f>VLOOKUP(bron[[#This Row],[personeelsnr]],'data hastus'!$A:$C,3,0)</f>
        <v>Osmane</v>
      </c>
      <c r="E173" t="str">
        <f>VLOOKUP(bron[[#This Row],[personeelsnr]],'data hastus'!A:K,11,FALSE)</f>
        <v>Bart Van Der Beken</v>
      </c>
      <c r="F173" s="10"/>
      <c r="G173" s="6"/>
      <c r="H173" s="6"/>
      <c r="I173" s="6">
        <v>1</v>
      </c>
      <c r="J173"/>
      <c r="K173"/>
      <c r="L173"/>
      <c r="M173"/>
      <c r="N173"/>
      <c r="O173"/>
      <c r="P173"/>
      <c r="Q173"/>
      <c r="R173"/>
      <c r="S173">
        <f>SUM(bron[[#This Row],[Januari]:[December]])</f>
        <v>1</v>
      </c>
      <c r="T173" s="3">
        <v>45725</v>
      </c>
      <c r="U173" s="8" t="s">
        <v>3139</v>
      </c>
      <c r="V173" s="8">
        <v>1</v>
      </c>
      <c r="W173" s="8"/>
      <c r="X173" t="s">
        <v>57</v>
      </c>
      <c r="Y173" t="s">
        <v>143</v>
      </c>
    </row>
    <row r="174" spans="1:27" x14ac:dyDescent="0.25">
      <c r="A174">
        <v>25487</v>
      </c>
      <c r="B174" t="e">
        <f>_xlfn.CONCAT([2]!bron[[#This Row],[personeelsnr]]," ",C174," ",D174)</f>
        <v>#REF!</v>
      </c>
      <c r="C174" t="str">
        <f>VLOOKUP(bron[[#This Row],[personeelsnr]],'data hastus'!$A:$C,2,0)</f>
        <v>Devos</v>
      </c>
      <c r="D174" t="str">
        <f>VLOOKUP(bron[[#This Row],[personeelsnr]],'data hastus'!$A:$C,3,0)</f>
        <v>Stefaan</v>
      </c>
      <c r="E174" t="str">
        <f>VLOOKUP(bron[[#This Row],[personeelsnr]],'data hastus'!A:K,11,FALSE)</f>
        <v>Steven Storm</v>
      </c>
      <c r="F174" s="10"/>
      <c r="G174" s="6"/>
      <c r="H174" s="6"/>
      <c r="I174" s="6">
        <v>1</v>
      </c>
      <c r="J174"/>
      <c r="K174"/>
      <c r="L174"/>
      <c r="M174"/>
      <c r="N174"/>
      <c r="O174"/>
      <c r="P174"/>
      <c r="Q174"/>
      <c r="R174"/>
      <c r="S174">
        <f>SUM(bron[[#This Row],[Januari]:[December]])</f>
        <v>1</v>
      </c>
      <c r="T174" s="3">
        <v>45725</v>
      </c>
      <c r="U174" s="8" t="s">
        <v>3123</v>
      </c>
      <c r="V174" s="8"/>
      <c r="W174" s="8">
        <v>1</v>
      </c>
      <c r="X174" t="s">
        <v>58</v>
      </c>
      <c r="Y174" t="s">
        <v>228</v>
      </c>
    </row>
    <row r="175" spans="1:27" x14ac:dyDescent="0.25">
      <c r="A175">
        <v>41092</v>
      </c>
      <c r="B175" t="e">
        <f>_xlfn.CONCAT([2]!bron[[#This Row],[personeelsnr]]," ",C175," ",D175)</f>
        <v>#REF!</v>
      </c>
      <c r="C175" t="str">
        <f>VLOOKUP(bron[[#This Row],[personeelsnr]],'data hastus'!$A:$C,2,0)</f>
        <v>De Keyser</v>
      </c>
      <c r="D175" t="str">
        <f>VLOOKUP(bron[[#This Row],[personeelsnr]],'data hastus'!$A:$C,3,0)</f>
        <v>Dorien</v>
      </c>
      <c r="E175" t="str">
        <f>VLOOKUP(bron[[#This Row],[personeelsnr]],'data hastus'!A:K,11,FALSE)</f>
        <v>Dominique De Clercq</v>
      </c>
      <c r="F175" s="10"/>
      <c r="G175" s="6"/>
      <c r="H175" s="6"/>
      <c r="I175" s="6">
        <v>1</v>
      </c>
      <c r="J175"/>
      <c r="K175"/>
      <c r="L175"/>
      <c r="M175"/>
      <c r="N175"/>
      <c r="O175"/>
      <c r="P175"/>
      <c r="Q175"/>
      <c r="R175"/>
      <c r="S175">
        <f>SUM(bron[[#This Row],[Januari]:[December]])</f>
        <v>1</v>
      </c>
      <c r="T175" s="3">
        <v>45722</v>
      </c>
      <c r="U175" s="8" t="s">
        <v>3135</v>
      </c>
      <c r="V175" s="8">
        <v>1</v>
      </c>
      <c r="W175" s="8"/>
      <c r="X175" t="s">
        <v>57</v>
      </c>
      <c r="Y175" t="s">
        <v>154</v>
      </c>
    </row>
    <row r="176" spans="1:27" x14ac:dyDescent="0.25">
      <c r="A176">
        <v>26960</v>
      </c>
      <c r="B176" t="e">
        <f>_xlfn.CONCAT([2]!bron[[#This Row],[personeelsnr]]," ",C176," ",D176)</f>
        <v>#REF!</v>
      </c>
      <c r="C176" t="str">
        <f>VLOOKUP(bron[[#This Row],[personeelsnr]],'data hastus'!$A:$C,2,0)</f>
        <v>Toubadie</v>
      </c>
      <c r="D176" t="str">
        <f>VLOOKUP(bron[[#This Row],[personeelsnr]],'data hastus'!$A:$C,3,0)</f>
        <v>Mossa</v>
      </c>
      <c r="E176" t="str">
        <f>VLOOKUP(bron[[#This Row],[personeelsnr]],'data hastus'!A:K,11,FALSE)</f>
        <v>Els Vanhoe</v>
      </c>
      <c r="F176" s="10"/>
      <c r="G176" s="6"/>
      <c r="H176" s="6"/>
      <c r="I176" s="6">
        <v>1</v>
      </c>
      <c r="J176"/>
      <c r="K176"/>
      <c r="L176"/>
      <c r="M176"/>
      <c r="N176"/>
      <c r="O176"/>
      <c r="P176"/>
      <c r="Q176"/>
      <c r="R176"/>
      <c r="S176">
        <f>SUM(bron[[#This Row],[Januari]:[December]])</f>
        <v>1</v>
      </c>
      <c r="T176" s="3">
        <v>45722</v>
      </c>
      <c r="U176" s="8" t="s">
        <v>3136</v>
      </c>
      <c r="V176" s="8">
        <v>1</v>
      </c>
      <c r="W176" s="8"/>
      <c r="X176" t="s">
        <v>57</v>
      </c>
      <c r="Y176" t="s">
        <v>103</v>
      </c>
    </row>
    <row r="177" spans="1:25" x14ac:dyDescent="0.25">
      <c r="A177">
        <v>29674</v>
      </c>
      <c r="B177" t="e">
        <f>_xlfn.CONCAT([2]!bron[[#This Row],[personeelsnr]]," ",C177," ",D177)</f>
        <v>#REF!</v>
      </c>
      <c r="C177" t="str">
        <f>VLOOKUP(bron[[#This Row],[personeelsnr]],'data hastus'!$A:$C,2,0)</f>
        <v>Martens</v>
      </c>
      <c r="D177" t="str">
        <f>VLOOKUP(bron[[#This Row],[personeelsnr]],'data hastus'!$A:$C,3,0)</f>
        <v>Geoffrey</v>
      </c>
      <c r="E177" t="str">
        <f>VLOOKUP(bron[[#This Row],[personeelsnr]],'data hastus'!A:K,11,FALSE)</f>
        <v>Dominique De Clercq</v>
      </c>
      <c r="F177" s="10"/>
      <c r="G177" s="6"/>
      <c r="H177" s="6"/>
      <c r="I177" s="6">
        <v>1</v>
      </c>
      <c r="J177"/>
      <c r="K177"/>
      <c r="L177"/>
      <c r="M177"/>
      <c r="N177"/>
      <c r="O177"/>
      <c r="P177"/>
      <c r="Q177"/>
      <c r="R177"/>
      <c r="S177">
        <f>SUM(bron[[#This Row],[Januari]:[December]])</f>
        <v>1</v>
      </c>
      <c r="T177" s="3">
        <v>45722</v>
      </c>
      <c r="U177" s="8" t="s">
        <v>3137</v>
      </c>
      <c r="V177" s="8"/>
      <c r="W177" s="8">
        <v>1</v>
      </c>
      <c r="X177" t="s">
        <v>58</v>
      </c>
      <c r="Y177" t="s">
        <v>19</v>
      </c>
    </row>
    <row r="178" spans="1:25" x14ac:dyDescent="0.25">
      <c r="A178">
        <v>16897</v>
      </c>
      <c r="B178" t="e">
        <f>_xlfn.CONCAT([2]!bron[[#This Row],[personeelsnr]]," ",C178," ",D178)</f>
        <v>#REF!</v>
      </c>
      <c r="C178" t="str">
        <f>VLOOKUP(bron[[#This Row],[personeelsnr]],'data hastus'!$A:$C,2,0)</f>
        <v>VandenDaele</v>
      </c>
      <c r="D178" t="str">
        <f>VLOOKUP(bron[[#This Row],[personeelsnr]],'data hastus'!$A:$C,3,0)</f>
        <v>Andy</v>
      </c>
      <c r="E178" t="str">
        <f>VLOOKUP(bron[[#This Row],[personeelsnr]],'data hastus'!A:K,11,FALSE)</f>
        <v>Steven Storm</v>
      </c>
      <c r="F178" s="10"/>
      <c r="G178" s="6"/>
      <c r="H178" s="6"/>
      <c r="I178" s="6">
        <v>1</v>
      </c>
      <c r="J178"/>
      <c r="K178"/>
      <c r="L178"/>
      <c r="M178"/>
      <c r="N178"/>
      <c r="O178"/>
      <c r="P178"/>
      <c r="Q178"/>
      <c r="R178"/>
      <c r="S178">
        <f>SUM(bron[[#This Row],[Januari]:[December]])</f>
        <v>1</v>
      </c>
      <c r="T178" s="3">
        <v>45722</v>
      </c>
      <c r="U178" s="8" t="s">
        <v>3138</v>
      </c>
      <c r="V178" s="8">
        <v>1</v>
      </c>
      <c r="W178" s="8"/>
      <c r="X178" t="s">
        <v>57</v>
      </c>
      <c r="Y178" t="s">
        <v>27</v>
      </c>
    </row>
    <row r="179" spans="1:25" x14ac:dyDescent="0.25">
      <c r="A179">
        <v>32091</v>
      </c>
      <c r="B179" t="e">
        <f>_xlfn.CONCAT([2]!bron[[#This Row],[personeelsnr]]," ",C179," ",D179)</f>
        <v>#REF!</v>
      </c>
      <c r="C179" t="str">
        <f>VLOOKUP(bron[[#This Row],[personeelsnr]],'data hastus'!$A:$C,2,0)</f>
        <v>Köroglu</v>
      </c>
      <c r="D179" t="str">
        <f>VLOOKUP(bron[[#This Row],[personeelsnr]],'data hastus'!$A:$C,3,0)</f>
        <v>Ercan</v>
      </c>
      <c r="E179" t="str">
        <f>VLOOKUP(bron[[#This Row],[personeelsnr]],'data hastus'!A:K,11,FALSE)</f>
        <v>Kenneth De Rick</v>
      </c>
      <c r="F179" s="10"/>
      <c r="G179" s="6"/>
      <c r="H179" s="6"/>
      <c r="I179" s="6">
        <v>1</v>
      </c>
      <c r="J179"/>
      <c r="K179"/>
      <c r="L179"/>
      <c r="M179"/>
      <c r="N179"/>
      <c r="O179"/>
      <c r="P179"/>
      <c r="Q179"/>
      <c r="R179"/>
      <c r="S179">
        <f>SUM(bron[[#This Row],[Januari]:[December]])</f>
        <v>1</v>
      </c>
      <c r="T179" s="3">
        <v>45722</v>
      </c>
      <c r="U179" s="8" t="s">
        <v>3116</v>
      </c>
      <c r="V179" s="8">
        <v>1</v>
      </c>
      <c r="W179" s="8"/>
      <c r="X179" t="s">
        <v>57</v>
      </c>
      <c r="Y179" t="s">
        <v>18</v>
      </c>
    </row>
    <row r="180" spans="1:25" x14ac:dyDescent="0.25">
      <c r="A180">
        <v>40591</v>
      </c>
      <c r="B180" t="e">
        <f>_xlfn.CONCAT([2]!bron[[#This Row],[personeelsnr]]," ",C180," ",D180)</f>
        <v>#REF!</v>
      </c>
      <c r="C180" t="str">
        <f>VLOOKUP(bron[[#This Row],[personeelsnr]],'data hastus'!$A:$C,2,0)</f>
        <v>Hiloui</v>
      </c>
      <c r="D180" t="str">
        <f>VLOOKUP(bron[[#This Row],[personeelsnr]],'data hastus'!$A:$C,3,0)</f>
        <v>Mahmoud</v>
      </c>
      <c r="E180" t="str">
        <f>VLOOKUP(bron[[#This Row],[personeelsnr]],'data hastus'!A:K,11,FALSE)</f>
        <v>Dominique De Clercq</v>
      </c>
      <c r="F180" s="10"/>
      <c r="G180" s="6"/>
      <c r="H180" s="6"/>
      <c r="I180" s="6">
        <v>1</v>
      </c>
      <c r="J180"/>
      <c r="K180"/>
      <c r="L180"/>
      <c r="M180"/>
      <c r="N180"/>
      <c r="O180"/>
      <c r="P180"/>
      <c r="Q180"/>
      <c r="R180"/>
      <c r="S180">
        <f>SUM(bron[[#This Row],[Januari]:[December]])</f>
        <v>1</v>
      </c>
      <c r="T180" s="3">
        <v>45721</v>
      </c>
      <c r="U180" s="8" t="s">
        <v>3133</v>
      </c>
      <c r="V180" s="8">
        <v>1</v>
      </c>
      <c r="W180" s="8"/>
      <c r="X180" t="s">
        <v>57</v>
      </c>
      <c r="Y180" t="s">
        <v>26</v>
      </c>
    </row>
    <row r="181" spans="1:25" x14ac:dyDescent="0.25">
      <c r="A181">
        <v>34019</v>
      </c>
      <c r="B181" t="e">
        <f>_xlfn.CONCAT([2]!bron[[#This Row],[personeelsnr]]," ",C181," ",D181)</f>
        <v>#REF!</v>
      </c>
      <c r="C181" t="str">
        <f>VLOOKUP(bron[[#This Row],[personeelsnr]],'data hastus'!$A:$C,2,0)</f>
        <v>Hoste</v>
      </c>
      <c r="D181" t="str">
        <f>VLOOKUP(bron[[#This Row],[personeelsnr]],'data hastus'!$A:$C,3,0)</f>
        <v>Tom</v>
      </c>
      <c r="E181" t="str">
        <f>VLOOKUP(bron[[#This Row],[personeelsnr]],'data hastus'!A:K,11,FALSE)</f>
        <v>Christoff Rotty</v>
      </c>
      <c r="F181" s="10"/>
      <c r="G181" s="6"/>
      <c r="H181" s="6"/>
      <c r="I181" s="6">
        <v>1</v>
      </c>
      <c r="J181"/>
      <c r="K181"/>
      <c r="L181"/>
      <c r="M181"/>
      <c r="N181"/>
      <c r="O181"/>
      <c r="P181"/>
      <c r="Q181"/>
      <c r="R181"/>
      <c r="S181">
        <f>SUM(bron[[#This Row],[Januari]:[December]])</f>
        <v>1</v>
      </c>
      <c r="T181" s="3">
        <v>45721</v>
      </c>
      <c r="U181" s="8" t="s">
        <v>3134</v>
      </c>
      <c r="V181" s="8">
        <v>1</v>
      </c>
      <c r="W181" s="8"/>
      <c r="X181" t="s">
        <v>57</v>
      </c>
      <c r="Y181" t="s">
        <v>87</v>
      </c>
    </row>
    <row r="182" spans="1:25" x14ac:dyDescent="0.25">
      <c r="A182">
        <v>19520</v>
      </c>
      <c r="B182" t="e">
        <f>_xlfn.CONCAT([2]!bron[[#This Row],[personeelsnr]]," ",C182," ",D182)</f>
        <v>#REF!</v>
      </c>
      <c r="C182" t="str">
        <f>VLOOKUP(bron[[#This Row],[personeelsnr]],'data hastus'!$A:$C,2,0)</f>
        <v>Van Steenbergen</v>
      </c>
      <c r="D182" t="str">
        <f>VLOOKUP(bron[[#This Row],[personeelsnr]],'data hastus'!$A:$C,3,0)</f>
        <v>Kris</v>
      </c>
      <c r="E182" t="str">
        <f>VLOOKUP(bron[[#This Row],[personeelsnr]],'data hastus'!A:K,11,FALSE)</f>
        <v>Els Dewulf</v>
      </c>
      <c r="F182" s="10"/>
      <c r="G182" s="6"/>
      <c r="H182" s="6"/>
      <c r="I182" s="6">
        <v>1</v>
      </c>
      <c r="J182"/>
      <c r="K182"/>
      <c r="L182"/>
      <c r="M182"/>
      <c r="N182"/>
      <c r="O182"/>
      <c r="P182"/>
      <c r="Q182"/>
      <c r="R182"/>
      <c r="S182">
        <f>SUM(bron[[#This Row],[Januari]:[December]])</f>
        <v>1</v>
      </c>
      <c r="T182" s="3">
        <v>45720</v>
      </c>
      <c r="U182" s="8" t="s">
        <v>3102</v>
      </c>
      <c r="V182" s="8">
        <v>1</v>
      </c>
      <c r="W182" s="8"/>
      <c r="X182" t="s">
        <v>57</v>
      </c>
      <c r="Y182" t="s">
        <v>61</v>
      </c>
    </row>
    <row r="183" spans="1:25" x14ac:dyDescent="0.25">
      <c r="A183">
        <v>26137</v>
      </c>
      <c r="B183" t="e">
        <f>_xlfn.CONCAT([2]!bron[[#This Row],[personeelsnr]]," ",C183," ",D183)</f>
        <v>#REF!</v>
      </c>
      <c r="C183" t="str">
        <f>VLOOKUP(bron[[#This Row],[personeelsnr]],'data hastus'!$A:$C,2,0)</f>
        <v>Hublau</v>
      </c>
      <c r="D183" t="str">
        <f>VLOOKUP(bron[[#This Row],[personeelsnr]],'data hastus'!$A:$C,3,0)</f>
        <v>Roland</v>
      </c>
      <c r="E183" t="str">
        <f>VLOOKUP(bron[[#This Row],[personeelsnr]],'data hastus'!A:K,11,FALSE)</f>
        <v>Steven Storm</v>
      </c>
      <c r="F183" s="10"/>
      <c r="G183" s="7"/>
      <c r="H183" s="7"/>
      <c r="I183" s="7">
        <v>1</v>
      </c>
      <c r="S183" s="5">
        <f>SUM(bron[[#This Row],[Januari]:[December]])</f>
        <v>1</v>
      </c>
      <c r="T183" s="9">
        <v>45719</v>
      </c>
      <c r="U183" s="8" t="s">
        <v>3129</v>
      </c>
      <c r="V183" s="8">
        <v>1</v>
      </c>
      <c r="W183" s="8"/>
      <c r="X183" t="s">
        <v>57</v>
      </c>
      <c r="Y183" t="s">
        <v>18</v>
      </c>
    </row>
    <row r="184" spans="1:25" x14ac:dyDescent="0.25">
      <c r="A184">
        <v>38807</v>
      </c>
      <c r="B184" t="e">
        <f>_xlfn.CONCAT([2]!bron[[#This Row],[personeelsnr]]," ",C184," ",D184)</f>
        <v>#REF!</v>
      </c>
      <c r="C184" t="str">
        <f>VLOOKUP(bron[[#This Row],[personeelsnr]],'data hastus'!$A:$C,2,0)</f>
        <v>Dossche</v>
      </c>
      <c r="D184" t="str">
        <f>VLOOKUP(bron[[#This Row],[personeelsnr]],'data hastus'!$A:$C,3,0)</f>
        <v>Caroline</v>
      </c>
      <c r="E184" t="str">
        <f>VLOOKUP(bron[[#This Row],[personeelsnr]],'data hastus'!A:K,11,FALSE)</f>
        <v>Christoff Rotty</v>
      </c>
      <c r="F184" s="10"/>
      <c r="G184" s="6"/>
      <c r="H184" s="6"/>
      <c r="I184" s="6">
        <v>1</v>
      </c>
      <c r="J184"/>
      <c r="K184"/>
      <c r="L184"/>
      <c r="M184"/>
      <c r="N184"/>
      <c r="O184"/>
      <c r="P184"/>
      <c r="Q184"/>
      <c r="R184"/>
      <c r="S184">
        <f>SUM(bron[[#This Row],[Januari]:[December]])</f>
        <v>1</v>
      </c>
      <c r="T184" s="3">
        <v>45718</v>
      </c>
      <c r="U184" s="8" t="s">
        <v>3132</v>
      </c>
      <c r="V184" s="8">
        <v>1</v>
      </c>
      <c r="W184" s="8"/>
      <c r="X184" t="s">
        <v>57</v>
      </c>
      <c r="Y184" t="s">
        <v>95</v>
      </c>
    </row>
    <row r="185" spans="1:25" x14ac:dyDescent="0.25">
      <c r="A185" s="15">
        <v>40138</v>
      </c>
      <c r="B185" s="15" t="e">
        <f>_xlfn.CONCAT([2]!bron[[#This Row],[personeelsnr]]," ",C185," ",D185)</f>
        <v>#REF!</v>
      </c>
      <c r="C185" s="15" t="str">
        <f>VLOOKUP(bron[[#This Row],[personeelsnr]],'data hastus'!$A:$C,2,0)</f>
        <v>Moerman</v>
      </c>
      <c r="D185" s="15" t="str">
        <f>VLOOKUP(bron[[#This Row],[personeelsnr]],'data hastus'!$A:$C,3,0)</f>
        <v>Tjimmy</v>
      </c>
      <c r="E185" s="15" t="str">
        <f>VLOOKUP(bron[[#This Row],[personeelsnr]],'data hastus'!A:K,11,FALSE)</f>
        <v>Christoff Rotty</v>
      </c>
      <c r="F185" s="16"/>
      <c r="G185" s="21"/>
      <c r="H185" s="21"/>
      <c r="I185" s="21">
        <v>1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>
        <f>SUM(bron[[#This Row],[Januari]:[December]])</f>
        <v>1</v>
      </c>
      <c r="T185" s="22">
        <v>45717</v>
      </c>
      <c r="U185" s="20" t="s">
        <v>3131</v>
      </c>
      <c r="V185" s="8">
        <v>1</v>
      </c>
      <c r="W185" s="20"/>
      <c r="X185" t="s">
        <v>57</v>
      </c>
      <c r="Y185" s="15" t="s">
        <v>94</v>
      </c>
    </row>
    <row r="186" spans="1:25" x14ac:dyDescent="0.25">
      <c r="A186">
        <v>41092</v>
      </c>
      <c r="B186" t="e">
        <f>_xlfn.CONCAT([2]!bron[[#This Row],[personeelsnr]]," ",C186," ",D186)</f>
        <v>#REF!</v>
      </c>
      <c r="C186" t="str">
        <f>VLOOKUP(bron[[#This Row],[personeelsnr]],'data hastus'!$A:$C,2,0)</f>
        <v>De Keyser</v>
      </c>
      <c r="D186" t="str">
        <f>VLOOKUP(bron[[#This Row],[personeelsnr]],'data hastus'!$A:$C,3,0)</f>
        <v>Dorien</v>
      </c>
      <c r="E186" t="str">
        <f>VLOOKUP(bron[[#This Row],[personeelsnr]],'data hastus'!A:K,11,FALSE)</f>
        <v>Dominique De Clercq</v>
      </c>
      <c r="F186" s="10"/>
      <c r="G186" s="6"/>
      <c r="H186" s="6">
        <v>1</v>
      </c>
      <c r="I186" s="6"/>
      <c r="J186"/>
      <c r="K186"/>
      <c r="L186"/>
      <c r="M186"/>
      <c r="N186"/>
      <c r="O186"/>
      <c r="P186"/>
      <c r="Q186"/>
      <c r="R186"/>
      <c r="S186">
        <f>SUM(bron[[#This Row],[Januari]:[December]])</f>
        <v>1</v>
      </c>
      <c r="T186" s="3">
        <v>45716</v>
      </c>
      <c r="U186" s="8" t="s">
        <v>3094</v>
      </c>
      <c r="V186" s="8">
        <v>1</v>
      </c>
      <c r="W186" s="8"/>
      <c r="X186" t="s">
        <v>57</v>
      </c>
      <c r="Y186" t="s">
        <v>20</v>
      </c>
    </row>
    <row r="187" spans="1:25" x14ac:dyDescent="0.25">
      <c r="A187">
        <v>40744</v>
      </c>
      <c r="B187" t="e">
        <f>_xlfn.CONCAT([2]!bron[[#This Row],[personeelsnr]]," ",C187," ",D187)</f>
        <v>#REF!</v>
      </c>
      <c r="C187" t="str">
        <f>VLOOKUP(bron[[#This Row],[personeelsnr]],'data hastus'!$A:$C,2,0)</f>
        <v>Gözüküçük</v>
      </c>
      <c r="D187" t="str">
        <f>VLOOKUP(bron[[#This Row],[personeelsnr]],'data hastus'!$A:$C,3,0)</f>
        <v>Ugur</v>
      </c>
      <c r="E187" t="str">
        <f>VLOOKUP(bron[[#This Row],[personeelsnr]],'data hastus'!A:K,11,FALSE)</f>
        <v>Bart Van Der Beken</v>
      </c>
      <c r="F187" s="10"/>
      <c r="G187" s="6"/>
      <c r="H187" s="6">
        <v>1</v>
      </c>
      <c r="I187" s="6"/>
      <c r="J187"/>
      <c r="K187"/>
      <c r="L187"/>
      <c r="M187"/>
      <c r="N187"/>
      <c r="O187"/>
      <c r="P187"/>
      <c r="Q187"/>
      <c r="R187"/>
      <c r="S187">
        <f>SUM(bron[[#This Row],[Januari]:[December]])</f>
        <v>1</v>
      </c>
      <c r="T187" s="3">
        <v>45715</v>
      </c>
      <c r="U187" s="8" t="s">
        <v>3095</v>
      </c>
      <c r="V187" s="8">
        <v>1</v>
      </c>
      <c r="W187" s="8"/>
      <c r="X187" t="s">
        <v>57</v>
      </c>
      <c r="Y187" t="s">
        <v>134</v>
      </c>
    </row>
    <row r="188" spans="1:25" x14ac:dyDescent="0.25">
      <c r="A188">
        <v>39829</v>
      </c>
      <c r="B188" t="e">
        <f>_xlfn.CONCAT([2]!bron[[#This Row],[personeelsnr]]," ",C188," ",D188)</f>
        <v>#REF!</v>
      </c>
      <c r="C188" t="str">
        <f>VLOOKUP(bron[[#This Row],[personeelsnr]],'data hastus'!$A:$C,2,0)</f>
        <v>Demirkaya</v>
      </c>
      <c r="D188" t="str">
        <f>VLOOKUP(bron[[#This Row],[personeelsnr]],'data hastus'!$A:$C,3,0)</f>
        <v>Serkan</v>
      </c>
      <c r="E188" t="str">
        <f>VLOOKUP(bron[[#This Row],[personeelsnr]],'data hastus'!A:K,11,FALSE)</f>
        <v>Lucie Vande Velde</v>
      </c>
      <c r="F188" s="10"/>
      <c r="G188" s="6"/>
      <c r="H188" s="6">
        <v>1</v>
      </c>
      <c r="I188" s="6"/>
      <c r="J188"/>
      <c r="K188"/>
      <c r="L188"/>
      <c r="M188"/>
      <c r="N188"/>
      <c r="O188"/>
      <c r="P188"/>
      <c r="Q188"/>
      <c r="R188"/>
      <c r="S188">
        <f>SUM(bron[[#This Row],[Januari]:[December]])</f>
        <v>1</v>
      </c>
      <c r="T188" s="3">
        <v>45715</v>
      </c>
      <c r="U188" s="8" t="s">
        <v>3091</v>
      </c>
      <c r="V188" s="8">
        <v>1</v>
      </c>
      <c r="W188" s="8"/>
      <c r="X188" t="s">
        <v>57</v>
      </c>
      <c r="Y188" t="s">
        <v>19</v>
      </c>
    </row>
    <row r="189" spans="1:25" x14ac:dyDescent="0.25">
      <c r="A189">
        <v>39779</v>
      </c>
      <c r="B189" t="e">
        <f>_xlfn.CONCAT([2]!bron[[#This Row],[personeelsnr]]," ",C189," ",D189)</f>
        <v>#REF!</v>
      </c>
      <c r="C189" t="str">
        <f>VLOOKUP(bron[[#This Row],[personeelsnr]],'data hastus'!$A:$C,2,0)</f>
        <v>Avci</v>
      </c>
      <c r="D189" t="str">
        <f>VLOOKUP(bron[[#This Row],[personeelsnr]],'data hastus'!$A:$C,3,0)</f>
        <v>Muhammet Abdullah</v>
      </c>
      <c r="E189" t="str">
        <f>VLOOKUP(bron[[#This Row],[personeelsnr]],'data hastus'!A:K,11,FALSE)</f>
        <v>Bart Van Der Beken</v>
      </c>
      <c r="F189" s="10"/>
      <c r="G189" s="6"/>
      <c r="H189" s="6">
        <v>1</v>
      </c>
      <c r="I189" s="6"/>
      <c r="J189"/>
      <c r="K189"/>
      <c r="L189"/>
      <c r="M189"/>
      <c r="N189"/>
      <c r="O189"/>
      <c r="P189"/>
      <c r="Q189"/>
      <c r="R189"/>
      <c r="S189">
        <f>SUM(bron[[#This Row],[Januari]:[December]])</f>
        <v>1</v>
      </c>
      <c r="T189" s="3">
        <v>45715</v>
      </c>
      <c r="U189" s="8" t="s">
        <v>3074</v>
      </c>
      <c r="V189" s="8">
        <v>1</v>
      </c>
      <c r="W189" s="8"/>
      <c r="X189" t="s">
        <v>57</v>
      </c>
      <c r="Y189" t="s">
        <v>66</v>
      </c>
    </row>
    <row r="190" spans="1:25" x14ac:dyDescent="0.25">
      <c r="A190">
        <v>35397</v>
      </c>
      <c r="B190" t="e">
        <f>_xlfn.CONCAT([2]!bron[[#This Row],[personeelsnr]]," ",C190," ",D190)</f>
        <v>#REF!</v>
      </c>
      <c r="C190" t="str">
        <f>VLOOKUP(bron[[#This Row],[personeelsnr]],'data hastus'!$A:$C,2,0)</f>
        <v>Minbari</v>
      </c>
      <c r="D190" t="str">
        <f>VLOOKUP(bron[[#This Row],[personeelsnr]],'data hastus'!$A:$C,3,0)</f>
        <v>Ako</v>
      </c>
      <c r="E190" t="str">
        <f>VLOOKUP(bron[[#This Row],[personeelsnr]],'data hastus'!A:K,11,FALSE)</f>
        <v>Lucie Vande Velde</v>
      </c>
      <c r="F190" s="10"/>
      <c r="G190" s="6"/>
      <c r="H190" s="6">
        <v>1</v>
      </c>
      <c r="I190" s="6"/>
      <c r="J190"/>
      <c r="K190"/>
      <c r="L190"/>
      <c r="M190"/>
      <c r="N190"/>
      <c r="O190"/>
      <c r="P190"/>
      <c r="Q190"/>
      <c r="R190"/>
      <c r="S190">
        <f>SUM(bron[[#This Row],[Januari]:[December]])</f>
        <v>1</v>
      </c>
      <c r="T190" s="3">
        <v>45713</v>
      </c>
      <c r="U190" s="8" t="s">
        <v>3077</v>
      </c>
      <c r="V190" s="8">
        <v>1</v>
      </c>
      <c r="W190" s="8"/>
      <c r="X190" t="s">
        <v>57</v>
      </c>
      <c r="Y190" t="s">
        <v>138</v>
      </c>
    </row>
    <row r="191" spans="1:25" x14ac:dyDescent="0.25">
      <c r="A191">
        <v>30121</v>
      </c>
      <c r="B191" t="e">
        <f>_xlfn.CONCAT([2]!bron[[#This Row],[personeelsnr]]," ",C191," ",D191)</f>
        <v>#REF!</v>
      </c>
      <c r="C191" t="str">
        <f>VLOOKUP(bron[[#This Row],[personeelsnr]],'data hastus'!$A:$C,2,0)</f>
        <v>Simons</v>
      </c>
      <c r="D191" t="str">
        <f>VLOOKUP(bron[[#This Row],[personeelsnr]],'data hastus'!$A:$C,3,0)</f>
        <v>Andreas</v>
      </c>
      <c r="E191" t="str">
        <f>VLOOKUP(bron[[#This Row],[personeelsnr]],'data hastus'!A:K,11,FALSE)</f>
        <v>Christoff Rotty</v>
      </c>
      <c r="F191" s="10"/>
      <c r="G191" s="6"/>
      <c r="H191" s="6">
        <v>1</v>
      </c>
      <c r="I191" s="6"/>
      <c r="J191"/>
      <c r="K191"/>
      <c r="L191"/>
      <c r="M191"/>
      <c r="N191"/>
      <c r="O191"/>
      <c r="P191"/>
      <c r="Q191"/>
      <c r="R191"/>
      <c r="S191">
        <f>SUM(bron[[#This Row],[Januari]:[December]])</f>
        <v>1</v>
      </c>
      <c r="T191" s="3">
        <v>45712</v>
      </c>
      <c r="U191" s="8" t="s">
        <v>3097</v>
      </c>
      <c r="V191" s="8">
        <v>1</v>
      </c>
      <c r="W191" s="8"/>
      <c r="X191" t="s">
        <v>57</v>
      </c>
      <c r="Y191" t="s">
        <v>122</v>
      </c>
    </row>
    <row r="192" spans="1:25" x14ac:dyDescent="0.25">
      <c r="A192">
        <v>40223</v>
      </c>
      <c r="B192" t="e">
        <f>_xlfn.CONCAT([2]!bron[[#This Row],[personeelsnr]]," ",C192," ",D192)</f>
        <v>#REF!</v>
      </c>
      <c r="C192" t="str">
        <f>VLOOKUP(bron[[#This Row],[personeelsnr]],'data hastus'!$A:$C,2,0)</f>
        <v>Teetaert</v>
      </c>
      <c r="D192" t="str">
        <f>VLOOKUP(bron[[#This Row],[personeelsnr]],'data hastus'!$A:$C,3,0)</f>
        <v>Billy</v>
      </c>
      <c r="E192" t="str">
        <f>VLOOKUP(bron[[#This Row],[personeelsnr]],'data hastus'!A:K,11,FALSE)</f>
        <v>Dominique De Clercq</v>
      </c>
      <c r="F192" s="10"/>
      <c r="G192" s="6"/>
      <c r="H192" s="6">
        <v>1</v>
      </c>
      <c r="I192" s="6"/>
      <c r="J192"/>
      <c r="K192"/>
      <c r="L192"/>
      <c r="M192"/>
      <c r="N192"/>
      <c r="O192"/>
      <c r="P192"/>
      <c r="Q192"/>
      <c r="R192"/>
      <c r="S192">
        <f>SUM(bron[[#This Row],[Januari]:[December]])</f>
        <v>1</v>
      </c>
      <c r="T192" s="3">
        <v>45711</v>
      </c>
      <c r="U192" s="8" t="s">
        <v>3089</v>
      </c>
      <c r="V192" s="8">
        <v>1</v>
      </c>
      <c r="W192" s="8"/>
      <c r="X192" t="s">
        <v>57</v>
      </c>
      <c r="Y192" t="s">
        <v>24</v>
      </c>
    </row>
    <row r="193" spans="1:25" x14ac:dyDescent="0.25">
      <c r="A193">
        <v>32387</v>
      </c>
      <c r="B193" t="e">
        <f>_xlfn.CONCAT([2]!bron[[#This Row],[personeelsnr]]," ",C193," ",D193)</f>
        <v>#REF!</v>
      </c>
      <c r="C193" t="str">
        <f>VLOOKUP(bron[[#This Row],[personeelsnr]],'data hastus'!$A:$C,2,0)</f>
        <v>Meersman</v>
      </c>
      <c r="D193" t="str">
        <f>VLOOKUP(bron[[#This Row],[personeelsnr]],'data hastus'!$A:$C,3,0)</f>
        <v>Herman</v>
      </c>
      <c r="E193" t="str">
        <f>VLOOKUP(bron[[#This Row],[personeelsnr]],'data hastus'!A:K,11,FALSE)</f>
        <v>Steven Storm</v>
      </c>
      <c r="F193" s="10"/>
      <c r="G193" s="6"/>
      <c r="H193" s="6">
        <v>1</v>
      </c>
      <c r="I193" s="6"/>
      <c r="J193"/>
      <c r="K193"/>
      <c r="L193"/>
      <c r="M193"/>
      <c r="N193"/>
      <c r="O193"/>
      <c r="P193"/>
      <c r="Q193"/>
      <c r="R193"/>
      <c r="S193">
        <f>SUM(bron[[#This Row],[Januari]:[December]])</f>
        <v>1</v>
      </c>
      <c r="T193" s="3">
        <v>45711</v>
      </c>
      <c r="U193" s="8" t="s">
        <v>3058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9824</v>
      </c>
      <c r="B194" t="e">
        <f>_xlfn.CONCAT([2]!bron[[#This Row],[personeelsnr]]," ",C194," ",D194)</f>
        <v>#REF!</v>
      </c>
      <c r="C194" t="str">
        <f>VLOOKUP(bron[[#This Row],[personeelsnr]],'data hastus'!$A:$C,2,0)</f>
        <v>De Meulenaere</v>
      </c>
      <c r="D194" t="str">
        <f>VLOOKUP(bron[[#This Row],[personeelsnr]],'data hastus'!$A:$C,3,0)</f>
        <v>Eric</v>
      </c>
      <c r="E194" t="str">
        <f>VLOOKUP(bron[[#This Row],[personeelsnr]],'data hastus'!A:K,11,FALSE)</f>
        <v>Steven Storm</v>
      </c>
      <c r="F194" s="10"/>
      <c r="G194" s="6"/>
      <c r="H194" s="6">
        <v>1</v>
      </c>
      <c r="I194" s="6"/>
      <c r="J194"/>
      <c r="K194"/>
      <c r="L194"/>
      <c r="M194"/>
      <c r="N194"/>
      <c r="O194"/>
      <c r="P194"/>
      <c r="Q194"/>
      <c r="R194"/>
      <c r="S194">
        <f>SUM(bron[[#This Row],[Januari]:[December]])</f>
        <v>1</v>
      </c>
      <c r="T194" s="3">
        <v>45711</v>
      </c>
      <c r="U194" s="8" t="s">
        <v>3061</v>
      </c>
      <c r="V194" s="8"/>
      <c r="W194" s="8">
        <v>1</v>
      </c>
      <c r="X194" t="s">
        <v>58</v>
      </c>
      <c r="Y194" t="s">
        <v>19</v>
      </c>
    </row>
    <row r="195" spans="1:25" x14ac:dyDescent="0.25">
      <c r="A195">
        <v>37509</v>
      </c>
      <c r="B195" t="e">
        <f>_xlfn.CONCAT([2]!bron[[#This Row],[personeelsnr]]," ",C195," ",D195)</f>
        <v>#REF!</v>
      </c>
      <c r="C195" t="str">
        <f>VLOOKUP(bron[[#This Row],[personeelsnr]],'data hastus'!$A:$C,2,0)</f>
        <v>Abdulkader</v>
      </c>
      <c r="D195" t="str">
        <f>VLOOKUP(bron[[#This Row],[personeelsnr]],'data hastus'!$A:$C,3,0)</f>
        <v>Sabah</v>
      </c>
      <c r="E195" t="str">
        <f>VLOOKUP(bron[[#This Row],[personeelsnr]],'data hastus'!A:K,11,FALSE)</f>
        <v>Bart Van Der Beken</v>
      </c>
      <c r="F195" s="10"/>
      <c r="G195" s="6"/>
      <c r="H195" s="6">
        <v>1</v>
      </c>
      <c r="I195" s="6"/>
      <c r="J195"/>
      <c r="K195"/>
      <c r="L195"/>
      <c r="M195"/>
      <c r="N195"/>
      <c r="O195"/>
      <c r="P195"/>
      <c r="Q195"/>
      <c r="R195"/>
      <c r="S195">
        <f>SUM(bron[[#This Row],[Januari]:[December]])</f>
        <v>1</v>
      </c>
      <c r="T195" s="3">
        <v>45710</v>
      </c>
      <c r="U195" s="8" t="s">
        <v>3092</v>
      </c>
      <c r="V195" s="8">
        <v>1</v>
      </c>
      <c r="W195" s="8"/>
      <c r="X195" t="s">
        <v>57</v>
      </c>
      <c r="Y195" t="s">
        <v>372</v>
      </c>
    </row>
    <row r="196" spans="1:25" x14ac:dyDescent="0.25">
      <c r="A196">
        <v>9999</v>
      </c>
      <c r="B196" t="str">
        <f>_xlfn.CONCAT([2]!bron[[#This Row],[personeelsnr]]," ",C196," ",D196)</f>
        <v>9999 - -</v>
      </c>
      <c r="C196" t="s">
        <v>2919</v>
      </c>
      <c r="D196" t="s">
        <v>2919</v>
      </c>
      <c r="E196" t="s">
        <v>810</v>
      </c>
      <c r="G196" s="7"/>
      <c r="H196" s="7">
        <v>1</v>
      </c>
      <c r="I196" s="7"/>
      <c r="S196" s="5">
        <f>SUM(bron[[#This Row],[Januari]:[December]])</f>
        <v>1</v>
      </c>
      <c r="T196" s="9">
        <v>45710</v>
      </c>
      <c r="U196" s="8" t="s">
        <v>3070</v>
      </c>
      <c r="V196" s="8">
        <v>1</v>
      </c>
      <c r="W196" s="8"/>
      <c r="X196" t="s">
        <v>57</v>
      </c>
      <c r="Y196" t="s">
        <v>792</v>
      </c>
    </row>
    <row r="197" spans="1:25" x14ac:dyDescent="0.25">
      <c r="A197">
        <v>39972</v>
      </c>
      <c r="B197" t="str">
        <f>_xlfn.CONCAT([2]!bron[[#This Row],[personeelsnr]]," ",C197," ",D197)</f>
        <v>39972 Repaj Ramazav</v>
      </c>
      <c r="C197" t="s">
        <v>790</v>
      </c>
      <c r="D197" t="s">
        <v>791</v>
      </c>
      <c r="E197" t="s">
        <v>38</v>
      </c>
      <c r="F197" s="10"/>
      <c r="G197" s="6"/>
      <c r="H197" s="6">
        <v>1</v>
      </c>
      <c r="I197" s="6"/>
      <c r="J197"/>
      <c r="K197"/>
      <c r="L197"/>
      <c r="M197"/>
      <c r="N197"/>
      <c r="O197"/>
      <c r="P197"/>
      <c r="Q197"/>
      <c r="R197"/>
      <c r="S197">
        <f>SUM(bron[[#This Row],[Januari]:[December]])</f>
        <v>1</v>
      </c>
      <c r="T197" s="3">
        <v>45709</v>
      </c>
      <c r="U197" s="8" t="s">
        <v>3086</v>
      </c>
      <c r="V197" s="8">
        <v>1</v>
      </c>
      <c r="W197" s="8"/>
      <c r="X197" t="s">
        <v>57</v>
      </c>
      <c r="Y197" t="s">
        <v>24</v>
      </c>
    </row>
    <row r="198" spans="1:25" x14ac:dyDescent="0.25">
      <c r="A198">
        <v>40744</v>
      </c>
      <c r="B198" t="e">
        <f>_xlfn.CONCAT([2]!bron[[#This Row],[personeelsnr]]," ",C198," ",D198)</f>
        <v>#REF!</v>
      </c>
      <c r="C198" t="str">
        <f>VLOOKUP(bron[[#This Row],[personeelsnr]],'data hastus'!$A:$C,2,0)</f>
        <v>Gözüküçük</v>
      </c>
      <c r="D198" t="str">
        <f>VLOOKUP(bron[[#This Row],[personeelsnr]],'data hastus'!$A:$C,3,0)</f>
        <v>Ugur</v>
      </c>
      <c r="E198" t="str">
        <f>VLOOKUP(bron[[#This Row],[personeelsnr]],'data hastus'!A:K,11,FALSE)</f>
        <v>Bart Van Der Beken</v>
      </c>
      <c r="F198" s="10"/>
      <c r="G198" s="6"/>
      <c r="H198" s="6">
        <v>1</v>
      </c>
      <c r="I198" s="6"/>
      <c r="J198"/>
      <c r="K198"/>
      <c r="L198"/>
      <c r="M198"/>
      <c r="N198"/>
      <c r="O198"/>
      <c r="P198"/>
      <c r="Q198"/>
      <c r="R198"/>
      <c r="S198">
        <f>SUM(bron[[#This Row],[Januari]:[December]])</f>
        <v>1</v>
      </c>
      <c r="T198" s="3">
        <v>45709</v>
      </c>
      <c r="U198" s="8" t="s">
        <v>3069</v>
      </c>
      <c r="V198" s="8">
        <v>1</v>
      </c>
      <c r="W198" s="8"/>
      <c r="X198" t="s">
        <v>57</v>
      </c>
      <c r="Y198" t="s">
        <v>29</v>
      </c>
    </row>
    <row r="199" spans="1:25" x14ac:dyDescent="0.25">
      <c r="A199">
        <v>39712</v>
      </c>
      <c r="B199" t="e">
        <f>_xlfn.CONCAT([2]!bron[[#This Row],[personeelsnr]]," ",C199," ",D199)</f>
        <v>#REF!</v>
      </c>
      <c r="C199" t="str">
        <f>VLOOKUP(bron[[#This Row],[personeelsnr]],'data hastus'!$A:$C,2,0)</f>
        <v>Repaj</v>
      </c>
      <c r="D199" t="str">
        <f>VLOOKUP(bron[[#This Row],[personeelsnr]],'data hastus'!$A:$C,3,0)</f>
        <v>Ramazan</v>
      </c>
      <c r="E199" t="str">
        <f>VLOOKUP(bron[[#This Row],[personeelsnr]],'data hastus'!A:K,11,FALSE)</f>
        <v>Bart Van Der Beken</v>
      </c>
      <c r="F199" s="10"/>
      <c r="G199" s="6"/>
      <c r="H199" s="6">
        <v>1</v>
      </c>
      <c r="I199" s="6"/>
      <c r="J199"/>
      <c r="K199"/>
      <c r="L199"/>
      <c r="M199"/>
      <c r="N199"/>
      <c r="O199"/>
      <c r="P199"/>
      <c r="Q199"/>
      <c r="R199"/>
      <c r="S199">
        <f>SUM(bron[[#This Row],[Januari]:[December]])</f>
        <v>1</v>
      </c>
      <c r="T199" s="3">
        <v>45709</v>
      </c>
      <c r="U199"/>
      <c r="V199" s="8">
        <v>1</v>
      </c>
      <c r="W199"/>
      <c r="X199" t="s">
        <v>57</v>
      </c>
    </row>
    <row r="200" spans="1:25" x14ac:dyDescent="0.25">
      <c r="A200">
        <v>41246</v>
      </c>
      <c r="B200" t="e">
        <f>_xlfn.CONCAT([2]!bron[[#This Row],[personeelsnr]]," ",C200," ",D200)</f>
        <v>#REF!</v>
      </c>
      <c r="C200" t="str">
        <f>VLOOKUP(bron[[#This Row],[personeelsnr]],'data hastus'!$A:$C,2,0)</f>
        <v>Van Holsbeeck</v>
      </c>
      <c r="D200" t="str">
        <f>VLOOKUP(bron[[#This Row],[personeelsnr]],'data hastus'!$A:$C,3,0)</f>
        <v>Yana</v>
      </c>
      <c r="E200" t="str">
        <f>VLOOKUP(bron[[#This Row],[personeelsnr]],'data hastus'!A:K,11,FALSE)</f>
        <v>Dominique De Clercq</v>
      </c>
      <c r="F200" s="10"/>
      <c r="G200" s="6"/>
      <c r="H200" s="6">
        <v>1</v>
      </c>
      <c r="I200" s="6"/>
      <c r="J200"/>
      <c r="K200"/>
      <c r="L200"/>
      <c r="M200"/>
      <c r="N200"/>
      <c r="O200"/>
      <c r="P200"/>
      <c r="Q200"/>
      <c r="R200"/>
      <c r="S200">
        <f>SUM(bron[[#This Row],[Januari]:[December]])</f>
        <v>1</v>
      </c>
      <c r="T200" s="3">
        <v>45708</v>
      </c>
      <c r="U200" s="8" t="s">
        <v>3076</v>
      </c>
      <c r="V200" s="8">
        <v>1</v>
      </c>
      <c r="W200" s="8"/>
      <c r="X200" t="s">
        <v>57</v>
      </c>
      <c r="Y200" t="s">
        <v>105</v>
      </c>
    </row>
    <row r="201" spans="1:25" x14ac:dyDescent="0.25">
      <c r="A201">
        <v>36569</v>
      </c>
      <c r="B201" t="e">
        <f>_xlfn.CONCAT([2]!bron[[#This Row],[personeelsnr]]," ",C201," ",D201)</f>
        <v>#REF!</v>
      </c>
      <c r="C201" t="str">
        <f>VLOOKUP(bron[[#This Row],[personeelsnr]],'data hastus'!$A:$C,2,0)</f>
        <v>Stroobandt</v>
      </c>
      <c r="D201" t="str">
        <f>VLOOKUP(bron[[#This Row],[personeelsnr]],'data hastus'!$A:$C,3,0)</f>
        <v>Jonas</v>
      </c>
      <c r="E201" t="str">
        <f>VLOOKUP(bron[[#This Row],[personeelsnr]],'data hastus'!A:K,11,FALSE)</f>
        <v>Els Vanhoe</v>
      </c>
      <c r="F201" s="10"/>
      <c r="G201" s="6"/>
      <c r="H201" s="6">
        <v>1</v>
      </c>
      <c r="I201" s="6"/>
      <c r="J201"/>
      <c r="K201"/>
      <c r="L201"/>
      <c r="M201"/>
      <c r="N201"/>
      <c r="O201"/>
      <c r="P201"/>
      <c r="Q201"/>
      <c r="R201"/>
      <c r="S201">
        <f>SUM(bron[[#This Row],[Januari]:[December]])</f>
        <v>1</v>
      </c>
      <c r="T201" s="3">
        <v>45708</v>
      </c>
      <c r="U201" s="8" t="s">
        <v>3062</v>
      </c>
      <c r="V201" s="8">
        <v>1</v>
      </c>
      <c r="W201" s="8"/>
      <c r="X201" t="s">
        <v>57</v>
      </c>
      <c r="Y201" t="s">
        <v>19</v>
      </c>
    </row>
    <row r="202" spans="1:25" x14ac:dyDescent="0.25">
      <c r="A202">
        <v>39660</v>
      </c>
      <c r="B202" t="e">
        <f>_xlfn.CONCAT([2]!bron[[#This Row],[personeelsnr]]," ",C202," ",D202)</f>
        <v>#REF!</v>
      </c>
      <c r="C202" t="str">
        <f>VLOOKUP(bron[[#This Row],[personeelsnr]],'data hastus'!$A:$C,2,0)</f>
        <v>Lloyd</v>
      </c>
      <c r="D202" t="str">
        <f>VLOOKUP(bron[[#This Row],[personeelsnr]],'data hastus'!$A:$C,3,0)</f>
        <v>Glenn</v>
      </c>
      <c r="E202" t="str">
        <f>VLOOKUP(bron[[#This Row],[personeelsnr]],'data hastus'!A:K,11,FALSE)</f>
        <v>Bart Van Der Beken</v>
      </c>
      <c r="F202" s="10"/>
      <c r="G202" s="6"/>
      <c r="H202" s="6">
        <v>1</v>
      </c>
      <c r="I202" s="6"/>
      <c r="J202"/>
      <c r="K202"/>
      <c r="L202"/>
      <c r="M202"/>
      <c r="N202"/>
      <c r="O202"/>
      <c r="P202"/>
      <c r="Q202"/>
      <c r="R202"/>
      <c r="S202">
        <f>SUM(bron[[#This Row],[Januari]:[December]])</f>
        <v>1</v>
      </c>
      <c r="T202" s="3">
        <v>45707</v>
      </c>
      <c r="U202" s="8" t="s">
        <v>3099</v>
      </c>
      <c r="V202" s="8">
        <v>1</v>
      </c>
      <c r="W202" s="8"/>
      <c r="X202" t="s">
        <v>57</v>
      </c>
      <c r="Y202" t="s">
        <v>45</v>
      </c>
    </row>
    <row r="203" spans="1:25" x14ac:dyDescent="0.25">
      <c r="A203">
        <v>41012</v>
      </c>
      <c r="B203" t="e">
        <f>_xlfn.CONCAT([2]!bron[[#This Row],[personeelsnr]]," ",C203," ",D203)</f>
        <v>#REF!</v>
      </c>
      <c r="C203" t="str">
        <f>VLOOKUP(bron[[#This Row],[personeelsnr]],'data hastus'!$A:$C,2,0)</f>
        <v>Natad</v>
      </c>
      <c r="D203" t="str">
        <f>VLOOKUP(bron[[#This Row],[personeelsnr]],'data hastus'!$A:$C,3,0)</f>
        <v>Younes</v>
      </c>
      <c r="E203" t="str">
        <f>VLOOKUP(bron[[#This Row],[personeelsnr]],'data hastus'!A:K,11,FALSE)</f>
        <v>Els Vanhoe</v>
      </c>
      <c r="G203" s="6"/>
      <c r="H203" s="6">
        <v>1</v>
      </c>
      <c r="I203" s="6"/>
      <c r="J203"/>
      <c r="K203"/>
      <c r="L203"/>
      <c r="M203"/>
      <c r="N203"/>
      <c r="O203"/>
      <c r="P203"/>
      <c r="Q203"/>
      <c r="R203"/>
      <c r="S203">
        <f>SUM(bron[[#This Row],[Januari]:[December]])</f>
        <v>1</v>
      </c>
      <c r="T203" s="3">
        <v>45706</v>
      </c>
      <c r="U203" s="8" t="s">
        <v>3075</v>
      </c>
      <c r="V203" s="8">
        <v>1</v>
      </c>
      <c r="W203" s="8"/>
      <c r="X203" t="s">
        <v>57</v>
      </c>
      <c r="Y203" t="s">
        <v>372</v>
      </c>
    </row>
    <row r="204" spans="1:25" x14ac:dyDescent="0.25">
      <c r="A204">
        <v>41032</v>
      </c>
      <c r="B204" t="e">
        <f>_xlfn.CONCAT([2]!bron[[#This Row],[personeelsnr]]," ",C204," ",D204)</f>
        <v>#REF!</v>
      </c>
      <c r="C204" t="str">
        <f>VLOOKUP(bron[[#This Row],[personeelsnr]],'data hastus'!$A:$C,2,0)</f>
        <v>Rocabado Hinojosa</v>
      </c>
      <c r="D204" t="str">
        <f>VLOOKUP(bron[[#This Row],[personeelsnr]],'data hastus'!$A:$C,3,0)</f>
        <v>Lukas</v>
      </c>
      <c r="E204" t="str">
        <f>VLOOKUP(bron[[#This Row],[personeelsnr]],'data hastus'!A:K,11,FALSE)</f>
        <v>Els Vanhoe</v>
      </c>
      <c r="F204" s="10"/>
      <c r="G204" s="6"/>
      <c r="H204" s="6">
        <v>1</v>
      </c>
      <c r="I204" s="6"/>
      <c r="J204"/>
      <c r="K204"/>
      <c r="L204"/>
      <c r="M204"/>
      <c r="N204"/>
      <c r="O204"/>
      <c r="P204"/>
      <c r="Q204"/>
      <c r="R204"/>
      <c r="S204">
        <f>SUM(bron[[#This Row],[Januari]:[December]])</f>
        <v>1</v>
      </c>
      <c r="T204" s="3">
        <v>45706</v>
      </c>
      <c r="U204" s="8" t="s">
        <v>3073</v>
      </c>
      <c r="V204" s="8">
        <v>1</v>
      </c>
      <c r="W204" s="8"/>
      <c r="X204" t="s">
        <v>57</v>
      </c>
      <c r="Y204" t="s">
        <v>81</v>
      </c>
    </row>
    <row r="205" spans="1:25" x14ac:dyDescent="0.25">
      <c r="A205">
        <v>41162</v>
      </c>
      <c r="B205" t="e">
        <f>_xlfn.CONCAT([2]!bron[[#This Row],[personeelsnr]]," ",C205," ",D205)</f>
        <v>#REF!</v>
      </c>
      <c r="C205" t="str">
        <f>VLOOKUP(bron[[#This Row],[personeelsnr]],'data hastus'!$A:$C,2,0)</f>
        <v>Hoeckman</v>
      </c>
      <c r="D205" t="str">
        <f>VLOOKUP(bron[[#This Row],[personeelsnr]],'data hastus'!$A:$C,3,0)</f>
        <v>Jeroen</v>
      </c>
      <c r="E205" t="str">
        <f>VLOOKUP(bron[[#This Row],[personeelsnr]],'data hastus'!A:K,11,FALSE)</f>
        <v>Dominique De Clercq</v>
      </c>
      <c r="F205" s="10"/>
      <c r="G205" s="6"/>
      <c r="H205" s="6">
        <v>1</v>
      </c>
      <c r="I205" s="6"/>
      <c r="J205"/>
      <c r="K205"/>
      <c r="L205"/>
      <c r="M205"/>
      <c r="N205"/>
      <c r="O205"/>
      <c r="P205"/>
      <c r="Q205"/>
      <c r="R205"/>
      <c r="S205">
        <f>SUM(bron[[#This Row],[Januari]:[December]])</f>
        <v>1</v>
      </c>
      <c r="T205" s="3">
        <v>45706</v>
      </c>
      <c r="U205" s="8" t="s">
        <v>3072</v>
      </c>
      <c r="V205" s="8">
        <v>1</v>
      </c>
      <c r="W205" s="8"/>
      <c r="X205" t="s">
        <v>57</v>
      </c>
      <c r="Y205" t="s">
        <v>162</v>
      </c>
    </row>
    <row r="206" spans="1:25" x14ac:dyDescent="0.25">
      <c r="A206">
        <v>41091</v>
      </c>
      <c r="B206" t="e">
        <f>_xlfn.CONCAT([2]!bron[[#This Row],[personeelsnr]]," ",C206," ",D206)</f>
        <v>#REF!</v>
      </c>
      <c r="C206" t="str">
        <f>VLOOKUP(bron[[#This Row],[personeelsnr]],'data hastus'!$A:$C,2,0)</f>
        <v>Yavas</v>
      </c>
      <c r="D206" t="str">
        <f>VLOOKUP(bron[[#This Row],[personeelsnr]],'data hastus'!$A:$C,3,0)</f>
        <v>Talha</v>
      </c>
      <c r="E206" t="str">
        <f>VLOOKUP(bron[[#This Row],[personeelsnr]],'data hastus'!A:K,11,FALSE)</f>
        <v>Dominique De Clercq</v>
      </c>
      <c r="G206" s="6"/>
      <c r="H206" s="6">
        <v>1</v>
      </c>
      <c r="I206" s="6"/>
      <c r="J206"/>
      <c r="K206"/>
      <c r="L206"/>
      <c r="M206"/>
      <c r="N206"/>
      <c r="O206"/>
      <c r="P206"/>
      <c r="Q206"/>
      <c r="R206"/>
      <c r="S206">
        <f>SUM(bron[[#This Row],[Januari]:[December]])</f>
        <v>1</v>
      </c>
      <c r="T206" s="3">
        <v>45703</v>
      </c>
      <c r="U206" s="8" t="s">
        <v>3071</v>
      </c>
      <c r="V206" s="8">
        <v>1</v>
      </c>
      <c r="W206" s="8"/>
      <c r="X206" t="s">
        <v>57</v>
      </c>
      <c r="Y206" t="s">
        <v>157</v>
      </c>
    </row>
    <row r="207" spans="1:25" x14ac:dyDescent="0.25">
      <c r="A207">
        <v>26199</v>
      </c>
      <c r="B207" t="e">
        <f>_xlfn.CONCAT([2]!bron[[#This Row],[personeelsnr]]," ",C207," ",D207)</f>
        <v>#REF!</v>
      </c>
      <c r="C207" t="str">
        <f>VLOOKUP(bron[[#This Row],[personeelsnr]],'data hastus'!$A:$C,2,0)</f>
        <v>Wauters</v>
      </c>
      <c r="D207" t="str">
        <f>VLOOKUP(bron[[#This Row],[personeelsnr]],'data hastus'!$A:$C,3,0)</f>
        <v>Franky</v>
      </c>
      <c r="E207" t="str">
        <f>VLOOKUP(bron[[#This Row],[personeelsnr]],'data hastus'!A:K,11,FALSE)</f>
        <v>Els Vanhoe</v>
      </c>
      <c r="F207" s="10"/>
      <c r="G207" s="6"/>
      <c r="H207" s="6">
        <v>1</v>
      </c>
      <c r="I207" s="6"/>
      <c r="J207"/>
      <c r="K207"/>
      <c r="L207"/>
      <c r="M207"/>
      <c r="N207"/>
      <c r="O207"/>
      <c r="P207"/>
      <c r="Q207"/>
      <c r="R207"/>
      <c r="S207">
        <f>SUM(bron[[#This Row],[Januari]:[December]])</f>
        <v>1</v>
      </c>
      <c r="T207" s="3">
        <v>45703</v>
      </c>
      <c r="U207" s="8" t="s">
        <v>3060</v>
      </c>
      <c r="V207" s="8"/>
      <c r="W207" s="8">
        <v>1</v>
      </c>
      <c r="X207" t="s">
        <v>58</v>
      </c>
      <c r="Y207" t="s">
        <v>173</v>
      </c>
    </row>
    <row r="208" spans="1:25" x14ac:dyDescent="0.25">
      <c r="A208">
        <v>37662</v>
      </c>
      <c r="B208" t="e">
        <f>_xlfn.CONCAT([2]!bron[[#This Row],[personeelsnr]]," ",C208," ",D208)</f>
        <v>#REF!</v>
      </c>
      <c r="C208" t="str">
        <f>VLOOKUP(bron[[#This Row],[personeelsnr]],'data hastus'!$A:$C,2,0)</f>
        <v>Van den Meerssche</v>
      </c>
      <c r="D208" t="str">
        <f>VLOOKUP(bron[[#This Row],[personeelsnr]],'data hastus'!$A:$C,3,0)</f>
        <v>Steven</v>
      </c>
      <c r="E208" t="str">
        <f>VLOOKUP(bron[[#This Row],[personeelsnr]],'data hastus'!A:K,11,FALSE)</f>
        <v>Bart Van Der Beken</v>
      </c>
      <c r="F208" s="10"/>
      <c r="G208" s="6"/>
      <c r="H208" s="6">
        <v>1</v>
      </c>
      <c r="I208" s="6"/>
      <c r="J208"/>
      <c r="K208"/>
      <c r="L208"/>
      <c r="M208"/>
      <c r="N208"/>
      <c r="O208"/>
      <c r="P208"/>
      <c r="Q208"/>
      <c r="R208"/>
      <c r="S208">
        <f>SUM(bron[[#This Row],[Januari]:[December]])</f>
        <v>1</v>
      </c>
      <c r="T208" s="3">
        <v>45702</v>
      </c>
      <c r="U208" s="8" t="s">
        <v>3087</v>
      </c>
      <c r="V208" s="8">
        <v>1</v>
      </c>
      <c r="W208" s="8"/>
      <c r="X208" t="s">
        <v>57</v>
      </c>
      <c r="Y208" t="s">
        <v>179</v>
      </c>
    </row>
    <row r="209" spans="1:25" x14ac:dyDescent="0.25">
      <c r="A209">
        <v>11236</v>
      </c>
      <c r="B209" t="e">
        <f>_xlfn.CONCAT([2]!bron[[#This Row],[personeelsnr]]," ",C209," ",D209)</f>
        <v>#REF!</v>
      </c>
      <c r="C209" t="str">
        <f>VLOOKUP(bron[[#This Row],[personeelsnr]],'data hastus'!$A:$C,2,0)</f>
        <v>Baert</v>
      </c>
      <c r="D209" t="str">
        <f>VLOOKUP(bron[[#This Row],[personeelsnr]],'data hastus'!$A:$C,3,0)</f>
        <v>Freddy</v>
      </c>
      <c r="E209" t="str">
        <f>VLOOKUP(bron[[#This Row],[personeelsnr]],'data hastus'!A:K,11,FALSE)</f>
        <v>Bart Van Der Beken</v>
      </c>
      <c r="F209" s="10"/>
      <c r="G209" s="6"/>
      <c r="H209" s="6">
        <v>1</v>
      </c>
      <c r="I209" s="6"/>
      <c r="J209"/>
      <c r="K209"/>
      <c r="L209"/>
      <c r="M209"/>
      <c r="N209"/>
      <c r="O209"/>
      <c r="P209"/>
      <c r="Q209"/>
      <c r="R209"/>
      <c r="S209">
        <f>SUM(bron[[#This Row],[Januari]:[December]])</f>
        <v>1</v>
      </c>
      <c r="T209" s="3">
        <v>45702</v>
      </c>
      <c r="U209" s="8" t="s">
        <v>3084</v>
      </c>
      <c r="V209" s="8">
        <v>1</v>
      </c>
      <c r="W209" s="8"/>
      <c r="X209" t="s">
        <v>57</v>
      </c>
      <c r="Y209" t="s">
        <v>43</v>
      </c>
    </row>
    <row r="210" spans="1:25" x14ac:dyDescent="0.25">
      <c r="A210">
        <v>41383</v>
      </c>
      <c r="B210" t="e">
        <f>_xlfn.CONCAT([2]!bron[[#This Row],[personeelsnr]]," ",C210," ",D210)</f>
        <v>#REF!</v>
      </c>
      <c r="C210" t="str">
        <f>VLOOKUP(bron[[#This Row],[personeelsnr]],'data hastus'!$A:$C,2,0)</f>
        <v>De Pauw</v>
      </c>
      <c r="D210" t="str">
        <f>VLOOKUP(bron[[#This Row],[personeelsnr]],'data hastus'!$A:$C,3,0)</f>
        <v>Tony</v>
      </c>
      <c r="E210" t="str">
        <f>VLOOKUP(bron[[#This Row],[personeelsnr]],'data hastus'!A:K,11,FALSE)</f>
        <v>Els Vanhoe</v>
      </c>
      <c r="F210" s="10"/>
      <c r="G210" s="6"/>
      <c r="H210" s="6">
        <v>1</v>
      </c>
      <c r="I210" s="6"/>
      <c r="J210"/>
      <c r="K210"/>
      <c r="L210"/>
      <c r="M210"/>
      <c r="N210"/>
      <c r="O210"/>
      <c r="P210"/>
      <c r="Q210"/>
      <c r="R210"/>
      <c r="S210">
        <f>SUM(bron[[#This Row],[Januari]:[December]])</f>
        <v>1</v>
      </c>
      <c r="T210" s="3">
        <v>45702</v>
      </c>
      <c r="U210" s="8" t="s">
        <v>3079</v>
      </c>
      <c r="V210" s="8">
        <v>1</v>
      </c>
      <c r="W210" s="8"/>
      <c r="X210" t="s">
        <v>57</v>
      </c>
      <c r="Y210" t="s">
        <v>88</v>
      </c>
    </row>
    <row r="211" spans="1:25" x14ac:dyDescent="0.25">
      <c r="A211">
        <v>37496</v>
      </c>
      <c r="B211" t="e">
        <f>_xlfn.CONCAT([2]!bron[[#This Row],[personeelsnr]]," ",C211," ",D211)</f>
        <v>#REF!</v>
      </c>
      <c r="C211" t="str">
        <f>VLOOKUP(bron[[#This Row],[personeelsnr]],'data hastus'!$A:$C,2,0)</f>
        <v>Oosterlinck</v>
      </c>
      <c r="D211" t="str">
        <f>VLOOKUP(bron[[#This Row],[personeelsnr]],'data hastus'!$A:$C,3,0)</f>
        <v>Willy</v>
      </c>
      <c r="E211" t="str">
        <f>VLOOKUP(bron[[#This Row],[personeelsnr]],'data hastus'!A:K,11,FALSE)</f>
        <v>Dominique De Clercq</v>
      </c>
      <c r="F211" s="10"/>
      <c r="G211" s="6"/>
      <c r="H211" s="6">
        <v>1</v>
      </c>
      <c r="I211" s="6"/>
      <c r="J211"/>
      <c r="K211"/>
      <c r="L211"/>
      <c r="M211"/>
      <c r="N211"/>
      <c r="O211"/>
      <c r="P211"/>
      <c r="Q211"/>
      <c r="R211"/>
      <c r="S211">
        <f>SUM(bron[[#This Row],[Januari]:[December]])</f>
        <v>1</v>
      </c>
      <c r="T211" s="3">
        <v>45702</v>
      </c>
      <c r="U211" s="8" t="s">
        <v>3064</v>
      </c>
      <c r="V211" s="8"/>
      <c r="W211" s="8">
        <v>1</v>
      </c>
      <c r="X211" t="s">
        <v>58</v>
      </c>
      <c r="Y211" t="s">
        <v>108</v>
      </c>
    </row>
    <row r="212" spans="1:25" x14ac:dyDescent="0.25">
      <c r="A212">
        <v>6229</v>
      </c>
      <c r="B212" t="e">
        <f>_xlfn.CONCAT([2]!bron[[#This Row],[personeelsnr]]," ",C212," ",D212)</f>
        <v>#REF!</v>
      </c>
      <c r="C212" t="str">
        <f>VLOOKUP(bron[[#This Row],[personeelsnr]],'data hastus'!$A:$C,2,0)</f>
        <v>De Meyer</v>
      </c>
      <c r="D212" t="str">
        <f>VLOOKUP(bron[[#This Row],[personeelsnr]],'data hastus'!$A:$C,3,0)</f>
        <v>Antoon</v>
      </c>
      <c r="E212" t="str">
        <f>VLOOKUP(bron[[#This Row],[personeelsnr]],'data hastus'!A:K,11,FALSE)</f>
        <v>Els Vanhoe</v>
      </c>
      <c r="F212" s="10"/>
      <c r="G212" s="6"/>
      <c r="H212" s="6">
        <v>1</v>
      </c>
      <c r="I212" s="6"/>
      <c r="J212"/>
      <c r="K212"/>
      <c r="L212"/>
      <c r="M212"/>
      <c r="N212"/>
      <c r="O212"/>
      <c r="P212"/>
      <c r="Q212"/>
      <c r="R212"/>
      <c r="S212">
        <f>SUM(bron[[#This Row],[Januari]:[December]])</f>
        <v>1</v>
      </c>
      <c r="T212" s="3">
        <v>45701</v>
      </c>
      <c r="U212" s="8" t="s">
        <v>3085</v>
      </c>
      <c r="V212" s="8">
        <v>1</v>
      </c>
      <c r="W212" s="8"/>
      <c r="X212" t="s">
        <v>57</v>
      </c>
      <c r="Y212" t="s">
        <v>218</v>
      </c>
    </row>
    <row r="213" spans="1:25" x14ac:dyDescent="0.25">
      <c r="A213">
        <v>39267</v>
      </c>
      <c r="B213" t="e">
        <f>_xlfn.CONCAT([2]!bron[[#This Row],[personeelsnr]]," ",C213," ",D213)</f>
        <v>#REF!</v>
      </c>
      <c r="C213" t="str">
        <f>VLOOKUP(bron[[#This Row],[personeelsnr]],'data hastus'!$A:$C,2,0)</f>
        <v>Van Holsbeeck</v>
      </c>
      <c r="D213" t="str">
        <f>VLOOKUP(bron[[#This Row],[personeelsnr]],'data hastus'!$A:$C,3,0)</f>
        <v>Jens</v>
      </c>
      <c r="E213" t="str">
        <f>VLOOKUP(bron[[#This Row],[personeelsnr]],'data hastus'!A:K,11,FALSE)</f>
        <v>Christoff Rotty</v>
      </c>
      <c r="F213" s="10"/>
      <c r="G213" s="6"/>
      <c r="H213" s="6">
        <v>1</v>
      </c>
      <c r="I213" s="6"/>
      <c r="J213"/>
      <c r="K213"/>
      <c r="L213"/>
      <c r="M213"/>
      <c r="N213"/>
      <c r="O213"/>
      <c r="P213"/>
      <c r="Q213"/>
      <c r="R213"/>
      <c r="S213">
        <f>SUM(bron[[#This Row],[Januari]:[December]])</f>
        <v>1</v>
      </c>
      <c r="T213" s="3">
        <v>45700</v>
      </c>
      <c r="U213" s="8" t="s">
        <v>3065</v>
      </c>
      <c r="V213" s="8"/>
      <c r="W213" s="8">
        <v>1</v>
      </c>
      <c r="X213" t="s">
        <v>58</v>
      </c>
      <c r="Y213" t="s">
        <v>34</v>
      </c>
    </row>
    <row r="214" spans="1:25" x14ac:dyDescent="0.25">
      <c r="A214">
        <v>25679</v>
      </c>
      <c r="B214" t="e">
        <f>_xlfn.CONCAT([2]!bron[[#This Row],[personeelsnr]]," ",C214," ",D214)</f>
        <v>#REF!</v>
      </c>
      <c r="C214" t="str">
        <f>VLOOKUP(bron[[#This Row],[personeelsnr]],'data hastus'!$A:$C,2,0)</f>
        <v>Vanrenterghem</v>
      </c>
      <c r="D214" t="str">
        <f>VLOOKUP(bron[[#This Row],[personeelsnr]],'data hastus'!$A:$C,3,0)</f>
        <v>Serge</v>
      </c>
      <c r="E214" t="str">
        <f>VLOOKUP(bron[[#This Row],[personeelsnr]],'data hastus'!A:K,11,FALSE)</f>
        <v>Christoff Rotty</v>
      </c>
      <c r="F214" s="10"/>
      <c r="G214" s="6"/>
      <c r="H214" s="6">
        <v>1</v>
      </c>
      <c r="I214" s="6"/>
      <c r="J214"/>
      <c r="K214"/>
      <c r="L214"/>
      <c r="M214"/>
      <c r="N214"/>
      <c r="O214"/>
      <c r="P214"/>
      <c r="Q214"/>
      <c r="R214"/>
      <c r="S214">
        <f>SUM(bron[[#This Row],[Januari]:[December]])</f>
        <v>1</v>
      </c>
      <c r="T214" s="3">
        <v>45699</v>
      </c>
      <c r="U214" s="8" t="s">
        <v>3093</v>
      </c>
      <c r="V214" s="8">
        <v>1</v>
      </c>
      <c r="W214" s="8"/>
      <c r="X214" t="s">
        <v>57</v>
      </c>
      <c r="Y214" t="s">
        <v>18</v>
      </c>
    </row>
    <row r="215" spans="1:25" x14ac:dyDescent="0.25">
      <c r="A215">
        <v>40223</v>
      </c>
      <c r="B215" t="e">
        <f>_xlfn.CONCAT([2]!bron[[#This Row],[personeelsnr]]," ",C215," ",D215)</f>
        <v>#REF!</v>
      </c>
      <c r="C215" t="str">
        <f>VLOOKUP(bron[[#This Row],[personeelsnr]],'data hastus'!$A:$C,2,0)</f>
        <v>Teetaert</v>
      </c>
      <c r="D215" t="str">
        <f>VLOOKUP(bron[[#This Row],[personeelsnr]],'data hastus'!$A:$C,3,0)</f>
        <v>Billy</v>
      </c>
      <c r="E215" t="str">
        <f>VLOOKUP(bron[[#This Row],[personeelsnr]],'data hastus'!A:K,11,FALSE)</f>
        <v>Dominique De Clercq</v>
      </c>
      <c r="F215" s="10"/>
      <c r="G215" s="6"/>
      <c r="H215" s="6">
        <v>1</v>
      </c>
      <c r="I215" s="6"/>
      <c r="J215"/>
      <c r="K215"/>
      <c r="L215"/>
      <c r="M215"/>
      <c r="N215"/>
      <c r="O215"/>
      <c r="P215"/>
      <c r="Q215"/>
      <c r="R215"/>
      <c r="S215">
        <f>SUM(bron[[#This Row],[Januari]:[December]])</f>
        <v>1</v>
      </c>
      <c r="T215" s="3">
        <v>45699</v>
      </c>
      <c r="U215" s="8" t="s">
        <v>3088</v>
      </c>
      <c r="V215" s="8">
        <v>1</v>
      </c>
      <c r="W215" s="8"/>
      <c r="X215" t="s">
        <v>57</v>
      </c>
      <c r="Y215" t="s">
        <v>245</v>
      </c>
    </row>
    <row r="216" spans="1:25" x14ac:dyDescent="0.25">
      <c r="A216">
        <v>28737</v>
      </c>
      <c r="B216" t="e">
        <f>_xlfn.CONCAT([2]!bron[[#This Row],[personeelsnr]]," ",C216," ",D216)</f>
        <v>#REF!</v>
      </c>
      <c r="C216" t="str">
        <f>VLOOKUP(bron[[#This Row],[personeelsnr]],'data hastus'!$A:$C,2,0)</f>
        <v>El-Mohamed</v>
      </c>
      <c r="D216" t="str">
        <f>VLOOKUP(bron[[#This Row],[personeelsnr]],'data hastus'!$A:$C,3,0)</f>
        <v>Mohamed</v>
      </c>
      <c r="E216" t="str">
        <f>VLOOKUP(bron[[#This Row],[personeelsnr]],'data hastus'!A:K,11,FALSE)</f>
        <v>Lucie Vande Velde</v>
      </c>
      <c r="F216" s="10"/>
      <c r="G216" s="6"/>
      <c r="H216" s="6">
        <v>1</v>
      </c>
      <c r="I216" s="6"/>
      <c r="J216"/>
      <c r="K216"/>
      <c r="L216"/>
      <c r="M216"/>
      <c r="N216"/>
      <c r="O216"/>
      <c r="P216"/>
      <c r="Q216"/>
      <c r="R216"/>
      <c r="S216">
        <f>SUM(bron[[#This Row],[Januari]:[December]])</f>
        <v>1</v>
      </c>
      <c r="T216" s="3">
        <v>45698</v>
      </c>
      <c r="U216" s="8" t="s">
        <v>3059</v>
      </c>
      <c r="V216" s="8"/>
      <c r="W216" s="8">
        <v>1</v>
      </c>
      <c r="X216" t="s">
        <v>58</v>
      </c>
      <c r="Y216" t="s">
        <v>229</v>
      </c>
    </row>
    <row r="217" spans="1:25" x14ac:dyDescent="0.25">
      <c r="A217">
        <v>4419</v>
      </c>
      <c r="B217" t="e">
        <f>_xlfn.CONCAT([2]!bron[[#This Row],[personeelsnr]]," ",C217," ",D217)</f>
        <v>#REF!</v>
      </c>
      <c r="C217" t="str">
        <f>VLOOKUP(bron[[#This Row],[personeelsnr]],'data hastus'!$A:$C,2,0)</f>
        <v>Maelbrancke</v>
      </c>
      <c r="D217" t="str">
        <f>VLOOKUP(bron[[#This Row],[personeelsnr]],'data hastus'!$A:$C,3,0)</f>
        <v>Eddy</v>
      </c>
      <c r="E217" t="str">
        <f>VLOOKUP(bron[[#This Row],[personeelsnr]],'data hastus'!A:K,11,FALSE)</f>
        <v>Lucie Vande Velde</v>
      </c>
      <c r="F217" s="10"/>
      <c r="G217" s="6"/>
      <c r="H217" s="6">
        <v>1</v>
      </c>
      <c r="I217" s="6"/>
      <c r="J217"/>
      <c r="K217"/>
      <c r="L217"/>
      <c r="M217"/>
      <c r="N217"/>
      <c r="O217"/>
      <c r="P217"/>
      <c r="Q217"/>
      <c r="R217"/>
      <c r="S217">
        <f>SUM(bron[[#This Row],[Januari]:[December]])</f>
        <v>1</v>
      </c>
      <c r="T217" s="3">
        <v>45695</v>
      </c>
      <c r="U217" s="8" t="s">
        <v>3100</v>
      </c>
      <c r="V217" s="8">
        <v>1</v>
      </c>
      <c r="W217" s="8"/>
      <c r="X217" t="s">
        <v>57</v>
      </c>
      <c r="Y217" t="s">
        <v>18</v>
      </c>
    </row>
    <row r="218" spans="1:25" x14ac:dyDescent="0.25">
      <c r="A218">
        <v>40055</v>
      </c>
      <c r="B218" t="e">
        <f>_xlfn.CONCAT([2]!bron[[#This Row],[personeelsnr]]," ",C218," ",D218)</f>
        <v>#REF!</v>
      </c>
      <c r="C218" t="str">
        <f>VLOOKUP(bron[[#This Row],[personeelsnr]],'data hastus'!$A:$C,2,0)</f>
        <v>Afara</v>
      </c>
      <c r="D218" t="str">
        <f>VLOOKUP(bron[[#This Row],[personeelsnr]],'data hastus'!$A:$C,3,0)</f>
        <v>Ammar</v>
      </c>
      <c r="E218" t="str">
        <f>VLOOKUP(bron[[#This Row],[personeelsnr]],'data hastus'!A:K,11,FALSE)</f>
        <v>Els Vanhoe</v>
      </c>
      <c r="F218" s="10"/>
      <c r="G218" s="6"/>
      <c r="H218" s="6">
        <v>1</v>
      </c>
      <c r="I218" s="6"/>
      <c r="J218"/>
      <c r="K218"/>
      <c r="L218"/>
      <c r="M218"/>
      <c r="N218"/>
      <c r="O218"/>
      <c r="P218"/>
      <c r="Q218"/>
      <c r="R218"/>
      <c r="S218">
        <f>SUM(bron[[#This Row],[Januari]:[December]])</f>
        <v>1</v>
      </c>
      <c r="T218" s="3">
        <v>45695</v>
      </c>
      <c r="U218" s="8" t="s">
        <v>3083</v>
      </c>
      <c r="V218" s="8">
        <v>1</v>
      </c>
      <c r="W218" s="8"/>
      <c r="X218" t="s">
        <v>57</v>
      </c>
      <c r="Y218" t="s">
        <v>28</v>
      </c>
    </row>
    <row r="219" spans="1:25" x14ac:dyDescent="0.25">
      <c r="A219">
        <v>40856</v>
      </c>
      <c r="B219" t="e">
        <f>_xlfn.CONCAT([2]!bron[[#This Row],[personeelsnr]]," ",C219," ",D219)</f>
        <v>#REF!</v>
      </c>
      <c r="C219" t="str">
        <f>VLOOKUP(bron[[#This Row],[personeelsnr]],'data hastus'!$A:$C,2,0)</f>
        <v>Neissi</v>
      </c>
      <c r="D219" t="str">
        <f>VLOOKUP(bron[[#This Row],[personeelsnr]],'data hastus'!$A:$C,3,0)</f>
        <v>Sadegh</v>
      </c>
      <c r="E219" t="str">
        <f>VLOOKUP(bron[[#This Row],[personeelsnr]],'data hastus'!A:K,11,FALSE)</f>
        <v>Kenneth De Rick</v>
      </c>
      <c r="F219" s="10"/>
      <c r="G219" s="6"/>
      <c r="H219" s="6">
        <v>1</v>
      </c>
      <c r="I219" s="6"/>
      <c r="J219"/>
      <c r="K219"/>
      <c r="L219"/>
      <c r="M219"/>
      <c r="N219"/>
      <c r="O219"/>
      <c r="P219"/>
      <c r="Q219"/>
      <c r="R219"/>
      <c r="S219">
        <f>SUM(bron[[#This Row],[Januari]:[December]])</f>
        <v>1</v>
      </c>
      <c r="T219" s="3">
        <v>45694</v>
      </c>
      <c r="U219" s="8" t="s">
        <v>3096</v>
      </c>
      <c r="V219" s="8">
        <v>1</v>
      </c>
      <c r="W219" s="8"/>
      <c r="X219" t="s">
        <v>57</v>
      </c>
      <c r="Y219" t="s">
        <v>198</v>
      </c>
    </row>
    <row r="220" spans="1:25" x14ac:dyDescent="0.25">
      <c r="A220">
        <v>17951</v>
      </c>
      <c r="B220" t="e">
        <f>_xlfn.CONCAT([2]!bron[[#This Row],[personeelsnr]]," ",C220," ",D220)</f>
        <v>#REF!</v>
      </c>
      <c r="C220" t="str">
        <f>VLOOKUP(bron[[#This Row],[personeelsnr]],'data hastus'!$A:$C,2,0)</f>
        <v>Lega</v>
      </c>
      <c r="D220" t="str">
        <f>VLOOKUP(bron[[#This Row],[personeelsnr]],'data hastus'!$A:$C,3,0)</f>
        <v>Claude</v>
      </c>
      <c r="E220" t="str">
        <f>VLOOKUP(bron[[#This Row],[personeelsnr]],'data hastus'!A:K,11,FALSE)</f>
        <v>Bart Van Der Beken</v>
      </c>
      <c r="F220" s="10"/>
      <c r="G220" s="6"/>
      <c r="H220" s="6">
        <v>1</v>
      </c>
      <c r="I220" s="6"/>
      <c r="J220"/>
      <c r="K220"/>
      <c r="L220"/>
      <c r="M220"/>
      <c r="N220"/>
      <c r="O220"/>
      <c r="P220"/>
      <c r="Q220"/>
      <c r="R220"/>
      <c r="S220">
        <f>SUM(bron[[#This Row],[Januari]:[December]])</f>
        <v>1</v>
      </c>
      <c r="T220" s="3">
        <v>45694</v>
      </c>
      <c r="U220" s="8" t="s">
        <v>3066</v>
      </c>
      <c r="V220" s="8"/>
      <c r="W220" s="8">
        <v>1</v>
      </c>
      <c r="X220" t="s">
        <v>58</v>
      </c>
      <c r="Y220" t="s">
        <v>102</v>
      </c>
    </row>
    <row r="221" spans="1:25" x14ac:dyDescent="0.25">
      <c r="A221">
        <v>40266</v>
      </c>
      <c r="B221" t="e">
        <f>_xlfn.CONCAT([2]!bron[[#This Row],[personeelsnr]]," ",C221," ",D221)</f>
        <v>#REF!</v>
      </c>
      <c r="C221" t="str">
        <f>VLOOKUP(bron[[#This Row],[personeelsnr]],'data hastus'!$A:$C,2,0)</f>
        <v>Taibi</v>
      </c>
      <c r="D221" t="str">
        <f>VLOOKUP(bron[[#This Row],[personeelsnr]],'data hastus'!$A:$C,3,0)</f>
        <v>Yassine</v>
      </c>
      <c r="E221" t="str">
        <f>VLOOKUP(bron[[#This Row],[personeelsnr]],'data hastus'!A:K,11,FALSE)</f>
        <v>Christoff Rotty</v>
      </c>
      <c r="F221" s="10"/>
      <c r="G221" s="6"/>
      <c r="H221" s="6">
        <v>1</v>
      </c>
      <c r="I221" s="6"/>
      <c r="J221"/>
      <c r="K221"/>
      <c r="L221"/>
      <c r="M221"/>
      <c r="N221"/>
      <c r="O221"/>
      <c r="P221"/>
      <c r="Q221"/>
      <c r="R221"/>
      <c r="S221">
        <f>SUM(bron[[#This Row],[Januari]:[December]])</f>
        <v>1</v>
      </c>
      <c r="T221" s="3">
        <v>45693</v>
      </c>
      <c r="U221" s="8" t="s">
        <v>3098</v>
      </c>
      <c r="V221" s="8">
        <v>1</v>
      </c>
      <c r="W221" s="8"/>
      <c r="X221" t="s">
        <v>57</v>
      </c>
      <c r="Y221" t="s">
        <v>45</v>
      </c>
    </row>
    <row r="222" spans="1:25" x14ac:dyDescent="0.25">
      <c r="A222">
        <v>40859</v>
      </c>
      <c r="B222" t="e">
        <f>_xlfn.CONCAT([2]!bron[[#This Row],[personeelsnr]]," ",C222," ",D222)</f>
        <v>#REF!</v>
      </c>
      <c r="C222" t="str">
        <f>VLOOKUP(bron[[#This Row],[personeelsnr]],'data hastus'!$A:$C,2,0)</f>
        <v>Yagoub</v>
      </c>
      <c r="D222" t="str">
        <f>VLOOKUP(bron[[#This Row],[personeelsnr]],'data hastus'!$A:$C,3,0)</f>
        <v>Abdelali</v>
      </c>
      <c r="E222" t="str">
        <f>VLOOKUP(bron[[#This Row],[personeelsnr]],'data hastus'!A:K,11,FALSE)</f>
        <v>Els Vanhoe</v>
      </c>
      <c r="F222" s="10"/>
      <c r="G222" s="6"/>
      <c r="H222" s="6">
        <v>1</v>
      </c>
      <c r="I222" s="6"/>
      <c r="J222"/>
      <c r="K222"/>
      <c r="L222"/>
      <c r="M222"/>
      <c r="N222"/>
      <c r="O222"/>
      <c r="P222"/>
      <c r="Q222"/>
      <c r="R222"/>
      <c r="S222">
        <f>SUM(bron[[#This Row],[Januari]:[December]])</f>
        <v>1</v>
      </c>
      <c r="T222" s="3">
        <v>45693</v>
      </c>
      <c r="U222" s="8" t="s">
        <v>3082</v>
      </c>
      <c r="V222" s="8">
        <v>1</v>
      </c>
      <c r="W222" s="8"/>
      <c r="X222" t="s">
        <v>57</v>
      </c>
      <c r="Y222" t="s">
        <v>149</v>
      </c>
    </row>
    <row r="223" spans="1:25" x14ac:dyDescent="0.25">
      <c r="A223">
        <v>41162</v>
      </c>
      <c r="B223" t="e">
        <f>_xlfn.CONCAT([2]!bron[[#This Row],[personeelsnr]]," ",C223," ",D223)</f>
        <v>#REF!</v>
      </c>
      <c r="C223" t="str">
        <f>VLOOKUP(bron[[#This Row],[personeelsnr]],'data hastus'!$A:$C,2,0)</f>
        <v>Hoeckman</v>
      </c>
      <c r="D223" t="str">
        <f>VLOOKUP(bron[[#This Row],[personeelsnr]],'data hastus'!$A:$C,3,0)</f>
        <v>Jeroen</v>
      </c>
      <c r="E223" t="str">
        <f>VLOOKUP(bron[[#This Row],[personeelsnr]],'data hastus'!A:K,11,FALSE)</f>
        <v>Dominique De Clercq</v>
      </c>
      <c r="F223" s="10"/>
      <c r="G223" s="6"/>
      <c r="H223" s="6">
        <v>1</v>
      </c>
      <c r="I223" s="6"/>
      <c r="J223"/>
      <c r="K223"/>
      <c r="L223"/>
      <c r="M223"/>
      <c r="N223"/>
      <c r="O223"/>
      <c r="P223"/>
      <c r="Q223"/>
      <c r="R223"/>
      <c r="S223">
        <f>SUM(bron[[#This Row],[Januari]:[December]])</f>
        <v>1</v>
      </c>
      <c r="T223" s="3">
        <v>45693</v>
      </c>
      <c r="U223" s="8" t="s">
        <v>3080</v>
      </c>
      <c r="V223" s="8">
        <v>1</v>
      </c>
      <c r="W223" s="8"/>
      <c r="X223" t="s">
        <v>57</v>
      </c>
      <c r="Y223" t="s">
        <v>234</v>
      </c>
    </row>
    <row r="224" spans="1:25" x14ac:dyDescent="0.25">
      <c r="A224">
        <v>41092</v>
      </c>
      <c r="B224" t="e">
        <f>_xlfn.CONCAT([2]!bron[[#This Row],[personeelsnr]]," ",C224," ",D224)</f>
        <v>#REF!</v>
      </c>
      <c r="C224" t="str">
        <f>VLOOKUP(bron[[#This Row],[personeelsnr]],'data hastus'!$A:$C,2,0)</f>
        <v>De Keyser</v>
      </c>
      <c r="D224" t="str">
        <f>VLOOKUP(bron[[#This Row],[personeelsnr]],'data hastus'!$A:$C,3,0)</f>
        <v>Dorien</v>
      </c>
      <c r="E224" t="str">
        <f>VLOOKUP(bron[[#This Row],[personeelsnr]],'data hastus'!A:K,11,FALSE)</f>
        <v>Dominique De Clercq</v>
      </c>
      <c r="F224" s="10"/>
      <c r="G224" s="6"/>
      <c r="H224" s="6">
        <v>1</v>
      </c>
      <c r="I224" s="6"/>
      <c r="J224"/>
      <c r="K224"/>
      <c r="L224"/>
      <c r="M224"/>
      <c r="N224"/>
      <c r="O224"/>
      <c r="P224"/>
      <c r="Q224"/>
      <c r="R224"/>
      <c r="S224">
        <f>SUM(bron[[#This Row],[Januari]:[December]])</f>
        <v>1</v>
      </c>
      <c r="T224" s="3">
        <v>45693</v>
      </c>
      <c r="U224" s="8" t="s">
        <v>3068</v>
      </c>
      <c r="V224" s="8">
        <v>1</v>
      </c>
      <c r="W224" s="8"/>
      <c r="X224" t="s">
        <v>57</v>
      </c>
      <c r="Y224" t="s">
        <v>140</v>
      </c>
    </row>
    <row r="225" spans="1:25" x14ac:dyDescent="0.25">
      <c r="A225">
        <v>16545</v>
      </c>
      <c r="B225" t="e">
        <f>_xlfn.CONCAT([2]!bron[[#This Row],[personeelsnr]]," ",C225," ",D225)</f>
        <v>#REF!</v>
      </c>
      <c r="C225" t="str">
        <f>VLOOKUP(bron[[#This Row],[personeelsnr]],'data hastus'!$A:$C,2,0)</f>
        <v>Toch</v>
      </c>
      <c r="D225" t="str">
        <f>VLOOKUP(bron[[#This Row],[personeelsnr]],'data hastus'!$A:$C,3,0)</f>
        <v>Erwin</v>
      </c>
      <c r="E225" t="str">
        <f>VLOOKUP(bron[[#This Row],[personeelsnr]],'data hastus'!A:K,11,FALSE)</f>
        <v>Bart Van Der Beken</v>
      </c>
      <c r="F225" s="10"/>
      <c r="G225" s="6"/>
      <c r="H225" s="6">
        <v>1</v>
      </c>
      <c r="I225" s="6"/>
      <c r="J225"/>
      <c r="K225"/>
      <c r="L225"/>
      <c r="M225"/>
      <c r="N225"/>
      <c r="O225"/>
      <c r="P225"/>
      <c r="Q225"/>
      <c r="R225"/>
      <c r="S225">
        <f>SUM(bron[[#This Row],[Januari]:[December]])</f>
        <v>1</v>
      </c>
      <c r="T225" s="3">
        <v>45691</v>
      </c>
      <c r="U225" s="8" t="s">
        <v>3081</v>
      </c>
      <c r="V225" s="8">
        <v>1</v>
      </c>
      <c r="W225" s="8"/>
      <c r="X225" t="s">
        <v>57</v>
      </c>
      <c r="Y225" t="s">
        <v>28</v>
      </c>
    </row>
    <row r="226" spans="1:25" x14ac:dyDescent="0.25">
      <c r="A226">
        <v>21424</v>
      </c>
      <c r="B226" t="e">
        <f>_xlfn.CONCAT([2]!bron[[#This Row],[personeelsnr]]," ",C226," ",D226)</f>
        <v>#REF!</v>
      </c>
      <c r="C226" t="str">
        <f>VLOOKUP(bron[[#This Row],[personeelsnr]],'data hastus'!$A:$C,2,0)</f>
        <v>Verstichel</v>
      </c>
      <c r="D226" t="str">
        <f>VLOOKUP(bron[[#This Row],[personeelsnr]],'data hastus'!$A:$C,3,0)</f>
        <v>Jethro</v>
      </c>
      <c r="E226" t="str">
        <f>VLOOKUP(bron[[#This Row],[personeelsnr]],'data hastus'!A:K,11,FALSE)</f>
        <v>Els Dewulf</v>
      </c>
      <c r="F226" s="10"/>
      <c r="G226" s="6"/>
      <c r="H226" s="6">
        <v>1</v>
      </c>
      <c r="I226" s="6"/>
      <c r="J226"/>
      <c r="K226"/>
      <c r="L226"/>
      <c r="M226"/>
      <c r="N226"/>
      <c r="O226"/>
      <c r="P226"/>
      <c r="Q226"/>
      <c r="R226"/>
      <c r="S226">
        <f>SUM(bron[[#This Row],[Januari]:[December]])</f>
        <v>1</v>
      </c>
      <c r="T226" s="3">
        <v>45691</v>
      </c>
      <c r="U226" s="8" t="s">
        <v>3078</v>
      </c>
      <c r="V226" s="8">
        <v>1</v>
      </c>
      <c r="W226" s="8"/>
      <c r="X226" t="s">
        <v>57</v>
      </c>
      <c r="Y226" t="s">
        <v>95</v>
      </c>
    </row>
    <row r="227" spans="1:25" x14ac:dyDescent="0.25">
      <c r="A227">
        <v>9999</v>
      </c>
      <c r="B227" t="str">
        <f>_xlfn.CONCAT([2]!bron[[#This Row],[personeelsnr]]," ",C227," ",D227)</f>
        <v>9999 - -</v>
      </c>
      <c r="C227" t="s">
        <v>2919</v>
      </c>
      <c r="D227" t="s">
        <v>2919</v>
      </c>
      <c r="E227" t="s">
        <v>810</v>
      </c>
      <c r="F227" s="10"/>
      <c r="G227" s="6"/>
      <c r="H227" s="6">
        <v>1</v>
      </c>
      <c r="I227" s="6"/>
      <c r="J227"/>
      <c r="K227"/>
      <c r="L227"/>
      <c r="M227"/>
      <c r="N227"/>
      <c r="O227"/>
      <c r="P227"/>
      <c r="Q227"/>
      <c r="R227"/>
      <c r="S227">
        <f>SUM(bron[[#This Row],[Januari]:[December]])</f>
        <v>1</v>
      </c>
      <c r="T227" s="3">
        <v>45691</v>
      </c>
      <c r="U227" s="8" t="s">
        <v>789</v>
      </c>
      <c r="V227" s="8">
        <v>1</v>
      </c>
      <c r="W227" s="8"/>
      <c r="X227" t="s">
        <v>57</v>
      </c>
      <c r="Y227" t="s">
        <v>199</v>
      </c>
    </row>
    <row r="228" spans="1:25" x14ac:dyDescent="0.25">
      <c r="A228">
        <v>12514</v>
      </c>
      <c r="B228" t="e">
        <f>_xlfn.CONCAT([2]!bron[[#This Row],[personeelsnr]]," ",C228," ",D228)</f>
        <v>#REF!</v>
      </c>
      <c r="C228" t="str">
        <f>VLOOKUP(bron[[#This Row],[personeelsnr]],'data hastus'!$A:$C,2,0)</f>
        <v>De Smet</v>
      </c>
      <c r="D228" t="str">
        <f>VLOOKUP(bron[[#This Row],[personeelsnr]],'data hastus'!$A:$C,3,0)</f>
        <v>Kenneth</v>
      </c>
      <c r="E228" t="str">
        <f>VLOOKUP(bron[[#This Row],[personeelsnr]],'data hastus'!A:K,11,FALSE)</f>
        <v>Lucie Vande Velde</v>
      </c>
      <c r="F228" s="10"/>
      <c r="G228" s="6"/>
      <c r="H228" s="6">
        <v>1</v>
      </c>
      <c r="I228" s="6"/>
      <c r="J228"/>
      <c r="K228"/>
      <c r="L228"/>
      <c r="M228"/>
      <c r="N228"/>
      <c r="O228"/>
      <c r="P228"/>
      <c r="Q228"/>
      <c r="R228"/>
      <c r="S228">
        <f>SUM(bron[[#This Row],[Januari]:[December]])</f>
        <v>1</v>
      </c>
      <c r="T228" s="3">
        <v>45691</v>
      </c>
      <c r="U228" s="8" t="s">
        <v>3067</v>
      </c>
      <c r="V228" s="8"/>
      <c r="W228" s="8">
        <v>1</v>
      </c>
      <c r="X228" t="s">
        <v>58</v>
      </c>
      <c r="Y228" t="s">
        <v>60</v>
      </c>
    </row>
    <row r="229" spans="1:25" x14ac:dyDescent="0.25">
      <c r="A229">
        <v>37496</v>
      </c>
      <c r="B229" t="e">
        <f>_xlfn.CONCAT([2]!bron[[#This Row],[personeelsnr]]," ",C229," ",D229)</f>
        <v>#REF!</v>
      </c>
      <c r="C229" t="str">
        <f>VLOOKUP(bron[[#This Row],[personeelsnr]],'data hastus'!$A:$C,2,0)</f>
        <v>Oosterlinck</v>
      </c>
      <c r="D229" t="str">
        <f>VLOOKUP(bron[[#This Row],[personeelsnr]],'data hastus'!$A:$C,3,0)</f>
        <v>Willy</v>
      </c>
      <c r="E229" t="str">
        <f>VLOOKUP(bron[[#This Row],[personeelsnr]],'data hastus'!A:K,11,FALSE)</f>
        <v>Dominique De Clercq</v>
      </c>
      <c r="F229" s="10"/>
      <c r="G229" s="6"/>
      <c r="H229" s="6">
        <v>1</v>
      </c>
      <c r="I229" s="6"/>
      <c r="J229"/>
      <c r="K229"/>
      <c r="L229"/>
      <c r="M229"/>
      <c r="N229"/>
      <c r="O229"/>
      <c r="P229"/>
      <c r="Q229"/>
      <c r="R229"/>
      <c r="S229">
        <f>SUM(bron[[#This Row],[Januari]:[December]])</f>
        <v>1</v>
      </c>
      <c r="T229" s="3">
        <v>45690</v>
      </c>
      <c r="U229" s="8" t="s">
        <v>3063</v>
      </c>
      <c r="V229" s="8"/>
      <c r="W229" s="8">
        <v>1</v>
      </c>
      <c r="X229" t="s">
        <v>58</v>
      </c>
      <c r="Y229" t="s">
        <v>19</v>
      </c>
    </row>
    <row r="230" spans="1:25" x14ac:dyDescent="0.25">
      <c r="A230">
        <v>39532</v>
      </c>
      <c r="B230" t="e">
        <f>_xlfn.CONCAT([2]!bron[[#This Row],[personeelsnr]]," ",C230," ",D230)</f>
        <v>#REF!</v>
      </c>
      <c r="C230" t="str">
        <f>VLOOKUP(bron[[#This Row],[personeelsnr]],'data hastus'!$A:$C,2,0)</f>
        <v>Sahin</v>
      </c>
      <c r="D230" t="str">
        <f>VLOOKUP(bron[[#This Row],[personeelsnr]],'data hastus'!$A:$C,3,0)</f>
        <v>Orhan</v>
      </c>
      <c r="E230" t="str">
        <f>VLOOKUP(bron[[#This Row],[personeelsnr]],'data hastus'!A:K,11,FALSE)</f>
        <v>Christoff Rotty</v>
      </c>
      <c r="G230" s="6"/>
      <c r="H230" s="6">
        <v>1</v>
      </c>
      <c r="I230" s="6"/>
      <c r="J230"/>
      <c r="K230"/>
      <c r="L230"/>
      <c r="M230"/>
      <c r="N230"/>
      <c r="O230"/>
      <c r="P230"/>
      <c r="Q230"/>
      <c r="R230"/>
      <c r="S230">
        <f>SUM(bron[[#This Row],[Januari]:[December]])</f>
        <v>1</v>
      </c>
      <c r="T230" s="3">
        <v>45689</v>
      </c>
      <c r="U230" s="8" t="s">
        <v>3090</v>
      </c>
      <c r="V230" s="8">
        <v>1</v>
      </c>
      <c r="W230" s="8"/>
      <c r="X230" t="s">
        <v>57</v>
      </c>
      <c r="Y230" t="s">
        <v>21</v>
      </c>
    </row>
    <row r="231" spans="1:25" x14ac:dyDescent="0.25">
      <c r="A231">
        <v>36663</v>
      </c>
      <c r="B231" t="e">
        <f>_xlfn.CONCAT([2]!bron[[#This Row],[personeelsnr]]," ",C231," ",D231)</f>
        <v>#REF!</v>
      </c>
      <c r="C231" t="str">
        <f>VLOOKUP(bron[[#This Row],[personeelsnr]],'data hastus'!$A:$C,2,0)</f>
        <v>Cesmeli</v>
      </c>
      <c r="D231" t="str">
        <f>VLOOKUP(bron[[#This Row],[personeelsnr]],'data hastus'!$A:$C,3,0)</f>
        <v>Achraf</v>
      </c>
      <c r="E231" t="str">
        <f>VLOOKUP(bron[[#This Row],[personeelsnr]],'data hastus'!A:K,11,FALSE)</f>
        <v>Dominique De Clercq</v>
      </c>
      <c r="F231" s="10"/>
      <c r="G231" s="6">
        <v>1</v>
      </c>
      <c r="H231" s="6"/>
      <c r="I231" s="6"/>
      <c r="J231"/>
      <c r="K231"/>
      <c r="L231"/>
      <c r="M231"/>
      <c r="N231"/>
      <c r="O231"/>
      <c r="P231"/>
      <c r="Q231"/>
      <c r="R231"/>
      <c r="S231">
        <f>SUM(bron[[#This Row],[Januari]:[December]])</f>
        <v>1</v>
      </c>
      <c r="T231" s="3">
        <v>45688</v>
      </c>
      <c r="U231" s="8" t="s">
        <v>2932</v>
      </c>
      <c r="V231" s="8">
        <v>1</v>
      </c>
      <c r="W231" s="8"/>
      <c r="X231" t="s">
        <v>57</v>
      </c>
      <c r="Y231" t="s">
        <v>21</v>
      </c>
    </row>
    <row r="232" spans="1:25" x14ac:dyDescent="0.25">
      <c r="A232">
        <v>40652</v>
      </c>
      <c r="B232" t="e">
        <f>_xlfn.CONCAT([2]!bron[[#This Row],[personeelsnr]]," ",C232," ",D232)</f>
        <v>#REF!</v>
      </c>
      <c r="C232" t="str">
        <f>VLOOKUP(bron[[#This Row],[personeelsnr]],'data hastus'!$A:$C,2,0)</f>
        <v>Van Damme</v>
      </c>
      <c r="D232" t="str">
        <f>VLOOKUP(bron[[#This Row],[personeelsnr]],'data hastus'!$A:$C,3,0)</f>
        <v>Gilyann</v>
      </c>
      <c r="E232" t="str">
        <f>VLOOKUP(bron[[#This Row],[personeelsnr]],'data hastus'!A:K,11,FALSE)</f>
        <v>Els Vanhoe</v>
      </c>
      <c r="F232" s="10"/>
      <c r="G232" s="6">
        <v>1</v>
      </c>
      <c r="H232" s="6"/>
      <c r="I232" s="6"/>
      <c r="J232"/>
      <c r="K232"/>
      <c r="L232"/>
      <c r="M232"/>
      <c r="N232"/>
      <c r="O232"/>
      <c r="P232"/>
      <c r="Q232"/>
      <c r="R232"/>
      <c r="S232">
        <f>SUM(bron[[#This Row],[Januari]:[December]])</f>
        <v>1</v>
      </c>
      <c r="T232" s="3">
        <v>45687</v>
      </c>
      <c r="U232" s="8" t="s">
        <v>2927</v>
      </c>
      <c r="V232" s="8">
        <v>1</v>
      </c>
      <c r="W232" s="8"/>
      <c r="X232" t="s">
        <v>57</v>
      </c>
      <c r="Y232" t="s">
        <v>106</v>
      </c>
    </row>
    <row r="233" spans="1:25" x14ac:dyDescent="0.25">
      <c r="A233">
        <v>33640</v>
      </c>
      <c r="B233" t="e">
        <f>_xlfn.CONCAT([2]!bron[[#This Row],[personeelsnr]]," ",C233," ",D233)</f>
        <v>#REF!</v>
      </c>
      <c r="C233" t="str">
        <f>VLOOKUP(bron[[#This Row],[personeelsnr]],'data hastus'!$A:$C,2,0)</f>
        <v>Verschraegen</v>
      </c>
      <c r="D233" t="str">
        <f>VLOOKUP(bron[[#This Row],[personeelsnr]],'data hastus'!$A:$C,3,0)</f>
        <v>Patrick</v>
      </c>
      <c r="E233" t="str">
        <f>VLOOKUP(bron[[#This Row],[personeelsnr]],'data hastus'!A:K,11,FALSE)</f>
        <v>Steven Storm</v>
      </c>
      <c r="F233" s="10"/>
      <c r="G233" s="6">
        <v>1</v>
      </c>
      <c r="H233" s="6"/>
      <c r="I233" s="6"/>
      <c r="J233"/>
      <c r="K233"/>
      <c r="L233"/>
      <c r="M233"/>
      <c r="N233"/>
      <c r="O233"/>
      <c r="P233"/>
      <c r="Q233"/>
      <c r="R233"/>
      <c r="S233">
        <f>SUM(bron[[#This Row],[Januari]:[December]])</f>
        <v>1</v>
      </c>
      <c r="T233" s="3">
        <v>45686</v>
      </c>
      <c r="U233" s="8" t="s">
        <v>3035</v>
      </c>
      <c r="V233" s="8">
        <v>1</v>
      </c>
      <c r="W233" s="8"/>
      <c r="X233" t="s">
        <v>57</v>
      </c>
      <c r="Y233" t="s">
        <v>174</v>
      </c>
    </row>
    <row r="234" spans="1:25" x14ac:dyDescent="0.25">
      <c r="A234">
        <v>19249</v>
      </c>
      <c r="B234" t="e">
        <f>_xlfn.CONCAT([2]!bron[[#This Row],[personeelsnr]]," ",C234," ",D234)</f>
        <v>#REF!</v>
      </c>
      <c r="C234" t="str">
        <f>VLOOKUP(bron[[#This Row],[personeelsnr]],'data hastus'!$A:$C,2,0)</f>
        <v>Odaci</v>
      </c>
      <c r="D234" t="str">
        <f>VLOOKUP(bron[[#This Row],[personeelsnr]],'data hastus'!$A:$C,3,0)</f>
        <v>Kadir</v>
      </c>
      <c r="E234" t="str">
        <f>VLOOKUP(bron[[#This Row],[personeelsnr]],'data hastus'!A:K,11,FALSE)</f>
        <v>Lucie Vande Velde</v>
      </c>
      <c r="F234" s="10"/>
      <c r="G234" s="6">
        <v>1</v>
      </c>
      <c r="H234" s="6"/>
      <c r="I234" s="6"/>
      <c r="J234"/>
      <c r="K234"/>
      <c r="L234"/>
      <c r="M234"/>
      <c r="N234"/>
      <c r="O234"/>
      <c r="P234"/>
      <c r="Q234"/>
      <c r="R234"/>
      <c r="S234">
        <f>SUM(bron[[#This Row],[Januari]:[December]])</f>
        <v>1</v>
      </c>
      <c r="T234" s="3">
        <v>45686</v>
      </c>
      <c r="U234" s="8" t="s">
        <v>3029</v>
      </c>
      <c r="V234" s="8"/>
      <c r="W234" s="8">
        <v>1</v>
      </c>
      <c r="X234" t="s">
        <v>58</v>
      </c>
      <c r="Y234" t="s">
        <v>97</v>
      </c>
    </row>
    <row r="235" spans="1:25" x14ac:dyDescent="0.25">
      <c r="A235">
        <v>21424</v>
      </c>
      <c r="B235" t="e">
        <f>_xlfn.CONCAT([2]!bron[[#This Row],[personeelsnr]]," ",C235," ",D235)</f>
        <v>#REF!</v>
      </c>
      <c r="C235" t="str">
        <f>VLOOKUP(bron[[#This Row],[personeelsnr]],'data hastus'!$A:$C,2,0)</f>
        <v>Verstichel</v>
      </c>
      <c r="D235" t="str">
        <f>VLOOKUP(bron[[#This Row],[personeelsnr]],'data hastus'!$A:$C,3,0)</f>
        <v>Jethro</v>
      </c>
      <c r="E235" t="str">
        <f>VLOOKUP(bron[[#This Row],[personeelsnr]],'data hastus'!A:K,11,FALSE)</f>
        <v>Els Dewulf</v>
      </c>
      <c r="F235" s="10"/>
      <c r="G235" s="6">
        <v>1</v>
      </c>
      <c r="H235" s="6"/>
      <c r="I235" s="6"/>
      <c r="J235"/>
      <c r="K235"/>
      <c r="L235"/>
      <c r="M235"/>
      <c r="N235"/>
      <c r="O235"/>
      <c r="P235"/>
      <c r="Q235"/>
      <c r="R235"/>
      <c r="S235">
        <f>SUM(bron[[#This Row],[Januari]:[December]])</f>
        <v>1</v>
      </c>
      <c r="T235" s="3">
        <v>45686</v>
      </c>
      <c r="U235" s="8" t="s">
        <v>3032</v>
      </c>
      <c r="V235" s="8"/>
      <c r="W235" s="8">
        <v>1</v>
      </c>
      <c r="X235" t="s">
        <v>58</v>
      </c>
      <c r="Y235" t="s">
        <v>25</v>
      </c>
    </row>
    <row r="236" spans="1:25" x14ac:dyDescent="0.25">
      <c r="A236">
        <v>35491</v>
      </c>
      <c r="B236" t="e">
        <f>_xlfn.CONCAT([2]!bron[[#This Row],[personeelsnr]]," ",C236," ",D236)</f>
        <v>#REF!</v>
      </c>
      <c r="C236" t="str">
        <f>VLOOKUP(bron[[#This Row],[personeelsnr]],'data hastus'!$A:$C,2,0)</f>
        <v>Toubadie</v>
      </c>
      <c r="D236" t="str">
        <f>VLOOKUP(bron[[#This Row],[personeelsnr]],'data hastus'!$A:$C,3,0)</f>
        <v>Zakaria</v>
      </c>
      <c r="E236" t="str">
        <f>VLOOKUP(bron[[#This Row],[personeelsnr]],'data hastus'!A:K,11,FALSE)</f>
        <v>Els Vanhoe</v>
      </c>
      <c r="F236" s="10"/>
      <c r="G236" s="6">
        <v>1</v>
      </c>
      <c r="H236" s="6"/>
      <c r="I236" s="6"/>
      <c r="J236"/>
      <c r="K236"/>
      <c r="L236"/>
      <c r="M236"/>
      <c r="N236"/>
      <c r="O236"/>
      <c r="P236"/>
      <c r="Q236"/>
      <c r="R236"/>
      <c r="S236">
        <f>SUM(bron[[#This Row],[Januari]:[December]])</f>
        <v>1</v>
      </c>
      <c r="T236" s="3">
        <v>45685</v>
      </c>
      <c r="U236" s="8" t="s">
        <v>2934</v>
      </c>
      <c r="V236" s="8">
        <v>1</v>
      </c>
      <c r="W236" s="8"/>
      <c r="X236" t="s">
        <v>57</v>
      </c>
      <c r="Y236" t="s">
        <v>26</v>
      </c>
    </row>
    <row r="237" spans="1:25" x14ac:dyDescent="0.25">
      <c r="A237">
        <v>40138</v>
      </c>
      <c r="B237" t="e">
        <f>_xlfn.CONCAT([2]!bron[[#This Row],[personeelsnr]]," ",C237," ",D237)</f>
        <v>#REF!</v>
      </c>
      <c r="C237" t="str">
        <f>VLOOKUP(bron[[#This Row],[personeelsnr]],'data hastus'!$A:$C,2,0)</f>
        <v>Moerman</v>
      </c>
      <c r="D237" t="str">
        <f>VLOOKUP(bron[[#This Row],[personeelsnr]],'data hastus'!$A:$C,3,0)</f>
        <v>Tjimmy</v>
      </c>
      <c r="E237" t="str">
        <f>VLOOKUP(bron[[#This Row],[personeelsnr]],'data hastus'!A:K,11,FALSE)</f>
        <v>Christoff Rotty</v>
      </c>
      <c r="F237" s="10"/>
      <c r="G237" s="6">
        <v>1</v>
      </c>
      <c r="H237" s="6"/>
      <c r="I237" s="6"/>
      <c r="J237"/>
      <c r="K237"/>
      <c r="L237"/>
      <c r="M237"/>
      <c r="N237"/>
      <c r="O237"/>
      <c r="P237"/>
      <c r="Q237"/>
      <c r="R237"/>
      <c r="S237">
        <f>SUM(bron[[#This Row],[Januari]:[December]])</f>
        <v>1</v>
      </c>
      <c r="T237" s="3">
        <v>45685</v>
      </c>
      <c r="U237" s="8" t="s">
        <v>3033</v>
      </c>
      <c r="V237" s="8">
        <v>1</v>
      </c>
      <c r="W237" s="8"/>
      <c r="X237" t="s">
        <v>57</v>
      </c>
      <c r="Y237" t="s">
        <v>22</v>
      </c>
    </row>
    <row r="238" spans="1:25" x14ac:dyDescent="0.25">
      <c r="A238">
        <v>36663</v>
      </c>
      <c r="B238" t="e">
        <f>_xlfn.CONCAT([2]!bron[[#This Row],[personeelsnr]]," ",C238," ",D238)</f>
        <v>#REF!</v>
      </c>
      <c r="C238" t="str">
        <f>VLOOKUP(bron[[#This Row],[personeelsnr]],'data hastus'!$A:$C,2,0)</f>
        <v>Cesmeli</v>
      </c>
      <c r="D238" t="str">
        <f>VLOOKUP(bron[[#This Row],[personeelsnr]],'data hastus'!$A:$C,3,0)</f>
        <v>Achraf</v>
      </c>
      <c r="E238" t="str">
        <f>VLOOKUP(bron[[#This Row],[personeelsnr]],'data hastus'!A:K,11,FALSE)</f>
        <v>Dominique De Clercq</v>
      </c>
      <c r="F238" s="10"/>
      <c r="G238" s="6">
        <v>1</v>
      </c>
      <c r="H238" s="6"/>
      <c r="I238" s="6"/>
      <c r="J238"/>
      <c r="K238"/>
      <c r="L238"/>
      <c r="M238"/>
      <c r="N238"/>
      <c r="O238"/>
      <c r="P238"/>
      <c r="Q238"/>
      <c r="R238"/>
      <c r="S238">
        <f>SUM(bron[[#This Row],[Januari]:[December]])</f>
        <v>1</v>
      </c>
      <c r="T238" s="3">
        <v>45684</v>
      </c>
      <c r="U238" s="8" t="s">
        <v>2938</v>
      </c>
      <c r="V238" s="8">
        <v>1</v>
      </c>
      <c r="W238" s="8"/>
      <c r="X238" t="s">
        <v>57</v>
      </c>
      <c r="Y238" t="s">
        <v>34</v>
      </c>
    </row>
    <row r="239" spans="1:25" x14ac:dyDescent="0.25">
      <c r="A239">
        <v>13398</v>
      </c>
      <c r="B239" t="e">
        <f>_xlfn.CONCAT([2]!bron[[#This Row],[personeelsnr]]," ",C239," ",D239)</f>
        <v>#REF!</v>
      </c>
      <c r="C239" t="str">
        <f>VLOOKUP(bron[[#This Row],[personeelsnr]],'data hastus'!$A:$C,2,0)</f>
        <v>Kirdas</v>
      </c>
      <c r="D239" t="str">
        <f>VLOOKUP(bron[[#This Row],[personeelsnr]],'data hastus'!$A:$C,3,0)</f>
        <v>Ramazan</v>
      </c>
      <c r="E239" t="str">
        <f>VLOOKUP(bron[[#This Row],[personeelsnr]],'data hastus'!A:K,11,FALSE)</f>
        <v>Dominique De Clercq</v>
      </c>
      <c r="F239" s="10"/>
      <c r="G239" s="6">
        <v>1</v>
      </c>
      <c r="H239" s="6"/>
      <c r="I239" s="6"/>
      <c r="J239"/>
      <c r="K239"/>
      <c r="L239"/>
      <c r="M239"/>
      <c r="N239"/>
      <c r="O239"/>
      <c r="P239"/>
      <c r="Q239"/>
      <c r="R239"/>
      <c r="S239">
        <f>SUM(bron[[#This Row],[Januari]:[December]])</f>
        <v>1</v>
      </c>
      <c r="T239" s="3">
        <v>45681</v>
      </c>
      <c r="U239" s="8" t="s">
        <v>3037</v>
      </c>
      <c r="V239" s="8"/>
      <c r="W239" s="8">
        <v>1</v>
      </c>
      <c r="X239" t="s">
        <v>58</v>
      </c>
      <c r="Y239" t="s">
        <v>96</v>
      </c>
    </row>
    <row r="240" spans="1:25" x14ac:dyDescent="0.25">
      <c r="A240">
        <v>35395</v>
      </c>
      <c r="B240" t="e">
        <f>_xlfn.CONCAT([2]!bron[[#This Row],[personeelsnr]]," ",C240," ",D240)</f>
        <v>#REF!</v>
      </c>
      <c r="C240" t="str">
        <f>VLOOKUP(bron[[#This Row],[personeelsnr]],'data hastus'!$A:$C,2,0)</f>
        <v>Limbourg</v>
      </c>
      <c r="D240" t="str">
        <f>VLOOKUP(bron[[#This Row],[personeelsnr]],'data hastus'!$A:$C,3,0)</f>
        <v>Heidi</v>
      </c>
      <c r="E240" t="str">
        <f>VLOOKUP(bron[[#This Row],[personeelsnr]],'data hastus'!A:K,11,FALSE)</f>
        <v>Steven Storm</v>
      </c>
      <c r="F240" s="10"/>
      <c r="G240" s="6">
        <v>1</v>
      </c>
      <c r="H240" s="6"/>
      <c r="I240" s="6"/>
      <c r="J240"/>
      <c r="K240"/>
      <c r="L240"/>
      <c r="M240"/>
      <c r="N240"/>
      <c r="O240"/>
      <c r="P240"/>
      <c r="Q240"/>
      <c r="R240"/>
      <c r="S240">
        <f>SUM(bron[[#This Row],[Januari]:[December]])</f>
        <v>1</v>
      </c>
      <c r="T240" s="3">
        <v>45680</v>
      </c>
      <c r="U240" s="8" t="s">
        <v>3038</v>
      </c>
      <c r="V240" s="8"/>
      <c r="W240" s="8">
        <v>1</v>
      </c>
      <c r="X240" t="s">
        <v>58</v>
      </c>
      <c r="Y240" t="s">
        <v>31</v>
      </c>
    </row>
    <row r="241" spans="1:25" x14ac:dyDescent="0.25">
      <c r="A241">
        <v>31360</v>
      </c>
      <c r="B241" t="e">
        <f>_xlfn.CONCAT([2]!bron[[#This Row],[personeelsnr]]," ",C241," ",D241)</f>
        <v>#REF!</v>
      </c>
      <c r="C241" t="str">
        <f>VLOOKUP(bron[[#This Row],[personeelsnr]],'data hastus'!$A:$C,2,0)</f>
        <v>Simsek</v>
      </c>
      <c r="D241" t="str">
        <f>VLOOKUP(bron[[#This Row],[personeelsnr]],'data hastus'!$A:$C,3,0)</f>
        <v>Fatih</v>
      </c>
      <c r="E241" t="str">
        <f>VLOOKUP(bron[[#This Row],[personeelsnr]],'data hastus'!A:K,11,FALSE)</f>
        <v>Dominique De Clercq</v>
      </c>
      <c r="F241" s="10"/>
      <c r="G241" s="6">
        <v>1</v>
      </c>
      <c r="H241" s="6"/>
      <c r="I241" s="6"/>
      <c r="J241"/>
      <c r="K241"/>
      <c r="L241"/>
      <c r="M241"/>
      <c r="N241"/>
      <c r="O241"/>
      <c r="P241"/>
      <c r="Q241"/>
      <c r="R241"/>
      <c r="S241">
        <f>SUM(bron[[#This Row],[Januari]:[December]])</f>
        <v>1</v>
      </c>
      <c r="T241" s="3">
        <v>45680</v>
      </c>
      <c r="U241" s="8" t="s">
        <v>3036</v>
      </c>
      <c r="V241" s="8"/>
      <c r="W241" s="8">
        <v>1</v>
      </c>
      <c r="X241" t="s">
        <v>58</v>
      </c>
      <c r="Y241" t="s">
        <v>97</v>
      </c>
    </row>
    <row r="242" spans="1:25" x14ac:dyDescent="0.25">
      <c r="A242">
        <v>39660</v>
      </c>
      <c r="B242" t="e">
        <f>_xlfn.CONCAT([2]!bron[[#This Row],[personeelsnr]]," ",C242," ",D242)</f>
        <v>#REF!</v>
      </c>
      <c r="C242" t="str">
        <f>VLOOKUP(bron[[#This Row],[personeelsnr]],'data hastus'!$A:$C,2,0)</f>
        <v>Lloyd</v>
      </c>
      <c r="D242" t="str">
        <f>VLOOKUP(bron[[#This Row],[personeelsnr]],'data hastus'!$A:$C,3,0)</f>
        <v>Glenn</v>
      </c>
      <c r="E242" t="str">
        <f>VLOOKUP(bron[[#This Row],[personeelsnr]],'data hastus'!A:K,11,FALSE)</f>
        <v>Bart Van Der Beken</v>
      </c>
      <c r="F242" s="10"/>
      <c r="G242" s="6">
        <v>1</v>
      </c>
      <c r="H242" s="6"/>
      <c r="I242" s="6"/>
      <c r="J242"/>
      <c r="K242"/>
      <c r="L242"/>
      <c r="M242"/>
      <c r="N242"/>
      <c r="O242"/>
      <c r="P242"/>
      <c r="Q242"/>
      <c r="R242"/>
      <c r="S242">
        <f>SUM(bron[[#This Row],[Januari]:[December]])</f>
        <v>1</v>
      </c>
      <c r="T242" s="3">
        <v>45679</v>
      </c>
      <c r="U242" s="8" t="s">
        <v>2936</v>
      </c>
      <c r="V242" s="8">
        <v>1</v>
      </c>
      <c r="W242" s="8"/>
      <c r="X242" t="s">
        <v>57</v>
      </c>
      <c r="Y242" t="s">
        <v>53</v>
      </c>
    </row>
    <row r="243" spans="1:25" x14ac:dyDescent="0.25">
      <c r="A243">
        <v>41162</v>
      </c>
      <c r="B243" t="e">
        <f>_xlfn.CONCAT([2]!bron[[#This Row],[personeelsnr]]," ",C243," ",D243)</f>
        <v>#REF!</v>
      </c>
      <c r="C243" t="str">
        <f>VLOOKUP(bron[[#This Row],[personeelsnr]],'data hastus'!$A:$C,2,0)</f>
        <v>Hoeckman</v>
      </c>
      <c r="D243" t="str">
        <f>VLOOKUP(bron[[#This Row],[personeelsnr]],'data hastus'!$A:$C,3,0)</f>
        <v>Jeroen</v>
      </c>
      <c r="E243" t="str">
        <f>VLOOKUP(bron[[#This Row],[personeelsnr]],'data hastus'!A:K,11,FALSE)</f>
        <v>Dominique De Clercq</v>
      </c>
      <c r="F243" s="10"/>
      <c r="G243" s="6">
        <v>1</v>
      </c>
      <c r="H243" s="6"/>
      <c r="I243" s="6"/>
      <c r="J243"/>
      <c r="K243"/>
      <c r="L243"/>
      <c r="M243"/>
      <c r="N243"/>
      <c r="O243"/>
      <c r="P243"/>
      <c r="Q243"/>
      <c r="R243"/>
      <c r="S243">
        <f>SUM(bron[[#This Row],[Januari]:[December]])</f>
        <v>1</v>
      </c>
      <c r="T243" s="3">
        <v>45679</v>
      </c>
      <c r="U243" s="8" t="s">
        <v>3043</v>
      </c>
      <c r="V243" s="8">
        <v>1</v>
      </c>
      <c r="W243" s="8"/>
      <c r="X243" t="s">
        <v>57</v>
      </c>
      <c r="Y243" t="s">
        <v>87</v>
      </c>
    </row>
    <row r="244" spans="1:25" x14ac:dyDescent="0.25">
      <c r="A244">
        <v>34351</v>
      </c>
      <c r="B244" t="e">
        <f>_xlfn.CONCAT([2]!bron[[#This Row],[personeelsnr]]," ",C244," ",D244)</f>
        <v>#REF!</v>
      </c>
      <c r="C244" t="str">
        <f>VLOOKUP(bron[[#This Row],[personeelsnr]],'data hastus'!$A:$C,2,0)</f>
        <v>Callant</v>
      </c>
      <c r="D244" t="str">
        <f>VLOOKUP(bron[[#This Row],[personeelsnr]],'data hastus'!$A:$C,3,0)</f>
        <v>Dieter</v>
      </c>
      <c r="E244" t="str">
        <f>VLOOKUP(bron[[#This Row],[personeelsnr]],'data hastus'!A:K,11,FALSE)</f>
        <v>Els Vanhoe</v>
      </c>
      <c r="F244" s="10"/>
      <c r="G244" s="6">
        <v>1</v>
      </c>
      <c r="H244" s="6"/>
      <c r="I244" s="6"/>
      <c r="J244"/>
      <c r="K244"/>
      <c r="L244"/>
      <c r="M244"/>
      <c r="N244"/>
      <c r="O244"/>
      <c r="P244"/>
      <c r="Q244"/>
      <c r="R244"/>
      <c r="S244">
        <f>SUM(bron[[#This Row],[Januari]:[December]])</f>
        <v>1</v>
      </c>
      <c r="T244" s="3">
        <v>45679</v>
      </c>
      <c r="U244" s="8" t="s">
        <v>3040</v>
      </c>
      <c r="V244" s="8"/>
      <c r="W244" s="8">
        <v>1</v>
      </c>
      <c r="X244" t="s">
        <v>58</v>
      </c>
      <c r="Y244" t="s">
        <v>76</v>
      </c>
    </row>
    <row r="245" spans="1:25" x14ac:dyDescent="0.25">
      <c r="A245">
        <v>21581</v>
      </c>
      <c r="B245" t="e">
        <f>_xlfn.CONCAT([2]!bron[[#This Row],[personeelsnr]]," ",C245," ",D245)</f>
        <v>#REF!</v>
      </c>
      <c r="C245" t="str">
        <f>VLOOKUP(bron[[#This Row],[personeelsnr]],'data hastus'!$A:$C,2,0)</f>
        <v>Vanderstraeten</v>
      </c>
      <c r="D245" t="str">
        <f>VLOOKUP(bron[[#This Row],[personeelsnr]],'data hastus'!$A:$C,3,0)</f>
        <v>Franky</v>
      </c>
      <c r="E245" t="str">
        <f>VLOOKUP(bron[[#This Row],[personeelsnr]],'data hastus'!A:K,11,FALSE)</f>
        <v>Lucie Vande Velde</v>
      </c>
      <c r="F245" s="10"/>
      <c r="G245" s="6">
        <v>1</v>
      </c>
      <c r="H245" s="6"/>
      <c r="I245" s="6"/>
      <c r="J245"/>
      <c r="K245"/>
      <c r="L245"/>
      <c r="M245"/>
      <c r="N245"/>
      <c r="O245"/>
      <c r="P245"/>
      <c r="Q245"/>
      <c r="R245"/>
      <c r="S245">
        <f>SUM(bron[[#This Row],[Januari]:[December]])</f>
        <v>1</v>
      </c>
      <c r="T245" s="3">
        <v>45678</v>
      </c>
      <c r="U245" s="8" t="s">
        <v>2929</v>
      </c>
      <c r="V245" s="8">
        <v>1</v>
      </c>
      <c r="W245" s="8"/>
      <c r="X245" t="s">
        <v>57</v>
      </c>
      <c r="Y245" t="s">
        <v>212</v>
      </c>
    </row>
    <row r="246" spans="1:25" x14ac:dyDescent="0.25">
      <c r="A246">
        <v>39673</v>
      </c>
      <c r="B246" t="e">
        <f>_xlfn.CONCAT([2]!bron[[#This Row],[personeelsnr]]," ",C246," ",D246)</f>
        <v>#REF!</v>
      </c>
      <c r="C246" t="str">
        <f>VLOOKUP(bron[[#This Row],[personeelsnr]],'data hastus'!$A:$C,2,0)</f>
        <v>Steurbaut</v>
      </c>
      <c r="D246" t="str">
        <f>VLOOKUP(bron[[#This Row],[personeelsnr]],'data hastus'!$A:$C,3,0)</f>
        <v>Henri</v>
      </c>
      <c r="E246" t="str">
        <f>VLOOKUP(bron[[#This Row],[personeelsnr]],'data hastus'!A:K,11,FALSE)</f>
        <v>Els Vanhoe</v>
      </c>
      <c r="F246" s="10"/>
      <c r="G246" s="6">
        <v>1</v>
      </c>
      <c r="H246" s="6"/>
      <c r="I246" s="6"/>
      <c r="J246"/>
      <c r="K246"/>
      <c r="L246"/>
      <c r="M246"/>
      <c r="N246"/>
      <c r="O246"/>
      <c r="P246"/>
      <c r="Q246"/>
      <c r="R246"/>
      <c r="S246">
        <f>SUM(bron[[#This Row],[Januari]:[December]])</f>
        <v>1</v>
      </c>
      <c r="T246" s="3">
        <v>45678</v>
      </c>
      <c r="U246" s="8" t="s">
        <v>3034</v>
      </c>
      <c r="V246" s="8">
        <v>1</v>
      </c>
      <c r="W246" s="8"/>
      <c r="X246" t="s">
        <v>57</v>
      </c>
      <c r="Y246" t="s">
        <v>130</v>
      </c>
    </row>
    <row r="247" spans="1:25" x14ac:dyDescent="0.25">
      <c r="A247">
        <v>8394</v>
      </c>
      <c r="B247" t="e">
        <f>_xlfn.CONCAT([2]!bron[[#This Row],[personeelsnr]]," ",C247," ",D247)</f>
        <v>#REF!</v>
      </c>
      <c r="C247" t="str">
        <f>VLOOKUP(bron[[#This Row],[personeelsnr]],'data hastus'!$A:$C,2,0)</f>
        <v>Smet</v>
      </c>
      <c r="D247" t="str">
        <f>VLOOKUP(bron[[#This Row],[personeelsnr]],'data hastus'!$A:$C,3,0)</f>
        <v>Antoon</v>
      </c>
      <c r="E247" t="str">
        <f>VLOOKUP(bron[[#This Row],[personeelsnr]],'data hastus'!A:K,11,FALSE)</f>
        <v>Lucie Vande Velde</v>
      </c>
      <c r="F247" s="10"/>
      <c r="G247" s="6">
        <v>1</v>
      </c>
      <c r="H247" s="6"/>
      <c r="I247" s="6"/>
      <c r="J247"/>
      <c r="K247"/>
      <c r="L247"/>
      <c r="M247"/>
      <c r="N247"/>
      <c r="O247"/>
      <c r="P247"/>
      <c r="Q247"/>
      <c r="R247"/>
      <c r="S247">
        <f>SUM(bron[[#This Row],[Januari]:[December]])</f>
        <v>1</v>
      </c>
      <c r="T247" s="3">
        <v>45677</v>
      </c>
      <c r="U247" s="8" t="s">
        <v>2928</v>
      </c>
      <c r="V247" s="8">
        <v>1</v>
      </c>
      <c r="W247" s="8"/>
      <c r="X247" t="s">
        <v>57</v>
      </c>
      <c r="Y247" t="s">
        <v>137</v>
      </c>
    </row>
    <row r="248" spans="1:25" x14ac:dyDescent="0.25">
      <c r="A248">
        <v>33965</v>
      </c>
      <c r="B248" t="e">
        <f>_xlfn.CONCAT([2]!bron[[#This Row],[personeelsnr]]," ",C248," ",D248)</f>
        <v>#REF!</v>
      </c>
      <c r="C248" t="str">
        <f>VLOOKUP(bron[[#This Row],[personeelsnr]],'data hastus'!$A:$C,2,0)</f>
        <v>Van de Gehuchte</v>
      </c>
      <c r="D248" t="str">
        <f>VLOOKUP(bron[[#This Row],[personeelsnr]],'data hastus'!$A:$C,3,0)</f>
        <v>Gilles</v>
      </c>
      <c r="E248" t="str">
        <f>VLOOKUP(bron[[#This Row],[personeelsnr]],'data hastus'!A:K,11,FALSE)</f>
        <v>Kenneth De Rick</v>
      </c>
      <c r="F248" s="10"/>
      <c r="G248" s="6">
        <v>1</v>
      </c>
      <c r="H248" s="6"/>
      <c r="I248" s="6"/>
      <c r="J248"/>
      <c r="K248"/>
      <c r="L248"/>
      <c r="M248"/>
      <c r="N248"/>
      <c r="O248"/>
      <c r="P248"/>
      <c r="Q248"/>
      <c r="R248"/>
      <c r="S248">
        <f>SUM(bron[[#This Row],[Januari]:[December]])</f>
        <v>1</v>
      </c>
      <c r="T248" s="3">
        <v>45677</v>
      </c>
      <c r="U248" s="8" t="s">
        <v>3042</v>
      </c>
      <c r="V248" s="8"/>
      <c r="W248" s="8">
        <v>1</v>
      </c>
      <c r="X248" t="s">
        <v>58</v>
      </c>
      <c r="Y248" t="s">
        <v>25</v>
      </c>
    </row>
    <row r="249" spans="1:25" x14ac:dyDescent="0.25">
      <c r="A249">
        <v>22240</v>
      </c>
      <c r="B249" t="e">
        <f>_xlfn.CONCAT([2]!bron[[#This Row],[personeelsnr]]," ",C249," ",D249)</f>
        <v>#REF!</v>
      </c>
      <c r="C249" t="str">
        <f>VLOOKUP(bron[[#This Row],[personeelsnr]],'data hastus'!$A:$C,2,0)</f>
        <v>Delahaye</v>
      </c>
      <c r="D249" t="str">
        <f>VLOOKUP(bron[[#This Row],[personeelsnr]],'data hastus'!$A:$C,3,0)</f>
        <v>Karina</v>
      </c>
      <c r="E249" t="str">
        <f>VLOOKUP(bron[[#This Row],[personeelsnr]],'data hastus'!A:K,11,FALSE)</f>
        <v>Els Dewulf</v>
      </c>
      <c r="F249" s="10"/>
      <c r="G249" s="6">
        <v>1</v>
      </c>
      <c r="H249" s="6"/>
      <c r="I249" s="6"/>
      <c r="J249"/>
      <c r="K249"/>
      <c r="L249"/>
      <c r="M249"/>
      <c r="N249"/>
      <c r="O249"/>
      <c r="P249"/>
      <c r="Q249"/>
      <c r="R249"/>
      <c r="S249">
        <f>SUM(bron[[#This Row],[Januari]:[December]])</f>
        <v>1</v>
      </c>
      <c r="T249" s="3">
        <v>45674</v>
      </c>
      <c r="U249" s="8" t="s">
        <v>3039</v>
      </c>
      <c r="V249" s="8"/>
      <c r="W249" s="8">
        <v>1</v>
      </c>
      <c r="X249" t="s">
        <v>58</v>
      </c>
      <c r="Y249" t="s">
        <v>206</v>
      </c>
    </row>
    <row r="250" spans="1:25" x14ac:dyDescent="0.25">
      <c r="A250">
        <v>40969</v>
      </c>
      <c r="B250" t="e">
        <f>_xlfn.CONCAT([2]!bron[[#This Row],[personeelsnr]]," ",C250," ",D250)</f>
        <v>#REF!</v>
      </c>
      <c r="C250" t="str">
        <f>VLOOKUP(bron[[#This Row],[personeelsnr]],'data hastus'!$A:$C,2,0)</f>
        <v>Kerman</v>
      </c>
      <c r="D250" t="str">
        <f>VLOOKUP(bron[[#This Row],[personeelsnr]],'data hastus'!$A:$C,3,0)</f>
        <v>Melisa</v>
      </c>
      <c r="E250" t="str">
        <f>VLOOKUP(bron[[#This Row],[personeelsnr]],'data hastus'!A:K,11,FALSE)</f>
        <v>Steven Storm</v>
      </c>
      <c r="G250" s="6">
        <v>1</v>
      </c>
      <c r="H250" s="6"/>
      <c r="I250" s="6"/>
      <c r="J250"/>
      <c r="K250"/>
      <c r="L250"/>
      <c r="M250"/>
      <c r="N250"/>
      <c r="O250"/>
      <c r="P250"/>
      <c r="Q250"/>
      <c r="R250"/>
      <c r="S250">
        <f>SUM(bron[[#This Row],[Januari]:[December]])</f>
        <v>1</v>
      </c>
      <c r="T250" s="3">
        <v>45673</v>
      </c>
      <c r="U250" s="8" t="s">
        <v>3046</v>
      </c>
      <c r="V250" s="8">
        <v>1</v>
      </c>
      <c r="W250" s="8"/>
      <c r="X250" t="s">
        <v>57</v>
      </c>
      <c r="Y250" t="s">
        <v>41</v>
      </c>
    </row>
    <row r="251" spans="1:25" x14ac:dyDescent="0.25">
      <c r="A251">
        <v>36626</v>
      </c>
      <c r="B251" t="e">
        <f>_xlfn.CONCAT([2]!bron[[#This Row],[personeelsnr]]," ",C251," ",D251)</f>
        <v>#REF!</v>
      </c>
      <c r="C251" t="str">
        <f>VLOOKUP(bron[[#This Row],[personeelsnr]],'data hastus'!$A:$C,2,0)</f>
        <v>Kartal</v>
      </c>
      <c r="D251" t="str">
        <f>VLOOKUP(bron[[#This Row],[personeelsnr]],'data hastus'!$A:$C,3,0)</f>
        <v>Kadir</v>
      </c>
      <c r="E251" t="str">
        <f>VLOOKUP(bron[[#This Row],[personeelsnr]],'data hastus'!A:K,11,FALSE)</f>
        <v>Els Dewulf</v>
      </c>
      <c r="F251" s="10"/>
      <c r="G251" s="6">
        <v>1</v>
      </c>
      <c r="H251" s="6"/>
      <c r="I251" s="6"/>
      <c r="J251"/>
      <c r="K251"/>
      <c r="L251"/>
      <c r="M251"/>
      <c r="N251"/>
      <c r="O251"/>
      <c r="P251"/>
      <c r="Q251"/>
      <c r="R251"/>
      <c r="S251">
        <f>SUM(bron[[#This Row],[Januari]:[December]])</f>
        <v>1</v>
      </c>
      <c r="T251" s="3">
        <v>45673</v>
      </c>
      <c r="U251" s="8" t="s">
        <v>3041</v>
      </c>
      <c r="V251" s="8"/>
      <c r="W251" s="8">
        <v>1</v>
      </c>
      <c r="X251" t="s">
        <v>58</v>
      </c>
      <c r="Y251" t="s">
        <v>19</v>
      </c>
    </row>
    <row r="252" spans="1:25" x14ac:dyDescent="0.25">
      <c r="A252">
        <v>40005</v>
      </c>
      <c r="B252" t="e">
        <f>_xlfn.CONCAT([2]!bron[[#This Row],[personeelsnr]]," ",C252," ",D252)</f>
        <v>#REF!</v>
      </c>
      <c r="C252" t="str">
        <f>VLOOKUP(bron[[#This Row],[personeelsnr]],'data hastus'!$A:$C,2,0)</f>
        <v>Bernaerts</v>
      </c>
      <c r="D252" t="str">
        <f>VLOOKUP(bron[[#This Row],[personeelsnr]],'data hastus'!$A:$C,3,0)</f>
        <v>Philip</v>
      </c>
      <c r="E252" t="str">
        <f>VLOOKUP(bron[[#This Row],[personeelsnr]],'data hastus'!A:K,11,FALSE)</f>
        <v>Christoff Rotty</v>
      </c>
      <c r="F252" s="10"/>
      <c r="G252" s="6">
        <v>1</v>
      </c>
      <c r="H252" s="6"/>
      <c r="I252" s="6"/>
      <c r="J252"/>
      <c r="K252"/>
      <c r="L252"/>
      <c r="M252"/>
      <c r="N252"/>
      <c r="O252"/>
      <c r="P252"/>
      <c r="Q252"/>
      <c r="R252"/>
      <c r="S252">
        <f>SUM(bron[[#This Row],[Januari]:[December]])</f>
        <v>1</v>
      </c>
      <c r="T252" s="3">
        <v>45672</v>
      </c>
      <c r="U252" s="8" t="s">
        <v>3048</v>
      </c>
      <c r="V252" s="8">
        <v>1</v>
      </c>
      <c r="W252" s="8"/>
      <c r="X252" t="s">
        <v>57</v>
      </c>
      <c r="Y252" t="s">
        <v>37</v>
      </c>
    </row>
    <row r="253" spans="1:25" x14ac:dyDescent="0.25">
      <c r="A253">
        <v>30967</v>
      </c>
      <c r="B253" t="e">
        <f>_xlfn.CONCAT([2]!bron[[#This Row],[personeelsnr]]," ",C253," ",D253)</f>
        <v>#REF!</v>
      </c>
      <c r="C253" t="str">
        <f>VLOOKUP(bron[[#This Row],[personeelsnr]],'data hastus'!$A:$C,2,0)</f>
        <v>Taser</v>
      </c>
      <c r="D253" t="str">
        <f>VLOOKUP(bron[[#This Row],[personeelsnr]],'data hastus'!$A:$C,3,0)</f>
        <v>Fatih</v>
      </c>
      <c r="E253" t="str">
        <f>VLOOKUP(bron[[#This Row],[personeelsnr]],'data hastus'!A:K,11,FALSE)</f>
        <v>Dominique De Clercq</v>
      </c>
      <c r="F253" s="10"/>
      <c r="G253" s="6">
        <v>1</v>
      </c>
      <c r="H253" s="6"/>
      <c r="I253" s="6"/>
      <c r="J253"/>
      <c r="K253"/>
      <c r="L253"/>
      <c r="M253"/>
      <c r="N253"/>
      <c r="O253"/>
      <c r="P253"/>
      <c r="Q253"/>
      <c r="R253"/>
      <c r="S253">
        <f>SUM(bron[[#This Row],[Januari]:[December]])</f>
        <v>1</v>
      </c>
      <c r="T253" s="3">
        <v>45672</v>
      </c>
      <c r="U253" s="8" t="s">
        <v>3044</v>
      </c>
      <c r="V253" s="8"/>
      <c r="W253" s="8">
        <v>1</v>
      </c>
      <c r="X253" t="s">
        <v>58</v>
      </c>
      <c r="Y253" t="s">
        <v>103</v>
      </c>
    </row>
    <row r="254" spans="1:25" x14ac:dyDescent="0.25">
      <c r="A254">
        <v>25487</v>
      </c>
      <c r="B254" t="e">
        <f>_xlfn.CONCAT([2]!bron[[#This Row],[personeelsnr]]," ",C254," ",D254)</f>
        <v>#REF!</v>
      </c>
      <c r="C254" t="str">
        <f>VLOOKUP(bron[[#This Row],[personeelsnr]],'data hastus'!$A:$C,2,0)</f>
        <v>Devos</v>
      </c>
      <c r="D254" t="str">
        <f>VLOOKUP(bron[[#This Row],[personeelsnr]],'data hastus'!$A:$C,3,0)</f>
        <v>Stefaan</v>
      </c>
      <c r="E254" t="str">
        <f>VLOOKUP(bron[[#This Row],[personeelsnr]],'data hastus'!A:K,11,FALSE)</f>
        <v>Steven Storm</v>
      </c>
      <c r="F254" s="10"/>
      <c r="G254" s="6">
        <v>1</v>
      </c>
      <c r="H254" s="6"/>
      <c r="I254" s="6"/>
      <c r="J254"/>
      <c r="K254"/>
      <c r="L254"/>
      <c r="M254"/>
      <c r="N254"/>
      <c r="O254"/>
      <c r="P254"/>
      <c r="Q254"/>
      <c r="R254"/>
      <c r="S254">
        <f>SUM(bron[[#This Row],[Januari]:[December]])</f>
        <v>1</v>
      </c>
      <c r="T254" s="3">
        <v>45671</v>
      </c>
      <c r="U254" s="8" t="s">
        <v>3047</v>
      </c>
      <c r="V254" s="8">
        <v>1</v>
      </c>
      <c r="W254" s="8"/>
      <c r="X254" t="s">
        <v>57</v>
      </c>
      <c r="Y254" t="s">
        <v>130</v>
      </c>
    </row>
    <row r="255" spans="1:25" x14ac:dyDescent="0.25">
      <c r="A255">
        <v>36626</v>
      </c>
      <c r="B255" t="e">
        <f>_xlfn.CONCAT([2]!bron[[#This Row],[personeelsnr]]," ",C255," ",D255)</f>
        <v>#REF!</v>
      </c>
      <c r="C255" t="str">
        <f>VLOOKUP(bron[[#This Row],[personeelsnr]],'data hastus'!$A:$C,2,0)</f>
        <v>Kartal</v>
      </c>
      <c r="D255" t="str">
        <f>VLOOKUP(bron[[#This Row],[personeelsnr]],'data hastus'!$A:$C,3,0)</f>
        <v>Kadir</v>
      </c>
      <c r="E255" t="str">
        <f>VLOOKUP(bron[[#This Row],[personeelsnr]],'data hastus'!A:K,11,FALSE)</f>
        <v>Els Dewulf</v>
      </c>
      <c r="F255" s="10"/>
      <c r="G255" s="6">
        <v>1</v>
      </c>
      <c r="H255" s="6"/>
      <c r="I255" s="6"/>
      <c r="J255"/>
      <c r="K255"/>
      <c r="L255"/>
      <c r="M255"/>
      <c r="N255"/>
      <c r="O255"/>
      <c r="P255"/>
      <c r="Q255"/>
      <c r="R255"/>
      <c r="S255">
        <f>SUM(bron[[#This Row],[Januari]:[December]])</f>
        <v>1</v>
      </c>
      <c r="T255" s="3">
        <v>45671</v>
      </c>
      <c r="U255" s="8" t="s">
        <v>3049</v>
      </c>
      <c r="V255" s="8">
        <v>1</v>
      </c>
      <c r="W255" s="8"/>
      <c r="X255" t="s">
        <v>57</v>
      </c>
      <c r="Y255" t="s">
        <v>26</v>
      </c>
    </row>
    <row r="256" spans="1:25" x14ac:dyDescent="0.25">
      <c r="A256">
        <v>9999</v>
      </c>
      <c r="B256" t="str">
        <f>_xlfn.CONCAT([2]!bron[[#This Row],[personeelsnr]]," ",C256," ",D256)</f>
        <v>9999 - -</v>
      </c>
      <c r="C256" t="s">
        <v>2919</v>
      </c>
      <c r="D256" t="s">
        <v>2919</v>
      </c>
      <c r="E256" t="s">
        <v>810</v>
      </c>
      <c r="F256" s="10"/>
      <c r="G256" s="6">
        <v>1</v>
      </c>
      <c r="H256" s="6"/>
      <c r="I256" s="6"/>
      <c r="J256"/>
      <c r="K256"/>
      <c r="L256"/>
      <c r="M256"/>
      <c r="N256"/>
      <c r="O256"/>
      <c r="P256"/>
      <c r="Q256"/>
      <c r="R256"/>
      <c r="S256">
        <f>SUM(bron[[#This Row],[Januari]:[December]])</f>
        <v>1</v>
      </c>
      <c r="T256" s="3">
        <v>45671</v>
      </c>
      <c r="U256" s="8" t="s">
        <v>3045</v>
      </c>
      <c r="V256" s="8">
        <v>1</v>
      </c>
      <c r="W256" s="8"/>
      <c r="X256" t="s">
        <v>57</v>
      </c>
      <c r="Y256" t="s">
        <v>29</v>
      </c>
    </row>
    <row r="257" spans="1:25" x14ac:dyDescent="0.25">
      <c r="A257">
        <v>40444</v>
      </c>
      <c r="B257" t="e">
        <f>_xlfn.CONCAT([2]!bron[[#This Row],[personeelsnr]]," ",C257," ",D257)</f>
        <v>#REF!</v>
      </c>
      <c r="C257" t="str">
        <f>VLOOKUP(bron[[#This Row],[personeelsnr]],'data hastus'!$A:$C,2,0)</f>
        <v>Van Damme</v>
      </c>
      <c r="D257" t="str">
        <f>VLOOKUP(bron[[#This Row],[personeelsnr]],'data hastus'!$A:$C,3,0)</f>
        <v>Glenn</v>
      </c>
      <c r="E257" t="str">
        <f>VLOOKUP(bron[[#This Row],[personeelsnr]],'data hastus'!A:K,11,FALSE)</f>
        <v>Els Dewulf</v>
      </c>
      <c r="F257" s="10"/>
      <c r="G257" s="6">
        <v>1</v>
      </c>
      <c r="H257" s="6"/>
      <c r="I257" s="6"/>
      <c r="J257"/>
      <c r="K257"/>
      <c r="L257"/>
      <c r="M257"/>
      <c r="N257"/>
      <c r="O257"/>
      <c r="P257"/>
      <c r="Q257"/>
      <c r="R257"/>
      <c r="S257">
        <f>SUM(bron[[#This Row],[Januari]:[December]])</f>
        <v>1</v>
      </c>
      <c r="T257" s="3">
        <v>45670</v>
      </c>
      <c r="U257" s="8" t="s">
        <v>2935</v>
      </c>
      <c r="V257" s="8">
        <v>1</v>
      </c>
      <c r="W257" s="8"/>
      <c r="X257" t="s">
        <v>57</v>
      </c>
      <c r="Y257" t="s">
        <v>51</v>
      </c>
    </row>
    <row r="258" spans="1:25" x14ac:dyDescent="0.25">
      <c r="A258">
        <v>33986</v>
      </c>
      <c r="B258" t="e">
        <f>_xlfn.CONCAT([2]!bron[[#This Row],[personeelsnr]]," ",C258," ",D258)</f>
        <v>#REF!</v>
      </c>
      <c r="C258" t="str">
        <f>VLOOKUP(bron[[#This Row],[personeelsnr]],'data hastus'!$A:$C,2,0)</f>
        <v>Göktas</v>
      </c>
      <c r="D258" t="str">
        <f>VLOOKUP(bron[[#This Row],[personeelsnr]],'data hastus'!$A:$C,3,0)</f>
        <v>Muharrem</v>
      </c>
      <c r="E258" t="str">
        <f>VLOOKUP(bron[[#This Row],[personeelsnr]],'data hastus'!A:K,11,FALSE)</f>
        <v>Kenneth De Rick</v>
      </c>
      <c r="F258" s="10"/>
      <c r="G258" s="6"/>
      <c r="H258" s="6"/>
      <c r="I258" s="6"/>
      <c r="J258"/>
      <c r="K258"/>
      <c r="L258"/>
      <c r="M258"/>
      <c r="N258"/>
      <c r="O258"/>
      <c r="P258"/>
      <c r="Q258"/>
      <c r="R258"/>
      <c r="S258">
        <f>SUM(bron[[#This Row],[Januari]:[December]])</f>
        <v>0</v>
      </c>
      <c r="T258" s="3">
        <v>45669</v>
      </c>
      <c r="U258" s="8" t="s">
        <v>2937</v>
      </c>
      <c r="V258" s="8">
        <v>1</v>
      </c>
      <c r="W258" s="8"/>
      <c r="X258" t="s">
        <v>57</v>
      </c>
      <c r="Y258" t="s">
        <v>150</v>
      </c>
    </row>
    <row r="259" spans="1:25" x14ac:dyDescent="0.25">
      <c r="A259">
        <v>36428</v>
      </c>
      <c r="B259" t="e">
        <f>_xlfn.CONCAT([2]!bron[[#This Row],[personeelsnr]]," ",C259," ",D259)</f>
        <v>#REF!</v>
      </c>
      <c r="C259" t="str">
        <f>VLOOKUP(bron[[#This Row],[personeelsnr]],'data hastus'!$A:$C,2,0)</f>
        <v>Abdi Shaiye</v>
      </c>
      <c r="D259" t="str">
        <f>VLOOKUP(bron[[#This Row],[personeelsnr]],'data hastus'!$A:$C,3,0)</f>
        <v>Rashid</v>
      </c>
      <c r="E259" t="str">
        <f>VLOOKUP(bron[[#This Row],[personeelsnr]],'data hastus'!A:K,11,FALSE)</f>
        <v>Lucie Vande Velde</v>
      </c>
      <c r="F259" s="10"/>
      <c r="G259" s="6">
        <v>1</v>
      </c>
      <c r="H259" s="6"/>
      <c r="I259" s="6"/>
      <c r="J259"/>
      <c r="K259"/>
      <c r="L259"/>
      <c r="M259"/>
      <c r="N259"/>
      <c r="O259"/>
      <c r="P259"/>
      <c r="Q259"/>
      <c r="R259"/>
      <c r="S259">
        <f>SUM(bron[[#This Row],[Januari]:[December]])</f>
        <v>1</v>
      </c>
      <c r="T259" s="3">
        <v>45669</v>
      </c>
      <c r="U259" s="8" t="s">
        <v>3053</v>
      </c>
      <c r="V259" s="8">
        <v>1</v>
      </c>
      <c r="W259" s="8"/>
      <c r="X259" t="s">
        <v>57</v>
      </c>
      <c r="Y259" t="s">
        <v>21</v>
      </c>
    </row>
    <row r="260" spans="1:25" x14ac:dyDescent="0.25">
      <c r="A260">
        <v>19917</v>
      </c>
      <c r="B260" t="e">
        <f>_xlfn.CONCAT([2]!bron[[#This Row],[personeelsnr]]," ",C260," ",D260)</f>
        <v>#REF!</v>
      </c>
      <c r="C260" t="str">
        <f>VLOOKUP(bron[[#This Row],[personeelsnr]],'data hastus'!$A:$C,2,0)</f>
        <v>Vandevyvere</v>
      </c>
      <c r="D260" t="str">
        <f>VLOOKUP(bron[[#This Row],[personeelsnr]],'data hastus'!$A:$C,3,0)</f>
        <v>Frank</v>
      </c>
      <c r="E260" t="str">
        <f>VLOOKUP(bron[[#This Row],[personeelsnr]],'data hastus'!A:K,11,FALSE)</f>
        <v>Bart Van Der Beken</v>
      </c>
      <c r="G260" s="6">
        <v>1</v>
      </c>
      <c r="H260" s="6"/>
      <c r="I260" s="6"/>
      <c r="J260"/>
      <c r="K260"/>
      <c r="L260"/>
      <c r="M260"/>
      <c r="N260"/>
      <c r="O260"/>
      <c r="P260"/>
      <c r="Q260"/>
      <c r="R260"/>
      <c r="S260">
        <f>SUM(bron[[#This Row],[Januari]:[December]])</f>
        <v>1</v>
      </c>
      <c r="T260" s="3">
        <v>45667</v>
      </c>
      <c r="U260" s="8" t="s">
        <v>3050</v>
      </c>
      <c r="V260" s="8">
        <v>1</v>
      </c>
      <c r="W260" s="8"/>
      <c r="X260" t="s">
        <v>57</v>
      </c>
      <c r="Y260" t="s">
        <v>41</v>
      </c>
    </row>
    <row r="261" spans="1:25" x14ac:dyDescent="0.25">
      <c r="A261">
        <v>40266</v>
      </c>
      <c r="B261" t="e">
        <f>_xlfn.CONCAT([2]!bron[[#This Row],[personeelsnr]]," ",C261," ",D261)</f>
        <v>#REF!</v>
      </c>
      <c r="C261" t="str">
        <f>VLOOKUP(bron[[#This Row],[personeelsnr]],'data hastus'!$A:$C,2,0)</f>
        <v>Taibi</v>
      </c>
      <c r="D261" t="str">
        <f>VLOOKUP(bron[[#This Row],[personeelsnr]],'data hastus'!$A:$C,3,0)</f>
        <v>Yassine</v>
      </c>
      <c r="E261" t="str">
        <f>VLOOKUP(bron[[#This Row],[personeelsnr]],'data hastus'!A:K,11,FALSE)</f>
        <v>Christoff Rotty</v>
      </c>
      <c r="F261" s="10"/>
      <c r="G261" s="6">
        <v>1</v>
      </c>
      <c r="H261" s="6"/>
      <c r="I261" s="6"/>
      <c r="J261"/>
      <c r="K261"/>
      <c r="L261"/>
      <c r="M261"/>
      <c r="N261"/>
      <c r="O261"/>
      <c r="P261"/>
      <c r="Q261"/>
      <c r="R261"/>
      <c r="S261">
        <f>SUM(bron[[#This Row],[Januari]:[December]])</f>
        <v>1</v>
      </c>
      <c r="T261" s="3">
        <v>45667</v>
      </c>
      <c r="U261" s="8" t="s">
        <v>3054</v>
      </c>
      <c r="V261" s="8">
        <v>1</v>
      </c>
      <c r="W261" s="8"/>
      <c r="X261" t="s">
        <v>57</v>
      </c>
      <c r="Y261" t="s">
        <v>142</v>
      </c>
    </row>
    <row r="262" spans="1:25" x14ac:dyDescent="0.25">
      <c r="A262">
        <v>36559</v>
      </c>
      <c r="B262" t="e">
        <f>_xlfn.CONCAT([2]!bron[[#This Row],[personeelsnr]]," ",C262," ",D262)</f>
        <v>#REF!</v>
      </c>
      <c r="C262" t="str">
        <f>VLOOKUP(bron[[#This Row],[personeelsnr]],'data hastus'!$A:$C,2,0)</f>
        <v>De Staercke</v>
      </c>
      <c r="D262" t="str">
        <f>VLOOKUP(bron[[#This Row],[personeelsnr]],'data hastus'!$A:$C,3,0)</f>
        <v>Sandra</v>
      </c>
      <c r="E262" t="str">
        <f>VLOOKUP(bron[[#This Row],[personeelsnr]],'data hastus'!A:K,11,FALSE)</f>
        <v>Kenneth De Rick</v>
      </c>
      <c r="F262" s="10"/>
      <c r="G262" s="6">
        <v>1</v>
      </c>
      <c r="H262" s="6"/>
      <c r="I262" s="6"/>
      <c r="J262"/>
      <c r="K262"/>
      <c r="L262"/>
      <c r="M262"/>
      <c r="N262"/>
      <c r="O262"/>
      <c r="P262"/>
      <c r="Q262"/>
      <c r="R262"/>
      <c r="S262">
        <f>SUM(bron[[#This Row],[Januari]:[December]])</f>
        <v>1</v>
      </c>
      <c r="T262" s="3">
        <v>45667</v>
      </c>
      <c r="U262" s="8" t="s">
        <v>3052</v>
      </c>
      <c r="V262" s="8"/>
      <c r="W262" s="8">
        <v>1</v>
      </c>
      <c r="X262" t="s">
        <v>58</v>
      </c>
      <c r="Y262" t="s">
        <v>215</v>
      </c>
    </row>
    <row r="263" spans="1:25" x14ac:dyDescent="0.25">
      <c r="A263">
        <v>41032</v>
      </c>
      <c r="B263" t="e">
        <f>_xlfn.CONCAT([2]!bron[[#This Row],[personeelsnr]]," ",C263," ",D263)</f>
        <v>#REF!</v>
      </c>
      <c r="C263" t="str">
        <f>VLOOKUP(bron[[#This Row],[personeelsnr]],'data hastus'!$A:$C,2,0)</f>
        <v>Rocabado Hinojosa</v>
      </c>
      <c r="D263" t="str">
        <f>VLOOKUP(bron[[#This Row],[personeelsnr]],'data hastus'!$A:$C,3,0)</f>
        <v>Lukas</v>
      </c>
      <c r="E263" t="str">
        <f>VLOOKUP(bron[[#This Row],[personeelsnr]],'data hastus'!A:K,11,FALSE)</f>
        <v>Els Vanhoe</v>
      </c>
      <c r="F263" s="10"/>
      <c r="G263" s="7">
        <v>1</v>
      </c>
      <c r="H263" s="7"/>
      <c r="I263" s="7"/>
      <c r="S263" s="5">
        <f>SUM(bron[[#This Row],[Januari]:[December]])</f>
        <v>1</v>
      </c>
      <c r="T263" s="9">
        <v>45666</v>
      </c>
      <c r="U263" s="8" t="s">
        <v>3030</v>
      </c>
      <c r="V263" s="24">
        <v>1</v>
      </c>
      <c r="W263" s="24"/>
      <c r="X263" t="s">
        <v>57</v>
      </c>
      <c r="Y263" t="s">
        <v>25</v>
      </c>
    </row>
    <row r="264" spans="1:25" x14ac:dyDescent="0.25">
      <c r="A264">
        <v>37950</v>
      </c>
      <c r="B264" t="e">
        <f>_xlfn.CONCAT([2]!bron[[#This Row],[personeelsnr]]," ",C264," ",D264)</f>
        <v>#REF!</v>
      </c>
      <c r="C264" t="str">
        <f>VLOOKUP(bron[[#This Row],[personeelsnr]],'data hastus'!$A:$C,2,0)</f>
        <v>De Naegel</v>
      </c>
      <c r="D264" t="str">
        <f>VLOOKUP(bron[[#This Row],[personeelsnr]],'data hastus'!$A:$C,3,0)</f>
        <v>Bruno</v>
      </c>
      <c r="E264" t="str">
        <f>VLOOKUP(bron[[#This Row],[personeelsnr]],'data hastus'!A:K,11,FALSE)</f>
        <v>Dominique De Clercq</v>
      </c>
      <c r="F264" s="10"/>
      <c r="G264" s="6">
        <v>1</v>
      </c>
      <c r="H264" s="6"/>
      <c r="I264" s="6"/>
      <c r="J264"/>
      <c r="K264"/>
      <c r="L264"/>
      <c r="M264"/>
      <c r="N264"/>
      <c r="O264"/>
      <c r="P264"/>
      <c r="Q264"/>
      <c r="R264"/>
      <c r="S264">
        <f>SUM(bron[[#This Row],[Januari]:[December]])</f>
        <v>1</v>
      </c>
      <c r="T264" s="3">
        <v>45665</v>
      </c>
      <c r="U264" s="8" t="s">
        <v>3051</v>
      </c>
      <c r="V264" s="8">
        <v>1</v>
      </c>
      <c r="W264" s="8"/>
      <c r="X264" t="s">
        <v>57</v>
      </c>
      <c r="Y264" t="s">
        <v>62</v>
      </c>
    </row>
    <row r="265" spans="1:25" x14ac:dyDescent="0.25">
      <c r="A265">
        <v>40138</v>
      </c>
      <c r="B265" t="e">
        <f>_xlfn.CONCAT([2]!bron[[#This Row],[personeelsnr]]," ",C265," ",D265)</f>
        <v>#REF!</v>
      </c>
      <c r="C265" t="str">
        <f>VLOOKUP(bron[[#This Row],[personeelsnr]],'data hastus'!$A:$C,2,0)</f>
        <v>Moerman</v>
      </c>
      <c r="D265" t="str">
        <f>VLOOKUP(bron[[#This Row],[personeelsnr]],'data hastus'!$A:$C,3,0)</f>
        <v>Tjimmy</v>
      </c>
      <c r="E265" t="str">
        <f>VLOOKUP(bron[[#This Row],[personeelsnr]],'data hastus'!A:K,11,FALSE)</f>
        <v>Christoff Rotty</v>
      </c>
      <c r="F265" s="10"/>
      <c r="G265" s="6">
        <v>1</v>
      </c>
      <c r="H265" s="6"/>
      <c r="I265" s="6"/>
      <c r="J265"/>
      <c r="K265"/>
      <c r="L265"/>
      <c r="M265"/>
      <c r="N265"/>
      <c r="O265"/>
      <c r="P265"/>
      <c r="Q265"/>
      <c r="R265"/>
      <c r="S265">
        <f>SUM(bron[[#This Row],[Januari]:[December]])</f>
        <v>1</v>
      </c>
      <c r="T265" s="3">
        <v>45661</v>
      </c>
      <c r="U265" s="8" t="s">
        <v>3055</v>
      </c>
      <c r="V265" s="8">
        <v>1</v>
      </c>
      <c r="W265" s="8"/>
      <c r="X265" t="s">
        <v>57</v>
      </c>
      <c r="Y265" t="s">
        <v>110</v>
      </c>
    </row>
    <row r="266" spans="1:25" x14ac:dyDescent="0.25">
      <c r="A266">
        <v>36663</v>
      </c>
      <c r="B266" t="e">
        <f>_xlfn.CONCAT([2]!bron[[#This Row],[personeelsnr]]," ",C266," ",D266)</f>
        <v>#REF!</v>
      </c>
      <c r="C266" t="str">
        <f>VLOOKUP(bron[[#This Row],[personeelsnr]],'data hastus'!$A:$C,2,0)</f>
        <v>Cesmeli</v>
      </c>
      <c r="D266" t="str">
        <f>VLOOKUP(bron[[#This Row],[personeelsnr]],'data hastus'!$A:$C,3,0)</f>
        <v>Achraf</v>
      </c>
      <c r="E266" t="str">
        <f>VLOOKUP(bron[[#This Row],[personeelsnr]],'data hastus'!A:K,11,FALSE)</f>
        <v>Dominique De Clercq</v>
      </c>
      <c r="F266" s="10"/>
      <c r="G266" s="6">
        <v>1</v>
      </c>
      <c r="H266" s="6"/>
      <c r="I266" s="6"/>
      <c r="J266"/>
      <c r="K266"/>
      <c r="L266"/>
      <c r="M266"/>
      <c r="N266"/>
      <c r="O266"/>
      <c r="P266"/>
      <c r="Q266"/>
      <c r="R266"/>
      <c r="S266">
        <f>SUM(bron[[#This Row],[Januari]:[December]])</f>
        <v>1</v>
      </c>
      <c r="T266" s="3">
        <v>45661</v>
      </c>
      <c r="U266" t="s">
        <v>788</v>
      </c>
      <c r="V266" s="8">
        <v>1</v>
      </c>
      <c r="W266"/>
      <c r="X266" t="s">
        <v>57</v>
      </c>
    </row>
    <row r="267" spans="1:25" x14ac:dyDescent="0.25">
      <c r="A267">
        <v>31490</v>
      </c>
      <c r="B267" t="str">
        <f>_xlfn.CONCAT([2]!bron[[#This Row],[personeelsnr]]," ",C267," ",D267)</f>
        <v>31490 De Weirdt Steph</v>
      </c>
      <c r="C267" t="s">
        <v>786</v>
      </c>
      <c r="D267" t="s">
        <v>787</v>
      </c>
      <c r="E267" t="s">
        <v>2926</v>
      </c>
      <c r="F267" s="10"/>
      <c r="G267" s="6">
        <v>1</v>
      </c>
      <c r="H267" s="6"/>
      <c r="I267" s="6"/>
      <c r="J267"/>
      <c r="K267"/>
      <c r="L267"/>
      <c r="M267"/>
      <c r="N267"/>
      <c r="O267"/>
      <c r="P267"/>
      <c r="Q267"/>
      <c r="R267"/>
      <c r="S267">
        <f>SUM(bron[[#This Row],[Januari]:[December]])</f>
        <v>1</v>
      </c>
      <c r="T267" s="3">
        <v>45660</v>
      </c>
      <c r="U267" s="8" t="s">
        <v>3057</v>
      </c>
      <c r="V267" s="8">
        <v>1</v>
      </c>
      <c r="W267" s="8"/>
      <c r="X267" t="s">
        <v>57</v>
      </c>
      <c r="Y267" t="s">
        <v>29</v>
      </c>
    </row>
    <row r="268" spans="1:25" x14ac:dyDescent="0.25">
      <c r="A268">
        <v>31231</v>
      </c>
      <c r="B268" t="e">
        <f>_xlfn.CONCAT([2]!bron[[#This Row],[personeelsnr]]," ",C268," ",D268)</f>
        <v>#REF!</v>
      </c>
      <c r="C268" t="str">
        <f>VLOOKUP(bron[[#This Row],[personeelsnr]],'data hastus'!$A:$C,2,0)</f>
        <v>Colaes</v>
      </c>
      <c r="D268" t="str">
        <f>VLOOKUP(bron[[#This Row],[personeelsnr]],'data hastus'!$A:$C,3,0)</f>
        <v>Dylan</v>
      </c>
      <c r="E268" t="str">
        <f>VLOOKUP(bron[[#This Row],[personeelsnr]],'data hastus'!A:K,11,FALSE)</f>
        <v>Els Vanhoe</v>
      </c>
      <c r="F268" s="10"/>
      <c r="G268" s="6">
        <v>1</v>
      </c>
      <c r="H268" s="6"/>
      <c r="I268" s="6"/>
      <c r="J268"/>
      <c r="K268"/>
      <c r="L268"/>
      <c r="M268"/>
      <c r="N268"/>
      <c r="O268"/>
      <c r="P268"/>
      <c r="Q268"/>
      <c r="R268"/>
      <c r="S268">
        <f>SUM(bron[[#This Row],[Januari]:[December]])</f>
        <v>1</v>
      </c>
      <c r="T268" s="3">
        <v>45660</v>
      </c>
      <c r="U268" s="8" t="s">
        <v>3056</v>
      </c>
      <c r="V268" s="8">
        <v>1</v>
      </c>
      <c r="W268" s="8"/>
      <c r="X268" t="s">
        <v>57</v>
      </c>
      <c r="Y268" t="s">
        <v>170</v>
      </c>
    </row>
    <row r="269" spans="1:25" x14ac:dyDescent="0.25">
      <c r="A269">
        <v>39014</v>
      </c>
      <c r="B269" t="e">
        <f>_xlfn.CONCAT([2]!bron[[#This Row],[personeelsnr]]," ",C269," ",D269)</f>
        <v>#REF!</v>
      </c>
      <c r="C269" t="str">
        <f>VLOOKUP(bron[[#This Row],[personeelsnr]],'data hastus'!$A:$C,2,0)</f>
        <v>Genbrugge</v>
      </c>
      <c r="D269" t="str">
        <f>VLOOKUP(bron[[#This Row],[personeelsnr]],'data hastus'!$A:$C,3,0)</f>
        <v>Kyllian</v>
      </c>
      <c r="E269" t="str">
        <f>VLOOKUP(bron[[#This Row],[personeelsnr]],'data hastus'!A:K,11,FALSE)</f>
        <v>Bart Van Der Beken</v>
      </c>
      <c r="F269" s="10"/>
      <c r="G269" s="6">
        <v>1</v>
      </c>
      <c r="H269" s="6"/>
      <c r="I269" s="6"/>
      <c r="J269"/>
      <c r="K269"/>
      <c r="L269"/>
      <c r="M269"/>
      <c r="N269"/>
      <c r="O269"/>
      <c r="P269"/>
      <c r="Q269"/>
      <c r="R269"/>
      <c r="S269">
        <f>SUM(bron[[#This Row],[Januari]:[December]])</f>
        <v>1</v>
      </c>
      <c r="T269" s="3">
        <v>45660</v>
      </c>
      <c r="U269" s="8" t="s">
        <v>2930</v>
      </c>
      <c r="V269" s="8">
        <v>1</v>
      </c>
      <c r="W269" s="8"/>
      <c r="X269" t="s">
        <v>57</v>
      </c>
      <c r="Y269" t="s">
        <v>193</v>
      </c>
    </row>
    <row r="270" spans="1:25" x14ac:dyDescent="0.25">
      <c r="A270">
        <v>36289</v>
      </c>
      <c r="B270" t="e">
        <f>_xlfn.CONCAT([2]!bron[[#This Row],[personeelsnr]]," ",C270," ",D270)</f>
        <v>#REF!</v>
      </c>
      <c r="C270" t="str">
        <f>VLOOKUP(bron[[#This Row],[personeelsnr]],'data hastus'!$A:$C,2,0)</f>
        <v>Van Rentergem</v>
      </c>
      <c r="D270" t="str">
        <f>VLOOKUP(bron[[#This Row],[personeelsnr]],'data hastus'!$A:$C,3,0)</f>
        <v>Steve</v>
      </c>
      <c r="E270" t="str">
        <f>VLOOKUP(bron[[#This Row],[personeelsnr]],'data hastus'!A:K,11,FALSE)</f>
        <v>Els Vanhoe</v>
      </c>
      <c r="F270" s="10"/>
      <c r="G270" s="6">
        <v>1</v>
      </c>
      <c r="H270" s="6"/>
      <c r="I270" s="6"/>
      <c r="J270"/>
      <c r="K270"/>
      <c r="L270"/>
      <c r="M270"/>
      <c r="N270"/>
      <c r="O270"/>
      <c r="P270"/>
      <c r="Q270"/>
      <c r="R270"/>
      <c r="S270">
        <f>SUM(bron[[#This Row],[Januari]:[December]])</f>
        <v>1</v>
      </c>
      <c r="T270" s="3">
        <v>45660</v>
      </c>
      <c r="U270" s="8" t="s">
        <v>2931</v>
      </c>
      <c r="V270" s="8">
        <v>1</v>
      </c>
      <c r="W270" s="8"/>
      <c r="X270" t="s">
        <v>57</v>
      </c>
      <c r="Y270" t="s">
        <v>28</v>
      </c>
    </row>
    <row r="271" spans="1:25" x14ac:dyDescent="0.25">
      <c r="A271">
        <v>39358</v>
      </c>
      <c r="B271" t="e">
        <f>_xlfn.CONCAT([2]!bron[[#This Row],[personeelsnr]]," ",C271," ",D271)</f>
        <v>#REF!</v>
      </c>
      <c r="C271" t="str">
        <f>VLOOKUP(bron[[#This Row],[personeelsnr]],'data hastus'!$A:$C,2,0)</f>
        <v>Weeks Aracena</v>
      </c>
      <c r="D271" t="str">
        <f>VLOOKUP(bron[[#This Row],[personeelsnr]],'data hastus'!$A:$C,3,0)</f>
        <v>Jimmy Alexander</v>
      </c>
      <c r="E271" t="str">
        <f>VLOOKUP(bron[[#This Row],[personeelsnr]],'data hastus'!A:K,11,FALSE)</f>
        <v>Christoff Rotty</v>
      </c>
      <c r="F271" s="10"/>
      <c r="G271" s="6">
        <v>1</v>
      </c>
      <c r="H271" s="6"/>
      <c r="I271" s="6"/>
      <c r="J271"/>
      <c r="K271"/>
      <c r="L271"/>
      <c r="M271"/>
      <c r="N271"/>
      <c r="O271"/>
      <c r="P271"/>
      <c r="Q271"/>
      <c r="R271"/>
      <c r="S271">
        <f>SUM(bron[[#This Row],[Januari]:[December]])</f>
        <v>1</v>
      </c>
      <c r="T271" s="3">
        <v>45660</v>
      </c>
      <c r="U271" s="8" t="s">
        <v>2933</v>
      </c>
      <c r="V271" s="8">
        <v>1</v>
      </c>
      <c r="W271" s="8"/>
      <c r="X271" t="s">
        <v>57</v>
      </c>
      <c r="Y271" t="s">
        <v>21</v>
      </c>
    </row>
    <row r="272" spans="1:25" x14ac:dyDescent="0.25">
      <c r="A272">
        <v>36426</v>
      </c>
      <c r="B272" t="e">
        <f>_xlfn.CONCAT([2]!bron[[#This Row],[personeelsnr]]," ",C272," ",D272)</f>
        <v>#REF!</v>
      </c>
      <c r="C272" t="str">
        <f>VLOOKUP(bron[[#This Row],[personeelsnr]],'data hastus'!$A:$C,2,0)</f>
        <v>Mohamed Yassin</v>
      </c>
      <c r="D272" t="str">
        <f>VLOOKUP(bron[[#This Row],[personeelsnr]],'data hastus'!$A:$C,3,0)</f>
        <v>Abdulhamid</v>
      </c>
      <c r="E272" t="str">
        <f>VLOOKUP(bron[[#This Row],[personeelsnr]],'data hastus'!A:K,11,FALSE)</f>
        <v>Bart Van Der Beken</v>
      </c>
      <c r="F272" s="10"/>
      <c r="G272" s="6">
        <v>1</v>
      </c>
      <c r="H272" s="6"/>
      <c r="I272" s="6"/>
      <c r="J272"/>
      <c r="K272"/>
      <c r="L272"/>
      <c r="M272"/>
      <c r="N272"/>
      <c r="O272"/>
      <c r="P272"/>
      <c r="Q272"/>
      <c r="R272"/>
      <c r="S272">
        <f>SUM(bron[[#This Row],[Januari]:[December]])</f>
        <v>1</v>
      </c>
      <c r="T272" s="3">
        <v>45660</v>
      </c>
      <c r="U272" s="8" t="s">
        <v>3031</v>
      </c>
      <c r="V272" s="8"/>
      <c r="W272" s="8">
        <v>1</v>
      </c>
      <c r="X272" t="s">
        <v>58</v>
      </c>
      <c r="Y272" t="s">
        <v>180</v>
      </c>
    </row>
    <row r="273" spans="1:25" x14ac:dyDescent="0.25">
      <c r="A273">
        <v>29179</v>
      </c>
      <c r="B273" t="e">
        <f>_xlfn.CONCAT([2]!bron[[#This Row],[personeelsnr]]," ",C273," ",D273)</f>
        <v>#REF!</v>
      </c>
      <c r="C273" t="str">
        <f>VLOOKUP(bron[[#This Row],[personeelsnr]],'data hastus'!$A:$C,2,0)</f>
        <v>Verwee</v>
      </c>
      <c r="D273" t="str">
        <f>VLOOKUP(bron[[#This Row],[personeelsnr]],'data hastus'!$A:$C,3,0)</f>
        <v>Dries</v>
      </c>
      <c r="E273" t="str">
        <f>VLOOKUP(bron[[#This Row],[personeelsnr]],'data hastus'!A:K,11,FALSE)</f>
        <v>Els Dewulf</v>
      </c>
      <c r="F273" s="10"/>
      <c r="G273" s="7"/>
      <c r="H273" s="7"/>
      <c r="I273" s="7"/>
      <c r="R273" s="5">
        <v>1</v>
      </c>
      <c r="S273" s="5">
        <f>SUM(bron[[#This Row],[Januari]:[December]])</f>
        <v>1</v>
      </c>
      <c r="T273" s="9">
        <v>45657</v>
      </c>
      <c r="U273" s="8" t="s">
        <v>785</v>
      </c>
      <c r="V273" s="8"/>
      <c r="W273" s="8">
        <v>1</v>
      </c>
      <c r="X273" t="s">
        <v>58</v>
      </c>
      <c r="Y273" t="s">
        <v>19</v>
      </c>
    </row>
    <row r="274" spans="1:25" x14ac:dyDescent="0.25">
      <c r="A274">
        <v>39859</v>
      </c>
      <c r="B274" t="e">
        <f>_xlfn.CONCAT([2]!bron[[#This Row],[personeelsnr]]," ",C274," ",D274)</f>
        <v>#REF!</v>
      </c>
      <c r="C274" t="str">
        <f>VLOOKUP(bron[[#This Row],[personeelsnr]],'data hastus'!$A:$C,2,0)</f>
        <v>Costers</v>
      </c>
      <c r="D274" t="str">
        <f>VLOOKUP(bron[[#This Row],[personeelsnr]],'data hastus'!$A:$C,3,0)</f>
        <v>Kelly</v>
      </c>
      <c r="E274" t="str">
        <f>VLOOKUP(bron[[#This Row],[personeelsnr]],'data hastus'!A:K,11,FALSE)</f>
        <v>Bart Van Der Beken</v>
      </c>
      <c r="F274" s="10"/>
      <c r="G274" s="7"/>
      <c r="H274" s="7"/>
      <c r="I274" s="7"/>
      <c r="R274" s="5">
        <v>1</v>
      </c>
      <c r="S274" s="5">
        <f>SUM(bron[[#This Row],[Januari]:[December]])</f>
        <v>1</v>
      </c>
      <c r="T274" s="9">
        <v>45656</v>
      </c>
      <c r="U274" s="8" t="s">
        <v>784</v>
      </c>
      <c r="V274" s="8">
        <v>1</v>
      </c>
      <c r="W274" s="8"/>
      <c r="X274" t="s">
        <v>57</v>
      </c>
      <c r="Y274" t="s">
        <v>34</v>
      </c>
    </row>
    <row r="275" spans="1:25" x14ac:dyDescent="0.25">
      <c r="A275">
        <v>16546</v>
      </c>
      <c r="B275" t="e">
        <f>_xlfn.CONCAT([2]!bron[[#This Row],[personeelsnr]]," ",C275," ",D275)</f>
        <v>#REF!</v>
      </c>
      <c r="C275" t="str">
        <f>VLOOKUP(bron[[#This Row],[personeelsnr]],'data hastus'!$A:$C,2,0)</f>
        <v>Baert</v>
      </c>
      <c r="D275" t="str">
        <f>VLOOKUP(bron[[#This Row],[personeelsnr]],'data hastus'!$A:$C,3,0)</f>
        <v>Rosita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R275" s="5">
        <v>1</v>
      </c>
      <c r="S275" s="5">
        <f>SUM(bron[[#This Row],[Januari]:[December]])</f>
        <v>1</v>
      </c>
      <c r="T275" s="9">
        <v>45654</v>
      </c>
      <c r="U275" s="8" t="s">
        <v>782</v>
      </c>
      <c r="V275" s="8">
        <v>1</v>
      </c>
      <c r="W275" s="8"/>
      <c r="X275" t="s">
        <v>57</v>
      </c>
      <c r="Y275" t="s">
        <v>47</v>
      </c>
    </row>
    <row r="276" spans="1:25" x14ac:dyDescent="0.25">
      <c r="A276">
        <v>16546</v>
      </c>
      <c r="B276" t="e">
        <f>_xlfn.CONCAT([2]!bron[[#This Row],[personeelsnr]]," ",C276," ",D276)</f>
        <v>#REF!</v>
      </c>
      <c r="C276" t="str">
        <f>VLOOKUP(bron[[#This Row],[personeelsnr]],'data hastus'!$A:$C,2,0)</f>
        <v>Baert</v>
      </c>
      <c r="D276" t="str">
        <f>VLOOKUP(bron[[#This Row],[personeelsnr]],'data hastus'!$A:$C,3,0)</f>
        <v>Rosita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R276" s="5">
        <v>1</v>
      </c>
      <c r="S276" s="5">
        <f>SUM(bron[[#This Row],[Januari]:[December]])</f>
        <v>1</v>
      </c>
      <c r="T276" s="9">
        <v>45654</v>
      </c>
      <c r="U276" s="8" t="s">
        <v>783</v>
      </c>
      <c r="V276" s="8">
        <v>1</v>
      </c>
      <c r="W276" s="8"/>
      <c r="X276" t="s">
        <v>57</v>
      </c>
      <c r="Y276" t="s">
        <v>19</v>
      </c>
    </row>
    <row r="277" spans="1:25" x14ac:dyDescent="0.25">
      <c r="A277">
        <v>9999</v>
      </c>
      <c r="B277" t="str">
        <f>_xlfn.CONCAT([2]!bron[[#This Row],[personeelsnr]]," ",C277," ",D277)</f>
        <v>9999 - -</v>
      </c>
      <c r="C277" t="s">
        <v>2919</v>
      </c>
      <c r="D277" t="s">
        <v>2919</v>
      </c>
      <c r="E277" t="s">
        <v>810</v>
      </c>
      <c r="F277" s="10"/>
      <c r="G277" s="7"/>
      <c r="H277" s="7"/>
      <c r="I277" s="7"/>
      <c r="R277" s="5">
        <v>1</v>
      </c>
      <c r="S277" s="5">
        <f>SUM(bron[[#This Row],[Januari]:[December]])</f>
        <v>1</v>
      </c>
      <c r="T277" s="9">
        <v>45653</v>
      </c>
      <c r="U277" s="8" t="s">
        <v>781</v>
      </c>
      <c r="V277" s="8"/>
      <c r="W277" s="8">
        <v>1</v>
      </c>
      <c r="X277" t="s">
        <v>58</v>
      </c>
      <c r="Y277" t="s">
        <v>80</v>
      </c>
    </row>
    <row r="278" spans="1:25" x14ac:dyDescent="0.25">
      <c r="A278">
        <v>4419</v>
      </c>
      <c r="B278" t="e">
        <f>_xlfn.CONCAT([2]!bron[[#This Row],[personeelsnr]]," ",C278," ",D278)</f>
        <v>#REF!</v>
      </c>
      <c r="C278" t="str">
        <f>VLOOKUP(bron[[#This Row],[personeelsnr]],'data hastus'!$A:$C,2,0)</f>
        <v>Maelbrancke</v>
      </c>
      <c r="D278" t="str">
        <f>VLOOKUP(bron[[#This Row],[personeelsnr]],'data hastus'!$A:$C,3,0)</f>
        <v>Eddy</v>
      </c>
      <c r="E278" t="str">
        <f>VLOOKUP(bron[[#This Row],[personeelsnr]],'data hastus'!A:K,11,FALSE)</f>
        <v>Lucie Vande Velde</v>
      </c>
      <c r="F278" s="10"/>
      <c r="G278" s="7"/>
      <c r="H278" s="7"/>
      <c r="I278" s="7"/>
      <c r="R278" s="5">
        <v>1</v>
      </c>
      <c r="S278" s="5">
        <f>SUM(bron[[#This Row],[Januari]:[December]])</f>
        <v>1</v>
      </c>
      <c r="T278" s="9">
        <v>45652</v>
      </c>
      <c r="U278" s="8" t="s">
        <v>779</v>
      </c>
      <c r="V278" s="8">
        <v>1</v>
      </c>
      <c r="W278" s="8"/>
      <c r="X278" t="s">
        <v>57</v>
      </c>
      <c r="Y278" t="s">
        <v>28</v>
      </c>
    </row>
    <row r="279" spans="1:25" x14ac:dyDescent="0.25">
      <c r="A279">
        <v>9999</v>
      </c>
      <c r="B279" t="str">
        <f>_xlfn.CONCAT([2]!bron[[#This Row],[personeelsnr]]," ",C279," ",D279)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R279" s="5">
        <v>1</v>
      </c>
      <c r="S279" s="5">
        <f>SUM(bron[[#This Row],[Januari]:[December]])</f>
        <v>1</v>
      </c>
      <c r="T279" s="9">
        <v>45652</v>
      </c>
      <c r="U279" s="8" t="s">
        <v>780</v>
      </c>
      <c r="V279" s="8">
        <v>1</v>
      </c>
      <c r="W279" s="8"/>
      <c r="X279" t="s">
        <v>57</v>
      </c>
      <c r="Y279" t="s">
        <v>18</v>
      </c>
    </row>
    <row r="280" spans="1:25" x14ac:dyDescent="0.25">
      <c r="A280">
        <v>36358</v>
      </c>
      <c r="B280" t="e">
        <f>_xlfn.CONCAT([2]!bron[[#This Row],[personeelsnr]]," ",C280," ",D280)</f>
        <v>#REF!</v>
      </c>
      <c r="C280" t="str">
        <f>VLOOKUP(bron[[#This Row],[personeelsnr]],'data hastus'!$A:$C,2,0)</f>
        <v>De Nys</v>
      </c>
      <c r="D280" t="str">
        <f>VLOOKUP(bron[[#This Row],[personeelsnr]],'data hastus'!$A:$C,3,0)</f>
        <v>Elise</v>
      </c>
      <c r="E280" t="str">
        <f>VLOOKUP(bron[[#This Row],[personeelsnr]],'data hastus'!A:K,11,FALSE)</f>
        <v>Els Dewulf</v>
      </c>
      <c r="F280" s="10"/>
      <c r="G280" s="7"/>
      <c r="H280" s="7"/>
      <c r="I280" s="7"/>
      <c r="R280" s="5">
        <v>1</v>
      </c>
      <c r="S280" s="5">
        <f>SUM(bron[[#This Row],[Januari]:[December]])</f>
        <v>1</v>
      </c>
      <c r="T280" s="9">
        <v>45649</v>
      </c>
      <c r="U280" s="8" t="s">
        <v>778</v>
      </c>
      <c r="V280" s="8">
        <v>1</v>
      </c>
      <c r="W280" s="8"/>
      <c r="X280" t="s">
        <v>57</v>
      </c>
      <c r="Y280" t="s">
        <v>35</v>
      </c>
    </row>
    <row r="281" spans="1:25" x14ac:dyDescent="0.25">
      <c r="A281">
        <v>40414</v>
      </c>
      <c r="B281" t="e">
        <f>_xlfn.CONCAT([2]!bron[[#This Row],[personeelsnr]]," ",C281," ",D281)</f>
        <v>#REF!</v>
      </c>
      <c r="C281" t="str">
        <f>VLOOKUP(bron[[#This Row],[personeelsnr]],'data hastus'!$A:$C,2,0)</f>
        <v>Ennakaba</v>
      </c>
      <c r="D281" t="str">
        <f>VLOOKUP(bron[[#This Row],[personeelsnr]],'data hastus'!$A:$C,3,0)</f>
        <v>Khaoula</v>
      </c>
      <c r="E281" t="str">
        <f>VLOOKUP(bron[[#This Row],[personeelsnr]],'data hastus'!A:K,11,FALSE)</f>
        <v>Steven Storm</v>
      </c>
      <c r="F281" s="10"/>
      <c r="G281" s="7"/>
      <c r="H281" s="7"/>
      <c r="I281" s="7"/>
      <c r="R281" s="5">
        <v>1</v>
      </c>
      <c r="S281" s="5">
        <f>SUM(bron[[#This Row],[Januari]:[December]])</f>
        <v>1</v>
      </c>
      <c r="T281" s="9">
        <v>45647</v>
      </c>
      <c r="U281" s="8" t="s">
        <v>774</v>
      </c>
      <c r="V281" s="8">
        <v>1</v>
      </c>
      <c r="W281" s="8"/>
      <c r="X281" t="s">
        <v>57</v>
      </c>
      <c r="Y281" t="s">
        <v>59</v>
      </c>
    </row>
    <row r="282" spans="1:25" x14ac:dyDescent="0.25">
      <c r="A282">
        <v>21812</v>
      </c>
      <c r="B282" t="e">
        <f>_xlfn.CONCAT([2]!bron[[#This Row],[personeelsnr]]," ",C282," ",D282)</f>
        <v>#REF!</v>
      </c>
      <c r="C282" t="str">
        <f>VLOOKUP(bron[[#This Row],[personeelsnr]],'data hastus'!$A:$C,2,0)</f>
        <v>Ettaibi</v>
      </c>
      <c r="D282" t="str">
        <f>VLOOKUP(bron[[#This Row],[personeelsnr]],'data hastus'!$A:$C,3,0)</f>
        <v>Moulay Abdenâzih</v>
      </c>
      <c r="E282" t="str">
        <f>VLOOKUP(bron[[#This Row],[personeelsnr]],'data hastus'!A:K,11,FALSE)</f>
        <v>Dominique De Clercq</v>
      </c>
      <c r="F282" s="10"/>
      <c r="G282" s="7"/>
      <c r="H282" s="7"/>
      <c r="I282" s="7"/>
      <c r="R282" s="5">
        <v>1</v>
      </c>
      <c r="S282" s="5">
        <f>SUM(bron[[#This Row],[Januari]:[December]])</f>
        <v>1</v>
      </c>
      <c r="T282" s="9">
        <v>45647</v>
      </c>
      <c r="U282" s="8" t="s">
        <v>775</v>
      </c>
      <c r="V282" s="8"/>
      <c r="W282" s="8">
        <v>1</v>
      </c>
      <c r="X282" t="s">
        <v>58</v>
      </c>
      <c r="Y282" t="s">
        <v>18</v>
      </c>
    </row>
    <row r="283" spans="1:25" x14ac:dyDescent="0.25">
      <c r="A283">
        <v>38938</v>
      </c>
      <c r="B283" t="e">
        <f>_xlfn.CONCAT([2]!bron[[#This Row],[personeelsnr]]," ",C283," ",D283)</f>
        <v>#REF!</v>
      </c>
      <c r="C283" t="str">
        <f>VLOOKUP(bron[[#This Row],[personeelsnr]],'data hastus'!$A:$C,2,0)</f>
        <v>Sedighi</v>
      </c>
      <c r="D283" t="str">
        <f>VLOOKUP(bron[[#This Row],[personeelsnr]],'data hastus'!$A:$C,3,0)</f>
        <v>Hamid</v>
      </c>
      <c r="E283" t="str">
        <f>VLOOKUP(bron[[#This Row],[personeelsnr]],'data hastus'!A:K,11,FALSE)</f>
        <v>Lucie Vande Velde</v>
      </c>
      <c r="F283" s="10"/>
      <c r="G283" s="7"/>
      <c r="H283" s="7"/>
      <c r="I283" s="7"/>
      <c r="R283" s="5">
        <v>1</v>
      </c>
      <c r="S283" s="5">
        <f>SUM(bron[[#This Row],[Januari]:[December]])</f>
        <v>1</v>
      </c>
      <c r="T283" s="9">
        <v>45647</v>
      </c>
      <c r="U283" s="8" t="s">
        <v>776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38938</v>
      </c>
      <c r="B284" t="e">
        <f>_xlfn.CONCAT([2]!bron[[#This Row],[personeelsnr]]," ",C284," ",D284)</f>
        <v>#REF!</v>
      </c>
      <c r="C284" t="str">
        <f>VLOOKUP(bron[[#This Row],[personeelsnr]],'data hastus'!$A:$C,2,0)</f>
        <v>Sedighi</v>
      </c>
      <c r="D284" t="str">
        <f>VLOOKUP(bron[[#This Row],[personeelsnr]],'data hastus'!$A:$C,3,0)</f>
        <v>Hamid</v>
      </c>
      <c r="E284" t="str">
        <f>VLOOKUP(bron[[#This Row],[personeelsnr]],'data hastus'!A:K,11,FALSE)</f>
        <v>Lucie Vande Velde</v>
      </c>
      <c r="F284" s="10"/>
      <c r="G284" s="7"/>
      <c r="H284" s="7"/>
      <c r="I284" s="7"/>
      <c r="R284" s="5">
        <v>1</v>
      </c>
      <c r="S284" s="5">
        <f>SUM(bron[[#This Row],[Januari]:[December]])</f>
        <v>1</v>
      </c>
      <c r="T284" s="9">
        <v>45647</v>
      </c>
      <c r="U284" s="8" t="s">
        <v>777</v>
      </c>
      <c r="V284" s="8"/>
      <c r="W284" s="8">
        <v>1</v>
      </c>
      <c r="X284" t="s">
        <v>58</v>
      </c>
      <c r="Y284" t="s">
        <v>70</v>
      </c>
    </row>
    <row r="285" spans="1:25" x14ac:dyDescent="0.25">
      <c r="A285">
        <v>40652</v>
      </c>
      <c r="B285" t="e">
        <f>_xlfn.CONCAT([2]!bron[[#This Row],[personeelsnr]]," ",C285," ",D285)</f>
        <v>#REF!</v>
      </c>
      <c r="C285" t="str">
        <f>VLOOKUP(bron[[#This Row],[personeelsnr]],'data hastus'!$A:$C,2,0)</f>
        <v>Van Damme</v>
      </c>
      <c r="D285" t="str">
        <f>VLOOKUP(bron[[#This Row],[personeelsnr]],'data hastus'!$A:$C,3,0)</f>
        <v>Gilyann</v>
      </c>
      <c r="E285" t="str">
        <f>VLOOKUP(bron[[#This Row],[personeelsnr]],'data hastus'!A:K,11,FALSE)</f>
        <v>Els Vanhoe</v>
      </c>
      <c r="F285" s="10"/>
      <c r="G285" s="7"/>
      <c r="H285" s="7"/>
      <c r="I285" s="7"/>
      <c r="R285" s="5">
        <v>1</v>
      </c>
      <c r="S285" s="5">
        <f>SUM(bron[[#This Row],[Januari]:[December]])</f>
        <v>1</v>
      </c>
      <c r="T285" s="9">
        <v>45646</v>
      </c>
      <c r="U285" s="8" t="s">
        <v>771</v>
      </c>
      <c r="V285" s="8">
        <v>1</v>
      </c>
      <c r="W285" s="8"/>
      <c r="X285" t="s">
        <v>57</v>
      </c>
      <c r="Y285" t="s">
        <v>49</v>
      </c>
    </row>
    <row r="286" spans="1:25" x14ac:dyDescent="0.25">
      <c r="A286">
        <v>26847</v>
      </c>
      <c r="B286" t="e">
        <f>_xlfn.CONCAT([2]!bron[[#This Row],[personeelsnr]]," ",C286," ",D286)</f>
        <v>#REF!</v>
      </c>
      <c r="C286" t="str">
        <f>VLOOKUP(bron[[#This Row],[personeelsnr]],'data hastus'!$A:$C,2,0)</f>
        <v>De Meester</v>
      </c>
      <c r="D286" t="str">
        <f>VLOOKUP(bron[[#This Row],[personeelsnr]],'data hastus'!$A:$C,3,0)</f>
        <v>David</v>
      </c>
      <c r="E286" t="str">
        <f>VLOOKUP(bron[[#This Row],[personeelsnr]],'data hastus'!A:K,11,FALSE)</f>
        <v>Bart Van Der Beken</v>
      </c>
      <c r="F286" s="10"/>
      <c r="G286" s="7"/>
      <c r="H286" s="7"/>
      <c r="I286" s="7"/>
      <c r="R286" s="5">
        <v>1</v>
      </c>
      <c r="S286" s="5">
        <f>SUM(bron[[#This Row],[Januari]:[December]])</f>
        <v>1</v>
      </c>
      <c r="T286" s="9">
        <v>45646</v>
      </c>
      <c r="U286" s="8" t="s">
        <v>772</v>
      </c>
      <c r="V286" s="8"/>
      <c r="W286" s="8">
        <v>1</v>
      </c>
      <c r="X286" t="s">
        <v>58</v>
      </c>
      <c r="Y286" t="s">
        <v>25</v>
      </c>
    </row>
    <row r="287" spans="1:25" x14ac:dyDescent="0.25">
      <c r="A287">
        <v>38938</v>
      </c>
      <c r="B287" t="e">
        <f>_xlfn.CONCAT([2]!bron[[#This Row],[personeelsnr]]," ",C287," ",D287)</f>
        <v>#REF!</v>
      </c>
      <c r="C287" t="str">
        <f>VLOOKUP(bron[[#This Row],[personeelsnr]],'data hastus'!$A:$C,2,0)</f>
        <v>Sedighi</v>
      </c>
      <c r="D287" t="str">
        <f>VLOOKUP(bron[[#This Row],[personeelsnr]],'data hastus'!$A:$C,3,0)</f>
        <v>Hamid</v>
      </c>
      <c r="E287" t="str">
        <f>VLOOKUP(bron[[#This Row],[personeelsnr]],'data hastus'!A:K,11,FALSE)</f>
        <v>Lucie Vande Velde</v>
      </c>
      <c r="F287" s="10"/>
      <c r="G287" s="7"/>
      <c r="H287" s="7"/>
      <c r="I287" s="7"/>
      <c r="R287" s="5">
        <v>1</v>
      </c>
      <c r="S287" s="5">
        <f>SUM(bron[[#This Row],[Januari]:[December]])</f>
        <v>1</v>
      </c>
      <c r="T287" s="9">
        <v>45646</v>
      </c>
      <c r="U287" s="8" t="s">
        <v>773</v>
      </c>
      <c r="V287" s="8"/>
      <c r="W287" s="8">
        <v>1</v>
      </c>
      <c r="X287" t="s">
        <v>58</v>
      </c>
      <c r="Y287" t="s">
        <v>37</v>
      </c>
    </row>
    <row r="288" spans="1:25" x14ac:dyDescent="0.25">
      <c r="A288">
        <v>40005</v>
      </c>
      <c r="B288" t="e">
        <f>_xlfn.CONCAT([2]!bron[[#This Row],[personeelsnr]]," ",C288," ",D288)</f>
        <v>#REF!</v>
      </c>
      <c r="C288" t="str">
        <f>VLOOKUP(bron[[#This Row],[personeelsnr]],'data hastus'!$A:$C,2,0)</f>
        <v>Bernaerts</v>
      </c>
      <c r="D288" t="str">
        <f>VLOOKUP(bron[[#This Row],[personeelsnr]],'data hastus'!$A:$C,3,0)</f>
        <v>Philip</v>
      </c>
      <c r="E288" t="str">
        <f>VLOOKUP(bron[[#This Row],[personeelsnr]],'data hastus'!A:K,11,FALSE)</f>
        <v>Christoff Rotty</v>
      </c>
      <c r="F288" s="10"/>
      <c r="G288" s="7"/>
      <c r="H288" s="7"/>
      <c r="I288" s="7"/>
      <c r="R288" s="5">
        <v>1</v>
      </c>
      <c r="S288" s="5">
        <f>SUM(bron[[#This Row],[Januari]:[December]])</f>
        <v>1</v>
      </c>
      <c r="T288" s="9">
        <v>45645</v>
      </c>
      <c r="U288" s="8" t="s">
        <v>770</v>
      </c>
      <c r="V288" s="8">
        <v>1</v>
      </c>
      <c r="W288" s="8"/>
      <c r="X288" t="s">
        <v>57</v>
      </c>
      <c r="Y288" t="s">
        <v>52</v>
      </c>
    </row>
    <row r="289" spans="1:25" x14ac:dyDescent="0.25">
      <c r="A289">
        <v>33400</v>
      </c>
      <c r="B289" t="e">
        <f>_xlfn.CONCAT([2]!bron[[#This Row],[personeelsnr]]," ",C289," ",D289)</f>
        <v>#REF!</v>
      </c>
      <c r="C289" t="str">
        <f>VLOOKUP(bron[[#This Row],[personeelsnr]],'data hastus'!$A:$C,2,0)</f>
        <v>Petit</v>
      </c>
      <c r="D289" t="str">
        <f>VLOOKUP(bron[[#This Row],[personeelsnr]],'data hastus'!$A:$C,3,0)</f>
        <v>Cynthia</v>
      </c>
      <c r="E289" t="str">
        <f>VLOOKUP(bron[[#This Row],[personeelsnr]],'data hastus'!A:K,11,FALSE)</f>
        <v>Christoff Rotty</v>
      </c>
      <c r="F289" s="10"/>
      <c r="G289" s="7"/>
      <c r="H289" s="7"/>
      <c r="I289" s="7"/>
      <c r="R289" s="5">
        <v>1</v>
      </c>
      <c r="S289" s="5">
        <f>SUM(bron[[#This Row],[Januari]:[December]])</f>
        <v>1</v>
      </c>
      <c r="T289" s="9">
        <v>45644</v>
      </c>
      <c r="U289" s="8" t="s">
        <v>768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24367</v>
      </c>
      <c r="B290" t="e">
        <f>_xlfn.CONCAT([2]!bron[[#This Row],[personeelsnr]]," ",C290," ",D290)</f>
        <v>#REF!</v>
      </c>
      <c r="C290" t="str">
        <f>VLOOKUP(bron[[#This Row],[personeelsnr]],'data hastus'!$A:$C,2,0)</f>
        <v>Tayefeh Arbab</v>
      </c>
      <c r="D290" t="str">
        <f>VLOOKUP(bron[[#This Row],[personeelsnr]],'data hastus'!$A:$C,3,0)</f>
        <v>Ali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R290" s="5">
        <v>1</v>
      </c>
      <c r="S290" s="5">
        <f>SUM(bron[[#This Row],[Januari]:[December]])</f>
        <v>1</v>
      </c>
      <c r="T290" s="9">
        <v>45644</v>
      </c>
      <c r="U290" s="8" t="s">
        <v>769</v>
      </c>
      <c r="V290" s="8">
        <v>1</v>
      </c>
      <c r="W290" s="8"/>
      <c r="X290" t="s">
        <v>57</v>
      </c>
      <c r="Y290" t="s">
        <v>30</v>
      </c>
    </row>
    <row r="291" spans="1:25" x14ac:dyDescent="0.25">
      <c r="A291">
        <v>36513</v>
      </c>
      <c r="B291" t="e">
        <f>_xlfn.CONCAT([2]!bron[[#This Row],[personeelsnr]]," ",C291," ",D291)</f>
        <v>#REF!</v>
      </c>
      <c r="C291" t="str">
        <f>VLOOKUP(bron[[#This Row],[personeelsnr]],'data hastus'!$A:$C,2,0)</f>
        <v>Sogut</v>
      </c>
      <c r="D291" t="str">
        <f>VLOOKUP(bron[[#This Row],[personeelsnr]],'data hastus'!$A:$C,3,0)</f>
        <v>Rauf</v>
      </c>
      <c r="E291" t="str">
        <f>VLOOKUP(bron[[#This Row],[personeelsnr]],'data hastus'!A:K,11,FALSE)</f>
        <v>Kenneth De Rick</v>
      </c>
      <c r="F291" s="10"/>
      <c r="G291" s="7"/>
      <c r="H291" s="7"/>
      <c r="I291" s="7"/>
      <c r="R291" s="5">
        <v>1</v>
      </c>
      <c r="S291" s="5">
        <f>SUM(bron[[#This Row],[Januari]:[December]])</f>
        <v>1</v>
      </c>
      <c r="T291" s="9">
        <v>45643</v>
      </c>
      <c r="U291" s="8" t="s">
        <v>767</v>
      </c>
      <c r="V291" s="8">
        <v>1</v>
      </c>
      <c r="W291" s="8"/>
      <c r="X291" t="s">
        <v>57</v>
      </c>
      <c r="Y291" t="s">
        <v>47</v>
      </c>
    </row>
    <row r="292" spans="1:25" x14ac:dyDescent="0.25">
      <c r="A292">
        <v>18173</v>
      </c>
      <c r="B292" t="e">
        <f>_xlfn.CONCAT([2]!bron[[#This Row],[personeelsnr]]," ",C292," ",D292)</f>
        <v>#REF!</v>
      </c>
      <c r="C292" t="str">
        <f>VLOOKUP(bron[[#This Row],[personeelsnr]],'data hastus'!$A:$C,2,0)</f>
        <v>De Vos</v>
      </c>
      <c r="D292" t="str">
        <f>VLOOKUP(bron[[#This Row],[personeelsnr]],'data hastus'!$A:$C,3,0)</f>
        <v>Günter</v>
      </c>
      <c r="E292" t="str">
        <f>VLOOKUP(bron[[#This Row],[personeelsnr]],'data hastus'!A:K,11,FALSE)</f>
        <v>Kenneth De Rick</v>
      </c>
      <c r="F292" s="10"/>
      <c r="G292" s="7"/>
      <c r="H292" s="7"/>
      <c r="I292" s="7"/>
      <c r="R292" s="5">
        <v>1</v>
      </c>
      <c r="S292" s="5">
        <f>SUM(bron[[#This Row],[Januari]:[December]])</f>
        <v>1</v>
      </c>
      <c r="T292" s="9">
        <v>45642</v>
      </c>
      <c r="U292" s="8" t="s">
        <v>765</v>
      </c>
      <c r="V292" s="8">
        <v>1</v>
      </c>
      <c r="W292" s="8"/>
      <c r="X292" t="s">
        <v>57</v>
      </c>
      <c r="Y292" t="s">
        <v>85</v>
      </c>
    </row>
    <row r="293" spans="1:25" x14ac:dyDescent="0.25">
      <c r="A293">
        <v>41296</v>
      </c>
      <c r="B293" t="e">
        <f>_xlfn.CONCAT([2]!bron[[#This Row],[personeelsnr]]," ",C293," ",D293)</f>
        <v>#REF!</v>
      </c>
      <c r="C293" t="str">
        <f>VLOOKUP(bron[[#This Row],[personeelsnr]],'data hastus'!$A:$C,2,0)</f>
        <v>Abulehia</v>
      </c>
      <c r="D293" t="str">
        <f>VLOOKUP(bron[[#This Row],[personeelsnr]],'data hastus'!$A:$C,3,0)</f>
        <v>Oday</v>
      </c>
      <c r="E293" t="str">
        <f>VLOOKUP(bron[[#This Row],[personeelsnr]],'data hastus'!A:K,11,FALSE)</f>
        <v>Christoff Rotty</v>
      </c>
      <c r="F293" s="10"/>
      <c r="G293" s="7"/>
      <c r="H293" s="7"/>
      <c r="I293" s="7"/>
      <c r="R293" s="5">
        <v>1</v>
      </c>
      <c r="S293" s="5">
        <f>SUM(bron[[#This Row],[Januari]:[December]])</f>
        <v>1</v>
      </c>
      <c r="T293" s="9">
        <v>45642</v>
      </c>
      <c r="U293" s="8" t="s">
        <v>766</v>
      </c>
      <c r="V293" s="8">
        <v>1</v>
      </c>
      <c r="W293" s="8"/>
      <c r="X293" t="s">
        <v>57</v>
      </c>
      <c r="Y293" t="s">
        <v>18</v>
      </c>
    </row>
    <row r="294" spans="1:25" x14ac:dyDescent="0.25">
      <c r="A294">
        <v>16897</v>
      </c>
      <c r="B294" t="e">
        <f>_xlfn.CONCAT([2]!bron[[#This Row],[personeelsnr]]," ",C294," ",D294)</f>
        <v>#REF!</v>
      </c>
      <c r="C294" t="str">
        <f>VLOOKUP(bron[[#This Row],[personeelsnr]],'data hastus'!$A:$C,2,0)</f>
        <v>VandenDaele</v>
      </c>
      <c r="D294" t="str">
        <f>VLOOKUP(bron[[#This Row],[personeelsnr]],'data hastus'!$A:$C,3,0)</f>
        <v>Andy</v>
      </c>
      <c r="E294" t="str">
        <f>VLOOKUP(bron[[#This Row],[personeelsnr]],'data hastus'!A:K,11,FALSE)</f>
        <v>Steven Storm</v>
      </c>
      <c r="F294" s="10"/>
      <c r="G294" s="7"/>
      <c r="H294" s="7"/>
      <c r="I294" s="7"/>
      <c r="R294" s="5">
        <v>1</v>
      </c>
      <c r="S294" s="5">
        <f>SUM(bron[[#This Row],[Januari]:[December]])</f>
        <v>1</v>
      </c>
      <c r="T294" s="9">
        <v>45641</v>
      </c>
      <c r="U294" s="8" t="s">
        <v>764</v>
      </c>
      <c r="V294" s="8"/>
      <c r="W294" s="8">
        <v>1</v>
      </c>
      <c r="X294" t="s">
        <v>58</v>
      </c>
      <c r="Y294" t="s">
        <v>118</v>
      </c>
    </row>
    <row r="295" spans="1:25" x14ac:dyDescent="0.25">
      <c r="A295">
        <v>29477</v>
      </c>
      <c r="B295" t="e">
        <f>_xlfn.CONCAT([2]!bron[[#This Row],[personeelsnr]]," ",C295," ",D295)</f>
        <v>#REF!</v>
      </c>
      <c r="C295" t="str">
        <f>VLOOKUP(bron[[#This Row],[personeelsnr]],'data hastus'!$A:$C,2,0)</f>
        <v>De Vuyst</v>
      </c>
      <c r="D295" t="str">
        <f>VLOOKUP(bron[[#This Row],[personeelsnr]],'data hastus'!$A:$C,3,0)</f>
        <v>Boyke</v>
      </c>
      <c r="E295" t="str">
        <f>VLOOKUP(bron[[#This Row],[personeelsnr]],'data hastus'!A:K,11,FALSE)</f>
        <v>Lucie Vande Velde</v>
      </c>
      <c r="F295" s="10"/>
      <c r="G295" s="7"/>
      <c r="H295" s="7"/>
      <c r="I295" s="7"/>
      <c r="R295" s="5">
        <v>1</v>
      </c>
      <c r="S295" s="5">
        <f>SUM(bron[[#This Row],[Januari]:[December]])</f>
        <v>1</v>
      </c>
      <c r="T295" s="9">
        <v>45640</v>
      </c>
      <c r="U295" s="8" t="s">
        <v>763</v>
      </c>
      <c r="V295" s="8">
        <v>1</v>
      </c>
      <c r="W295" s="8"/>
      <c r="X295" t="s">
        <v>57</v>
      </c>
      <c r="Y295" t="s">
        <v>26</v>
      </c>
    </row>
    <row r="296" spans="1:25" x14ac:dyDescent="0.25">
      <c r="A296">
        <v>39529</v>
      </c>
      <c r="B296" t="e">
        <f>_xlfn.CONCAT([2]!bron[[#This Row],[personeelsnr]]," ",C296," ",D296)</f>
        <v>#REF!</v>
      </c>
      <c r="C296" t="str">
        <f>VLOOKUP(bron[[#This Row],[personeelsnr]],'data hastus'!$A:$C,2,0)</f>
        <v>Desmet</v>
      </c>
      <c r="D296" t="str">
        <f>VLOOKUP(bron[[#This Row],[personeelsnr]],'data hastus'!$A:$C,3,0)</f>
        <v>Patricia</v>
      </c>
      <c r="E296" t="str">
        <f>VLOOKUP(bron[[#This Row],[personeelsnr]],'data hastus'!A:K,11,FALSE)</f>
        <v>Christoff Rotty</v>
      </c>
      <c r="F296" s="10"/>
      <c r="G296" s="7"/>
      <c r="H296" s="7"/>
      <c r="I296" s="7"/>
      <c r="R296" s="5">
        <v>1</v>
      </c>
      <c r="S296" s="5">
        <f>SUM(bron[[#This Row],[Januari]:[December]])</f>
        <v>1</v>
      </c>
      <c r="T296" s="9">
        <v>45638</v>
      </c>
      <c r="U296" s="8" t="s">
        <v>759</v>
      </c>
      <c r="V296" s="8">
        <v>1</v>
      </c>
      <c r="W296" s="8"/>
      <c r="X296" t="s">
        <v>57</v>
      </c>
      <c r="Y296" t="s">
        <v>27</v>
      </c>
    </row>
    <row r="297" spans="1:25" x14ac:dyDescent="0.25">
      <c r="A297">
        <v>15628</v>
      </c>
      <c r="B297" t="e">
        <f>_xlfn.CONCAT([2]!bron[[#This Row],[personeelsnr]]," ",C297," ",D297)</f>
        <v>#REF!</v>
      </c>
      <c r="C297" t="str">
        <f>VLOOKUP(bron[[#This Row],[personeelsnr]],'data hastus'!$A:$C,2,0)</f>
        <v>Wulfranck</v>
      </c>
      <c r="D297" t="str">
        <f>VLOOKUP(bron[[#This Row],[personeelsnr]],'data hastus'!$A:$C,3,0)</f>
        <v>Dominique</v>
      </c>
      <c r="E297" t="str">
        <f>VLOOKUP(bron[[#This Row],[personeelsnr]],'data hastus'!A:K,11,FALSE)</f>
        <v>Kenneth De Rick</v>
      </c>
      <c r="F297" s="10"/>
      <c r="G297" s="7"/>
      <c r="H297" s="7"/>
      <c r="I297" s="7"/>
      <c r="R297" s="5">
        <v>1</v>
      </c>
      <c r="S297" s="5">
        <f>SUM(bron[[#This Row],[Januari]:[December]])</f>
        <v>1</v>
      </c>
      <c r="T297" s="9">
        <v>45638</v>
      </c>
      <c r="U297" s="8" t="s">
        <v>760</v>
      </c>
      <c r="V297" s="8">
        <v>1</v>
      </c>
      <c r="W297" s="8"/>
      <c r="X297" t="s">
        <v>57</v>
      </c>
      <c r="Y297" t="s">
        <v>64</v>
      </c>
    </row>
    <row r="298" spans="1:25" x14ac:dyDescent="0.25">
      <c r="A298">
        <v>40652</v>
      </c>
      <c r="B298" t="e">
        <f>_xlfn.CONCAT([2]!bron[[#This Row],[personeelsnr]]," ",C298," ",D298)</f>
        <v>#REF!</v>
      </c>
      <c r="C298" t="str">
        <f>VLOOKUP(bron[[#This Row],[personeelsnr]],'data hastus'!$A:$C,2,0)</f>
        <v>Van Damme</v>
      </c>
      <c r="D298" t="str">
        <f>VLOOKUP(bron[[#This Row],[personeelsnr]],'data hastus'!$A:$C,3,0)</f>
        <v>Gilyann</v>
      </c>
      <c r="E298" t="str">
        <f>VLOOKUP(bron[[#This Row],[personeelsnr]],'data hastus'!A:K,11,FALSE)</f>
        <v>Els Vanhoe</v>
      </c>
      <c r="F298" s="10"/>
      <c r="G298" s="7"/>
      <c r="H298" s="7"/>
      <c r="I298" s="7"/>
      <c r="R298" s="5">
        <v>1</v>
      </c>
      <c r="S298" s="5">
        <f>SUM(bron[[#This Row],[Januari]:[December]])</f>
        <v>1</v>
      </c>
      <c r="T298" s="9">
        <v>45638</v>
      </c>
      <c r="U298" s="8" t="s">
        <v>761</v>
      </c>
      <c r="V298" s="8">
        <v>1</v>
      </c>
      <c r="W298" s="8"/>
      <c r="X298" t="s">
        <v>57</v>
      </c>
      <c r="Y298" t="s">
        <v>129</v>
      </c>
    </row>
    <row r="299" spans="1:25" x14ac:dyDescent="0.25">
      <c r="A299">
        <v>22767</v>
      </c>
      <c r="B299" t="e">
        <f>_xlfn.CONCAT([2]!bron[[#This Row],[personeelsnr]]," ",C299," ",D299)</f>
        <v>#REF!</v>
      </c>
      <c r="C299" t="str">
        <f>VLOOKUP(bron[[#This Row],[personeelsnr]],'data hastus'!$A:$C,2,0)</f>
        <v>Osseel</v>
      </c>
      <c r="D299" t="str">
        <f>VLOOKUP(bron[[#This Row],[personeelsnr]],'data hastus'!$A:$C,3,0)</f>
        <v>Johan</v>
      </c>
      <c r="E299" t="str">
        <f>VLOOKUP(bron[[#This Row],[personeelsnr]],'data hastus'!A:K,11,FALSE)</f>
        <v>Dominique De Clercq</v>
      </c>
      <c r="F299" s="10"/>
      <c r="G299" s="7"/>
      <c r="H299" s="7"/>
      <c r="I299" s="7"/>
      <c r="R299" s="5">
        <v>1</v>
      </c>
      <c r="S299" s="5">
        <f>SUM(bron[[#This Row],[Januari]:[December]])</f>
        <v>1</v>
      </c>
      <c r="T299" s="9">
        <v>45638</v>
      </c>
      <c r="U299" s="8" t="s">
        <v>762</v>
      </c>
      <c r="V299" s="8"/>
      <c r="W299" s="8">
        <v>1</v>
      </c>
      <c r="X299" t="s">
        <v>58</v>
      </c>
      <c r="Y299" t="s">
        <v>60</v>
      </c>
    </row>
    <row r="300" spans="1:25" x14ac:dyDescent="0.25">
      <c r="A300">
        <v>17555</v>
      </c>
      <c r="B300" t="e">
        <f>_xlfn.CONCAT([2]!bron[[#This Row],[personeelsnr]]," ",C300," ",D300)</f>
        <v>#REF!</v>
      </c>
      <c r="C300" t="str">
        <f>VLOOKUP(bron[[#This Row],[personeelsnr]],'data hastus'!$A:$C,2,0)</f>
        <v>DeBisschop</v>
      </c>
      <c r="D300" t="str">
        <f>VLOOKUP(bron[[#This Row],[personeelsnr]],'data hastus'!$A:$C,3,0)</f>
        <v>Wendy</v>
      </c>
      <c r="E300" t="str">
        <f>VLOOKUP(bron[[#This Row],[personeelsnr]],'data hastus'!A:K,11,FALSE)</f>
        <v>Bart Van Der Beken</v>
      </c>
      <c r="F300" s="10"/>
      <c r="G300" s="7"/>
      <c r="H300" s="7"/>
      <c r="I300" s="7"/>
      <c r="R300" s="5">
        <v>1</v>
      </c>
      <c r="S300" s="5">
        <f>SUM(bron[[#This Row],[Januari]:[December]])</f>
        <v>1</v>
      </c>
      <c r="T300" s="9">
        <v>45636</v>
      </c>
      <c r="U300" s="8" t="s">
        <v>758</v>
      </c>
      <c r="V300" s="8">
        <v>1</v>
      </c>
      <c r="W300" s="8"/>
      <c r="X300" t="s">
        <v>57</v>
      </c>
      <c r="Y300" t="s">
        <v>27</v>
      </c>
    </row>
    <row r="301" spans="1:25" x14ac:dyDescent="0.25">
      <c r="A301">
        <v>37662</v>
      </c>
      <c r="B301" t="e">
        <f>_xlfn.CONCAT([2]!bron[[#This Row],[personeelsnr]]," ",C301," ",D301)</f>
        <v>#REF!</v>
      </c>
      <c r="C301" t="str">
        <f>VLOOKUP(bron[[#This Row],[personeelsnr]],'data hastus'!$A:$C,2,0)</f>
        <v>Van den Meerssche</v>
      </c>
      <c r="D301" t="str">
        <f>VLOOKUP(bron[[#This Row],[personeelsnr]],'data hastus'!$A:$C,3,0)</f>
        <v>Steven</v>
      </c>
      <c r="E301" t="str">
        <f>VLOOKUP(bron[[#This Row],[personeelsnr]],'data hastus'!A:K,11,FALSE)</f>
        <v>Bart Van Der Beken</v>
      </c>
      <c r="F301" s="10"/>
      <c r="G301" s="7"/>
      <c r="H301" s="7"/>
      <c r="I301" s="7"/>
      <c r="R301" s="5">
        <v>1</v>
      </c>
      <c r="S301" s="5">
        <f>SUM(bron[[#This Row],[Januari]:[December]])</f>
        <v>1</v>
      </c>
      <c r="T301" s="9">
        <v>45635</v>
      </c>
      <c r="U301" s="8" t="s">
        <v>755</v>
      </c>
      <c r="V301" s="8">
        <v>1</v>
      </c>
      <c r="W301" s="8"/>
      <c r="X301" t="s">
        <v>57</v>
      </c>
      <c r="Y301" t="s">
        <v>23</v>
      </c>
    </row>
    <row r="302" spans="1:25" x14ac:dyDescent="0.25">
      <c r="A302">
        <v>32542</v>
      </c>
      <c r="B302" t="e">
        <f>_xlfn.CONCAT([2]!bron[[#This Row],[personeelsnr]]," ",C302," ",D302)</f>
        <v>#REF!</v>
      </c>
      <c r="C302" t="str">
        <f>VLOOKUP(bron[[#This Row],[personeelsnr]],'data hastus'!$A:$C,2,0)</f>
        <v>Vanderstock</v>
      </c>
      <c r="D302" t="str">
        <f>VLOOKUP(bron[[#This Row],[personeelsnr]],'data hastus'!$A:$C,3,0)</f>
        <v>Kenny</v>
      </c>
      <c r="E302" t="str">
        <f>VLOOKUP(bron[[#This Row],[personeelsnr]],'data hastus'!A:K,11,FALSE)</f>
        <v>Dominique De Clercq</v>
      </c>
      <c r="F302" s="10"/>
      <c r="G302" s="7"/>
      <c r="H302" s="7"/>
      <c r="I302" s="7"/>
      <c r="R302" s="5">
        <v>1</v>
      </c>
      <c r="S302" s="5">
        <f>SUM(bron[[#This Row],[Januari]:[December]])</f>
        <v>1</v>
      </c>
      <c r="T302" s="9">
        <v>45635</v>
      </c>
      <c r="U302" s="8" t="s">
        <v>756</v>
      </c>
      <c r="V302" s="8"/>
      <c r="W302" s="8">
        <v>1</v>
      </c>
      <c r="X302" t="s">
        <v>58</v>
      </c>
      <c r="Y302" t="s">
        <v>221</v>
      </c>
    </row>
    <row r="303" spans="1:25" x14ac:dyDescent="0.25">
      <c r="A303">
        <v>33450</v>
      </c>
      <c r="B303" t="e">
        <f>_xlfn.CONCAT([2]!bron[[#This Row],[personeelsnr]]," ",C303," ",D303)</f>
        <v>#REF!</v>
      </c>
      <c r="C303" t="str">
        <f>VLOOKUP(bron[[#This Row],[personeelsnr]],'data hastus'!$A:$C,2,0)</f>
        <v>Verroeye</v>
      </c>
      <c r="D303" t="str">
        <f>VLOOKUP(bron[[#This Row],[personeelsnr]],'data hastus'!$A:$C,3,0)</f>
        <v>Chris</v>
      </c>
      <c r="E303" t="str">
        <f>VLOOKUP(bron[[#This Row],[personeelsnr]],'data hastus'!A:K,11,FALSE)</f>
        <v>Kenneth De Rick</v>
      </c>
      <c r="F303" s="10"/>
      <c r="G303" s="7"/>
      <c r="H303" s="7"/>
      <c r="I303" s="7"/>
      <c r="R303" s="5">
        <v>1</v>
      </c>
      <c r="S303" s="5">
        <f>SUM(bron[[#This Row],[Januari]:[December]])</f>
        <v>1</v>
      </c>
      <c r="T303" s="9">
        <v>45635</v>
      </c>
      <c r="U303" s="8" t="s">
        <v>757</v>
      </c>
      <c r="V303" s="8"/>
      <c r="W303" s="8">
        <v>1</v>
      </c>
      <c r="X303" t="s">
        <v>58</v>
      </c>
      <c r="Y303" t="s">
        <v>133</v>
      </c>
    </row>
    <row r="304" spans="1:25" x14ac:dyDescent="0.25">
      <c r="A304">
        <v>40294</v>
      </c>
      <c r="B304" t="e">
        <f>_xlfn.CONCAT([2]!bron[[#This Row],[personeelsnr]]," ",C304," ",D304)</f>
        <v>#REF!</v>
      </c>
      <c r="C304" t="str">
        <f>VLOOKUP(bron[[#This Row],[personeelsnr]],'data hastus'!$A:$C,2,0)</f>
        <v>Khder</v>
      </c>
      <c r="D304" t="str">
        <f>VLOOKUP(bron[[#This Row],[personeelsnr]],'data hastus'!$A:$C,3,0)</f>
        <v>Aram</v>
      </c>
      <c r="E304" t="str">
        <f>VLOOKUP(bron[[#This Row],[personeelsnr]],'data hastus'!A:K,11,FALSE)</f>
        <v>Christoff Rotty</v>
      </c>
      <c r="F304" s="10"/>
      <c r="G304" s="7"/>
      <c r="H304" s="7"/>
      <c r="I304" s="7"/>
      <c r="R304" s="5">
        <v>1</v>
      </c>
      <c r="S304" s="5">
        <f>SUM(bron[[#This Row],[Januari]:[December]])</f>
        <v>1</v>
      </c>
      <c r="T304" s="9">
        <v>45633</v>
      </c>
      <c r="U304" s="8" t="s">
        <v>754</v>
      </c>
      <c r="V304" s="8">
        <v>1</v>
      </c>
      <c r="W304" s="8"/>
      <c r="X304" t="s">
        <v>57</v>
      </c>
      <c r="Y304" t="s">
        <v>168</v>
      </c>
    </row>
    <row r="305" spans="1:25" x14ac:dyDescent="0.25">
      <c r="A305">
        <v>35379</v>
      </c>
      <c r="B305" t="e">
        <f>_xlfn.CONCAT([2]!bron[[#This Row],[personeelsnr]]," ",C305," ",D305)</f>
        <v>#REF!</v>
      </c>
      <c r="C305" t="str">
        <f>VLOOKUP(bron[[#This Row],[personeelsnr]],'data hastus'!$A:$C,2,0)</f>
        <v>Engels</v>
      </c>
      <c r="D305" t="str">
        <f>VLOOKUP(bron[[#This Row],[personeelsnr]],'data hastus'!$A:$C,3,0)</f>
        <v>Sam</v>
      </c>
      <c r="E305" t="str">
        <f>VLOOKUP(bron[[#This Row],[personeelsnr]],'data hastus'!A:K,11,FALSE)</f>
        <v>Els Vanhoe</v>
      </c>
      <c r="F305" s="10"/>
      <c r="G305" s="7"/>
      <c r="H305" s="7"/>
      <c r="I305" s="7"/>
      <c r="R305" s="5">
        <v>1</v>
      </c>
      <c r="S305" s="5">
        <f>SUM(bron[[#This Row],[Januari]:[December]])</f>
        <v>1</v>
      </c>
      <c r="T305" s="3">
        <v>45632</v>
      </c>
      <c r="U305" s="8" t="s">
        <v>752</v>
      </c>
      <c r="V305" s="8"/>
      <c r="W305" s="8">
        <v>1</v>
      </c>
      <c r="X305" t="s">
        <v>58</v>
      </c>
      <c r="Y305" t="s">
        <v>104</v>
      </c>
    </row>
    <row r="306" spans="1:25" x14ac:dyDescent="0.25">
      <c r="A306">
        <v>37794</v>
      </c>
      <c r="B306" t="e">
        <f>_xlfn.CONCAT([2]!bron[[#This Row],[personeelsnr]]," ",C306," ",D306)</f>
        <v>#REF!</v>
      </c>
      <c r="C306" t="str">
        <f>VLOOKUP(bron[[#This Row],[personeelsnr]],'data hastus'!$A:$C,2,0)</f>
        <v>Demirkaya</v>
      </c>
      <c r="D306" t="str">
        <f>VLOOKUP(bron[[#This Row],[personeelsnr]],'data hastus'!$A:$C,3,0)</f>
        <v>Kâzim</v>
      </c>
      <c r="E306" t="str">
        <f>VLOOKUP(bron[[#This Row],[personeelsnr]],'data hastus'!A:K,11,FALSE)</f>
        <v>Steven Storm</v>
      </c>
      <c r="F306" s="10"/>
      <c r="G306" s="7"/>
      <c r="H306" s="7"/>
      <c r="I306" s="7"/>
      <c r="R306" s="5">
        <v>1</v>
      </c>
      <c r="S306" s="5">
        <f>SUM(bron[[#This Row],[Januari]:[December]])</f>
        <v>1</v>
      </c>
      <c r="T306" s="9">
        <v>45632</v>
      </c>
      <c r="U306" s="8" t="s">
        <v>753</v>
      </c>
      <c r="V306" s="8"/>
      <c r="W306" s="8">
        <v>1</v>
      </c>
      <c r="X306" t="s">
        <v>58</v>
      </c>
      <c r="Y306" t="s">
        <v>241</v>
      </c>
    </row>
    <row r="307" spans="1:25" x14ac:dyDescent="0.25">
      <c r="A307">
        <v>32387</v>
      </c>
      <c r="B307" t="e">
        <f>_xlfn.CONCAT([2]!bron[[#This Row],[personeelsnr]]," ",C307," ",D307)</f>
        <v>#REF!</v>
      </c>
      <c r="C307" t="str">
        <f>VLOOKUP(bron[[#This Row],[personeelsnr]],'data hastus'!$A:$C,2,0)</f>
        <v>Meersman</v>
      </c>
      <c r="D307" t="str">
        <f>VLOOKUP(bron[[#This Row],[personeelsnr]],'data hastus'!$A:$C,3,0)</f>
        <v>Herman</v>
      </c>
      <c r="E307" t="str">
        <f>VLOOKUP(bron[[#This Row],[personeelsnr]],'data hastus'!A:K,11,FALSE)</f>
        <v>Steven Storm</v>
      </c>
      <c r="F307" s="10"/>
      <c r="G307" s="7"/>
      <c r="H307" s="7"/>
      <c r="I307" s="7"/>
      <c r="R307" s="5">
        <v>1</v>
      </c>
      <c r="S307" s="5">
        <f>SUM(bron[[#This Row],[Januari]:[December]])</f>
        <v>1</v>
      </c>
      <c r="T307" s="9">
        <v>45630</v>
      </c>
      <c r="U307" s="8" t="s">
        <v>750</v>
      </c>
      <c r="V307" s="8">
        <v>1</v>
      </c>
      <c r="W307" s="8"/>
      <c r="X307" t="s">
        <v>57</v>
      </c>
      <c r="Y307" t="s">
        <v>18</v>
      </c>
    </row>
    <row r="308" spans="1:25" x14ac:dyDescent="0.25">
      <c r="A308">
        <v>40744</v>
      </c>
      <c r="B308" t="e">
        <f>_xlfn.CONCAT([2]!bron[[#This Row],[personeelsnr]]," ",C308," ",D308)</f>
        <v>#REF!</v>
      </c>
      <c r="C308" t="str">
        <f>VLOOKUP(bron[[#This Row],[personeelsnr]],'data hastus'!$A:$C,2,0)</f>
        <v>Gözüküçük</v>
      </c>
      <c r="D308" t="str">
        <f>VLOOKUP(bron[[#This Row],[personeelsnr]],'data hastus'!$A:$C,3,0)</f>
        <v>Ugur</v>
      </c>
      <c r="E308" t="str">
        <f>VLOOKUP(bron[[#This Row],[personeelsnr]],'data hastus'!A:K,11,FALSE)</f>
        <v>Bart Van Der Beken</v>
      </c>
      <c r="F308" s="10"/>
      <c r="G308" s="7"/>
      <c r="H308" s="7"/>
      <c r="I308" s="7"/>
      <c r="R308" s="5">
        <v>1</v>
      </c>
      <c r="S308" s="5">
        <f>SUM(bron[[#This Row],[Januari]:[December]])</f>
        <v>1</v>
      </c>
      <c r="T308" s="9">
        <v>45630</v>
      </c>
      <c r="U308" s="8" t="s">
        <v>751</v>
      </c>
      <c r="V308" s="8">
        <v>1</v>
      </c>
      <c r="W308" s="8"/>
      <c r="X308" t="s">
        <v>57</v>
      </c>
      <c r="Y308" t="s">
        <v>191</v>
      </c>
    </row>
    <row r="309" spans="1:25" x14ac:dyDescent="0.25">
      <c r="A309">
        <v>8394</v>
      </c>
      <c r="B309" t="e">
        <f>_xlfn.CONCAT([2]!bron[[#This Row],[personeelsnr]]," ",C309," ",D309)</f>
        <v>#REF!</v>
      </c>
      <c r="C309" t="str">
        <f>VLOOKUP(bron[[#This Row],[personeelsnr]],'data hastus'!$A:$C,2,0)</f>
        <v>Smet</v>
      </c>
      <c r="D309" t="str">
        <f>VLOOKUP(bron[[#This Row],[personeelsnr]],'data hastus'!$A:$C,3,0)</f>
        <v>Antoon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R309" s="5">
        <v>1</v>
      </c>
      <c r="S309" s="5">
        <f>SUM(bron[[#This Row],[Januari]:[December]])</f>
        <v>1</v>
      </c>
      <c r="T309" s="9">
        <v>45629</v>
      </c>
      <c r="U309" s="8" t="s">
        <v>748</v>
      </c>
      <c r="V309" s="8">
        <v>1</v>
      </c>
      <c r="W309" s="8"/>
      <c r="X309" t="s">
        <v>57</v>
      </c>
      <c r="Y309" t="s">
        <v>84</v>
      </c>
    </row>
    <row r="310" spans="1:25" x14ac:dyDescent="0.25">
      <c r="A310">
        <v>18987</v>
      </c>
      <c r="B310" t="e">
        <f>_xlfn.CONCAT([2]!bron[[#This Row],[personeelsnr]]," ",C310," ",D310)</f>
        <v>#REF!</v>
      </c>
      <c r="C310" t="str">
        <f>VLOOKUP(bron[[#This Row],[personeelsnr]],'data hastus'!$A:$C,2,0)</f>
        <v>De Geyter</v>
      </c>
      <c r="D310" t="str">
        <f>VLOOKUP(bron[[#This Row],[personeelsnr]],'data hastus'!$A:$C,3,0)</f>
        <v>Dolly</v>
      </c>
      <c r="E310" t="str">
        <f>VLOOKUP(bron[[#This Row],[personeelsnr]],'data hastus'!A:K,11,FALSE)</f>
        <v>Steven Storm</v>
      </c>
      <c r="F310" s="10"/>
      <c r="G310" s="7"/>
      <c r="H310" s="7"/>
      <c r="I310" s="7"/>
      <c r="R310" s="5">
        <v>1</v>
      </c>
      <c r="S310" s="5">
        <f>SUM(bron[[#This Row],[Januari]:[December]])</f>
        <v>1</v>
      </c>
      <c r="T310" s="9">
        <v>45629</v>
      </c>
      <c r="U310" s="8" t="s">
        <v>749</v>
      </c>
      <c r="V310" s="8">
        <v>1</v>
      </c>
      <c r="W310" s="8"/>
      <c r="X310" t="s">
        <v>57</v>
      </c>
      <c r="Y310" t="s">
        <v>62</v>
      </c>
    </row>
    <row r="311" spans="1:25" x14ac:dyDescent="0.25">
      <c r="A311">
        <v>19917</v>
      </c>
      <c r="B311" t="e">
        <f>_xlfn.CONCAT([2]!bron[[#This Row],[personeelsnr]]," ",C311," ",D311)</f>
        <v>#REF!</v>
      </c>
      <c r="C311" t="str">
        <f>VLOOKUP(bron[[#This Row],[personeelsnr]],'data hastus'!$A:$C,2,0)</f>
        <v>Vandevyvere</v>
      </c>
      <c r="D311" t="str">
        <f>VLOOKUP(bron[[#This Row],[personeelsnr]],'data hastus'!$A:$C,3,0)</f>
        <v>Frank</v>
      </c>
      <c r="E311" t="str">
        <f>VLOOKUP(bron[[#This Row],[personeelsnr]],'data hastus'!A:K,11,FALSE)</f>
        <v>Bart Van Der Beken</v>
      </c>
      <c r="F311" s="10"/>
      <c r="G311" s="7"/>
      <c r="H311" s="7"/>
      <c r="I311" s="7"/>
      <c r="R311" s="5">
        <v>1</v>
      </c>
      <c r="S311" s="5">
        <f>SUM(bron[[#This Row],[Januari]:[December]])</f>
        <v>1</v>
      </c>
      <c r="T311" s="9">
        <v>45628</v>
      </c>
      <c r="U311" s="8" t="s">
        <v>746</v>
      </c>
      <c r="V311" s="8">
        <v>1</v>
      </c>
      <c r="W311" s="8"/>
      <c r="X311" t="s">
        <v>57</v>
      </c>
      <c r="Y311" t="s">
        <v>172</v>
      </c>
    </row>
    <row r="312" spans="1:25" x14ac:dyDescent="0.25">
      <c r="A312">
        <v>37254</v>
      </c>
      <c r="B312" t="e">
        <f>_xlfn.CONCAT([2]!bron[[#This Row],[personeelsnr]]," ",C312," ",D312)</f>
        <v>#REF!</v>
      </c>
      <c r="C312" t="str">
        <f>VLOOKUP(bron[[#This Row],[personeelsnr]],'data hastus'!$A:$C,2,0)</f>
        <v>Coulon</v>
      </c>
      <c r="D312" t="str">
        <f>VLOOKUP(bron[[#This Row],[personeelsnr]],'data hastus'!$A:$C,3,0)</f>
        <v>Rayan</v>
      </c>
      <c r="E312" t="str">
        <f>VLOOKUP(bron[[#This Row],[personeelsnr]],'data hastus'!A:K,11,FALSE)</f>
        <v>Kenneth De Rick</v>
      </c>
      <c r="F312" s="10"/>
      <c r="G312" s="7"/>
      <c r="H312" s="7"/>
      <c r="I312" s="7"/>
      <c r="R312" s="5">
        <v>1</v>
      </c>
      <c r="S312" s="5">
        <f>SUM(bron[[#This Row],[Januari]:[December]])</f>
        <v>1</v>
      </c>
      <c r="T312" s="9">
        <v>45628</v>
      </c>
      <c r="U312" s="8" t="s">
        <v>747</v>
      </c>
      <c r="V312" s="8"/>
      <c r="W312" s="8">
        <v>1</v>
      </c>
      <c r="X312" t="s">
        <v>58</v>
      </c>
      <c r="Y312" t="s">
        <v>139</v>
      </c>
    </row>
    <row r="313" spans="1:25" x14ac:dyDescent="0.25">
      <c r="A313">
        <v>36438</v>
      </c>
      <c r="B313" t="e">
        <f>_xlfn.CONCAT([2]!bron[[#This Row],[personeelsnr]]," ",C313," ",D313)</f>
        <v>#REF!</v>
      </c>
      <c r="C313" t="str">
        <f>VLOOKUP(bron[[#This Row],[personeelsnr]],'data hastus'!$A:$C,2,0)</f>
        <v>Agil</v>
      </c>
      <c r="D313" t="str">
        <f>VLOOKUP(bron[[#This Row],[personeelsnr]],'data hastus'!$A:$C,3,0)</f>
        <v>Birol</v>
      </c>
      <c r="E313" t="str">
        <f>VLOOKUP(bron[[#This Row],[personeelsnr]],'data hastus'!A:K,11,FALSE)</f>
        <v>Bart Van Der Beken</v>
      </c>
      <c r="F313" s="10"/>
      <c r="G313" s="7"/>
      <c r="H313" s="7"/>
      <c r="I313" s="7"/>
      <c r="R313" s="5">
        <v>1</v>
      </c>
      <c r="S313" s="5">
        <f>SUM(bron[[#This Row],[Januari]:[December]])</f>
        <v>1</v>
      </c>
      <c r="T313" s="9">
        <v>45627</v>
      </c>
      <c r="U313" s="8" t="s">
        <v>745</v>
      </c>
      <c r="V313" s="8"/>
      <c r="W313" s="8">
        <v>1</v>
      </c>
      <c r="X313" t="s">
        <v>58</v>
      </c>
      <c r="Y313" t="s">
        <v>33</v>
      </c>
    </row>
    <row r="314" spans="1:25" x14ac:dyDescent="0.25">
      <c r="A314">
        <v>40134</v>
      </c>
      <c r="B314" t="e">
        <f>_xlfn.CONCAT([2]!bron[[#This Row],[personeelsnr]]," ",C314," ",D314)</f>
        <v>#REF!</v>
      </c>
      <c r="C314" t="str">
        <f>VLOOKUP(bron[[#This Row],[personeelsnr]],'data hastus'!$A:$C,2,0)</f>
        <v>Cardon</v>
      </c>
      <c r="D314" t="str">
        <f>VLOOKUP(bron[[#This Row],[personeelsnr]],'data hastus'!$A:$C,3,0)</f>
        <v>Sharon</v>
      </c>
      <c r="E314" t="str">
        <f>VLOOKUP(bron[[#This Row],[personeelsnr]],'data hastus'!A:K,11,FALSE)</f>
        <v>Dominique De Clercq</v>
      </c>
      <c r="F314" s="10"/>
      <c r="G314" s="7"/>
      <c r="H314" s="7"/>
      <c r="I314" s="7"/>
      <c r="Q314" s="5">
        <v>1</v>
      </c>
      <c r="S314" s="5">
        <f>SUM(bron[[#This Row],[Januari]:[December]])</f>
        <v>1</v>
      </c>
      <c r="T314" s="9">
        <v>45626</v>
      </c>
      <c r="U314" s="8" t="s">
        <v>741</v>
      </c>
      <c r="V314" s="8">
        <v>1</v>
      </c>
      <c r="W314" s="8"/>
      <c r="X314" t="s">
        <v>57</v>
      </c>
      <c r="Y314" t="s">
        <v>20</v>
      </c>
    </row>
    <row r="315" spans="1:25" x14ac:dyDescent="0.25">
      <c r="A315">
        <v>12684</v>
      </c>
      <c r="B315" t="e">
        <f>_xlfn.CONCAT([2]!bron[[#This Row],[personeelsnr]]," ",C315," ",D315)</f>
        <v>#REF!</v>
      </c>
      <c r="C315" t="str">
        <f>VLOOKUP(bron[[#This Row],[personeelsnr]],'data hastus'!$A:$C,2,0)</f>
        <v>Van Den Bossche</v>
      </c>
      <c r="D315" t="str">
        <f>VLOOKUP(bron[[#This Row],[personeelsnr]],'data hastus'!$A:$C,3,0)</f>
        <v>Martine</v>
      </c>
      <c r="E315" t="str">
        <f>VLOOKUP(bron[[#This Row],[personeelsnr]],'data hastus'!A:K,11,FALSE)</f>
        <v>Els Vanhoe</v>
      </c>
      <c r="F315" s="10"/>
      <c r="G315" s="7"/>
      <c r="H315" s="7"/>
      <c r="I315" s="7"/>
      <c r="Q315" s="5">
        <v>1</v>
      </c>
      <c r="S315" s="5">
        <f>SUM(bron[[#This Row],[Januari]:[December]])</f>
        <v>1</v>
      </c>
      <c r="T315" s="9">
        <v>45626</v>
      </c>
      <c r="U315" s="8" t="s">
        <v>742</v>
      </c>
      <c r="V315" s="8">
        <v>1</v>
      </c>
      <c r="W315" s="8"/>
      <c r="X315" t="s">
        <v>57</v>
      </c>
      <c r="Y315" t="s">
        <v>47</v>
      </c>
    </row>
    <row r="316" spans="1:25" x14ac:dyDescent="0.25">
      <c r="A316">
        <v>33965</v>
      </c>
      <c r="B316" t="e">
        <f>_xlfn.CONCAT([2]!bron[[#This Row],[personeelsnr]]," ",C316," ",D316)</f>
        <v>#REF!</v>
      </c>
      <c r="C316" t="str">
        <f>VLOOKUP(bron[[#This Row],[personeelsnr]],'data hastus'!$A:$C,2,0)</f>
        <v>Van de Gehuchte</v>
      </c>
      <c r="D316" t="str">
        <f>VLOOKUP(bron[[#This Row],[personeelsnr]],'data hastus'!$A:$C,3,0)</f>
        <v>Gilles</v>
      </c>
      <c r="E316" t="str">
        <f>VLOOKUP(bron[[#This Row],[personeelsnr]],'data hastus'!A:K,11,FALSE)</f>
        <v>Kenneth De Rick</v>
      </c>
      <c r="F316" s="10"/>
      <c r="G316" s="7"/>
      <c r="H316" s="7"/>
      <c r="I316" s="7"/>
      <c r="Q316" s="5">
        <v>1</v>
      </c>
      <c r="S316" s="5">
        <f>SUM(bron[[#This Row],[Januari]:[December]])</f>
        <v>1</v>
      </c>
      <c r="T316" s="9">
        <v>45626</v>
      </c>
      <c r="U316" s="8" t="s">
        <v>743</v>
      </c>
      <c r="V316" s="8"/>
      <c r="W316" s="8">
        <v>1</v>
      </c>
      <c r="X316" t="s">
        <v>58</v>
      </c>
      <c r="Y316" t="s">
        <v>96</v>
      </c>
    </row>
    <row r="317" spans="1:25" x14ac:dyDescent="0.25">
      <c r="A317">
        <v>13020</v>
      </c>
      <c r="B317" t="e">
        <f>_xlfn.CONCAT([2]!bron[[#This Row],[personeelsnr]]," ",C317," ",D317)</f>
        <v>#REF!</v>
      </c>
      <c r="C317" t="str">
        <f>VLOOKUP(bron[[#This Row],[personeelsnr]],'data hastus'!$A:$C,2,0)</f>
        <v>Boutiebi</v>
      </c>
      <c r="D317" t="str">
        <f>VLOOKUP(bron[[#This Row],[personeelsnr]],'data hastus'!$A:$C,3,0)</f>
        <v>Ahmed</v>
      </c>
      <c r="E317" t="str">
        <f>VLOOKUP(bron[[#This Row],[personeelsnr]],'data hastus'!A:K,11,FALSE)</f>
        <v>Lucie Vande Velde</v>
      </c>
      <c r="F317" s="10"/>
      <c r="G317" s="7"/>
      <c r="H317" s="7"/>
      <c r="I317" s="7"/>
      <c r="Q317" s="5">
        <v>1</v>
      </c>
      <c r="S317" s="5">
        <f>SUM(bron[[#This Row],[Januari]:[December]])</f>
        <v>1</v>
      </c>
      <c r="T317" s="9">
        <v>45626</v>
      </c>
      <c r="U317" s="8" t="s">
        <v>744</v>
      </c>
      <c r="V317" s="8"/>
      <c r="W317" s="8">
        <v>1</v>
      </c>
      <c r="X317" t="s">
        <v>58</v>
      </c>
      <c r="Y317" t="s">
        <v>60</v>
      </c>
    </row>
    <row r="318" spans="1:25" x14ac:dyDescent="0.25">
      <c r="A318">
        <v>9999</v>
      </c>
      <c r="B318" t="str">
        <f>_xlfn.CONCAT([2]!bron[[#This Row],[personeelsnr]]," ",C318," ",D318)</f>
        <v>9999 - -</v>
      </c>
      <c r="C318" t="s">
        <v>2919</v>
      </c>
      <c r="D318" t="s">
        <v>2919</v>
      </c>
      <c r="E318" t="s">
        <v>810</v>
      </c>
      <c r="F318" s="10"/>
      <c r="G318" s="7"/>
      <c r="H318" s="7"/>
      <c r="I318" s="7"/>
      <c r="Q318" s="5">
        <v>1</v>
      </c>
      <c r="S318" s="5">
        <f>SUM(bron[[#This Row],[Januari]:[December]])</f>
        <v>1</v>
      </c>
      <c r="T318" s="9">
        <v>45625</v>
      </c>
      <c r="U318" s="8" t="s">
        <v>739</v>
      </c>
      <c r="V318" s="8">
        <v>1</v>
      </c>
      <c r="W318" s="8"/>
      <c r="X318" t="s">
        <v>57</v>
      </c>
      <c r="Y318" t="s">
        <v>21</v>
      </c>
    </row>
    <row r="319" spans="1:25" x14ac:dyDescent="0.25">
      <c r="A319">
        <v>41092</v>
      </c>
      <c r="B319" t="e">
        <f>_xlfn.CONCAT([2]!bron[[#This Row],[personeelsnr]]," ",C319," ",D319)</f>
        <v>#REF!</v>
      </c>
      <c r="C319" t="str">
        <f>VLOOKUP(bron[[#This Row],[personeelsnr]],'data hastus'!$A:$C,2,0)</f>
        <v>De Keyser</v>
      </c>
      <c r="D319" t="str">
        <f>VLOOKUP(bron[[#This Row],[personeelsnr]],'data hastus'!$A:$C,3,0)</f>
        <v>Dorien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Q319" s="5">
        <v>1</v>
      </c>
      <c r="S319" s="5">
        <f>SUM(bron[[#This Row],[Januari]:[December]])</f>
        <v>1</v>
      </c>
      <c r="T319" s="9">
        <v>45625</v>
      </c>
      <c r="U319" s="8" t="s">
        <v>740</v>
      </c>
      <c r="V319" s="8">
        <v>1</v>
      </c>
      <c r="W319" s="8"/>
      <c r="X319" t="s">
        <v>57</v>
      </c>
      <c r="Y319" t="s">
        <v>82</v>
      </c>
    </row>
    <row r="320" spans="1:25" x14ac:dyDescent="0.25">
      <c r="A320">
        <v>40134</v>
      </c>
      <c r="B320" t="e">
        <f>_xlfn.CONCAT([2]!bron[[#This Row],[personeelsnr]]," ",C320," ",D320)</f>
        <v>#REF!</v>
      </c>
      <c r="C320" t="str">
        <f>VLOOKUP(bron[[#This Row],[personeelsnr]],'data hastus'!$A:$C,2,0)</f>
        <v>Cardon</v>
      </c>
      <c r="D320" t="str">
        <f>VLOOKUP(bron[[#This Row],[personeelsnr]],'data hastus'!$A:$C,3,0)</f>
        <v>Sharon</v>
      </c>
      <c r="E320" t="str">
        <f>VLOOKUP(bron[[#This Row],[personeelsnr]],'data hastus'!A:K,11,FALSE)</f>
        <v>Dominique De Clercq</v>
      </c>
      <c r="F320" s="10"/>
      <c r="G320" s="7"/>
      <c r="H320" s="7"/>
      <c r="I320" s="7"/>
      <c r="Q320" s="5">
        <v>1</v>
      </c>
      <c r="S320" s="5">
        <f>SUM(bron[[#This Row],[Januari]:[December]])</f>
        <v>1</v>
      </c>
      <c r="T320" s="9">
        <v>45624</v>
      </c>
      <c r="U320" s="8" t="s">
        <v>737</v>
      </c>
      <c r="V320" s="8">
        <v>1</v>
      </c>
      <c r="W320" s="8"/>
      <c r="X320" t="s">
        <v>57</v>
      </c>
      <c r="Y320" t="s">
        <v>28</v>
      </c>
    </row>
    <row r="321" spans="1:25" x14ac:dyDescent="0.25">
      <c r="A321">
        <v>40859</v>
      </c>
      <c r="B321" t="e">
        <f>_xlfn.CONCAT([2]!bron[[#This Row],[personeelsnr]]," ",C321," ",D321)</f>
        <v>#REF!</v>
      </c>
      <c r="C321" t="str">
        <f>VLOOKUP(bron[[#This Row],[personeelsnr]],'data hastus'!$A:$C,2,0)</f>
        <v>Yagoub</v>
      </c>
      <c r="D321" t="str">
        <f>VLOOKUP(bron[[#This Row],[personeelsnr]],'data hastus'!$A:$C,3,0)</f>
        <v>Abdelali</v>
      </c>
      <c r="E321" t="str">
        <f>VLOOKUP(bron[[#This Row],[personeelsnr]],'data hastus'!A:K,11,FALSE)</f>
        <v>Els Vanhoe</v>
      </c>
      <c r="F321" s="10"/>
      <c r="G321" s="7"/>
      <c r="H321" s="7"/>
      <c r="I321" s="7"/>
      <c r="Q321" s="5">
        <v>1</v>
      </c>
      <c r="S321" s="5">
        <f>SUM(bron[[#This Row],[Januari]:[December]])</f>
        <v>1</v>
      </c>
      <c r="T321" s="9">
        <v>45624</v>
      </c>
      <c r="U321" s="8" t="s">
        <v>738</v>
      </c>
      <c r="V321" s="8">
        <v>1</v>
      </c>
      <c r="W321" s="8"/>
      <c r="X321" t="s">
        <v>57</v>
      </c>
      <c r="Y321" t="s">
        <v>41</v>
      </c>
    </row>
    <row r="322" spans="1:25" x14ac:dyDescent="0.25">
      <c r="A322">
        <v>39930</v>
      </c>
      <c r="B322" t="e">
        <f>_xlfn.CONCAT([2]!bron[[#This Row],[personeelsnr]]," ",C322," ",D322)</f>
        <v>#REF!</v>
      </c>
      <c r="C322" t="str">
        <f>VLOOKUP(bron[[#This Row],[personeelsnr]],'data hastus'!$A:$C,2,0)</f>
        <v>Mirazai</v>
      </c>
      <c r="D322" t="str">
        <f>VLOOKUP(bron[[#This Row],[personeelsnr]],'data hastus'!$A:$C,3,0)</f>
        <v>Rahmatullah</v>
      </c>
      <c r="E322" t="str">
        <f>VLOOKUP(bron[[#This Row],[personeelsnr]],'data hastus'!A:K,11,FALSE)</f>
        <v>Christoff Rotty</v>
      </c>
      <c r="F322" s="10"/>
      <c r="G322" s="7"/>
      <c r="H322" s="7"/>
      <c r="I322" s="7"/>
      <c r="Q322" s="5">
        <v>1</v>
      </c>
      <c r="S322" s="5">
        <f>SUM(bron[[#This Row],[Januari]:[December]])</f>
        <v>1</v>
      </c>
      <c r="T322" s="9">
        <v>45622</v>
      </c>
      <c r="U322" s="8" t="s">
        <v>736</v>
      </c>
      <c r="V322" s="8">
        <v>1</v>
      </c>
      <c r="W322" s="8"/>
      <c r="X322" t="s">
        <v>57</v>
      </c>
      <c r="Y322" t="s">
        <v>92</v>
      </c>
    </row>
    <row r="323" spans="1:25" x14ac:dyDescent="0.25">
      <c r="A323">
        <v>40138</v>
      </c>
      <c r="B323" t="e">
        <f>_xlfn.CONCAT([2]!bron[[#This Row],[personeelsnr]]," ",C323," ",D323)</f>
        <v>#REF!</v>
      </c>
      <c r="C323" t="str">
        <f>VLOOKUP(bron[[#This Row],[personeelsnr]],'data hastus'!$A:$C,2,0)</f>
        <v>Moerman</v>
      </c>
      <c r="D323" t="str">
        <f>VLOOKUP(bron[[#This Row],[personeelsnr]],'data hastus'!$A:$C,3,0)</f>
        <v>Tjimmy</v>
      </c>
      <c r="E323" t="str">
        <f>VLOOKUP(bron[[#This Row],[personeelsnr]],'data hastus'!A:K,11,FALSE)</f>
        <v>Christoff Rotty</v>
      </c>
      <c r="F323" s="10"/>
      <c r="G323" s="7"/>
      <c r="H323" s="7"/>
      <c r="I323" s="7"/>
      <c r="Q323" s="5">
        <v>1</v>
      </c>
      <c r="S323" s="5">
        <f>SUM(bron[[#This Row],[Januari]:[December]])</f>
        <v>1</v>
      </c>
      <c r="T323" s="9">
        <v>45619</v>
      </c>
      <c r="U323" s="8" t="s">
        <v>734</v>
      </c>
      <c r="V323" s="8">
        <v>1</v>
      </c>
      <c r="W323" s="8"/>
      <c r="X323" t="s">
        <v>57</v>
      </c>
      <c r="Y323" t="s">
        <v>19</v>
      </c>
    </row>
    <row r="324" spans="1:25" x14ac:dyDescent="0.25">
      <c r="A324">
        <v>9999</v>
      </c>
      <c r="B324" t="str">
        <f>_xlfn.CONCAT([2]!bron[[#This Row],[personeelsnr]]," ",C324," ",D324)</f>
        <v>9999 - -</v>
      </c>
      <c r="C324" t="s">
        <v>2919</v>
      </c>
      <c r="D324" t="s">
        <v>2919</v>
      </c>
      <c r="E324" t="s">
        <v>810</v>
      </c>
      <c r="F324" s="10"/>
      <c r="G324" s="7"/>
      <c r="H324" s="7"/>
      <c r="I324" s="7"/>
      <c r="Q324" s="5">
        <v>1</v>
      </c>
      <c r="S324" s="5">
        <f>SUM(bron[[#This Row],[Januari]:[December]])</f>
        <v>1</v>
      </c>
      <c r="T324" s="9">
        <v>45619</v>
      </c>
      <c r="U324" s="8" t="s">
        <v>735</v>
      </c>
      <c r="V324" s="8">
        <v>1</v>
      </c>
      <c r="W324" s="8"/>
      <c r="X324" t="s">
        <v>57</v>
      </c>
      <c r="Y324" t="s">
        <v>224</v>
      </c>
    </row>
    <row r="325" spans="1:25" x14ac:dyDescent="0.25">
      <c r="A325">
        <v>32951</v>
      </c>
      <c r="B325" t="e">
        <f>_xlfn.CONCAT([2]!bron[[#This Row],[personeelsnr]]," ",C325," ",D325)</f>
        <v>#REF!</v>
      </c>
      <c r="C325" t="str">
        <f>VLOOKUP(bron[[#This Row],[personeelsnr]],'data hastus'!$A:$C,2,0)</f>
        <v>De Bruyne</v>
      </c>
      <c r="D325" t="str">
        <f>VLOOKUP(bron[[#This Row],[personeelsnr]],'data hastus'!$A:$C,3,0)</f>
        <v>Sonia</v>
      </c>
      <c r="E325" t="str">
        <f>VLOOKUP(bron[[#This Row],[personeelsnr]],'data hastus'!A:K,11,FALSE)</f>
        <v>Lucie Vande Velde</v>
      </c>
      <c r="F325" s="10"/>
      <c r="G325" s="7"/>
      <c r="H325" s="7"/>
      <c r="I325" s="7"/>
      <c r="Q325" s="5">
        <v>1</v>
      </c>
      <c r="S325" s="5">
        <f>SUM(bron[[#This Row],[Januari]:[December]])</f>
        <v>1</v>
      </c>
      <c r="T325" s="9">
        <v>45618</v>
      </c>
      <c r="U325" s="8" t="s">
        <v>732</v>
      </c>
      <c r="V325" s="8">
        <v>1</v>
      </c>
      <c r="W325" s="8"/>
      <c r="X325" t="s">
        <v>57</v>
      </c>
      <c r="Y325" t="s">
        <v>209</v>
      </c>
    </row>
    <row r="326" spans="1:25" x14ac:dyDescent="0.25">
      <c r="A326">
        <v>34445</v>
      </c>
      <c r="B326" t="e">
        <f>_xlfn.CONCAT([2]!bron[[#This Row],[personeelsnr]]," ",C326," ",D326)</f>
        <v>#REF!</v>
      </c>
      <c r="C326" t="str">
        <f>VLOOKUP(bron[[#This Row],[personeelsnr]],'data hastus'!$A:$C,2,0)</f>
        <v>Wulleput</v>
      </c>
      <c r="D326" t="str">
        <f>VLOOKUP(bron[[#This Row],[personeelsnr]],'data hastus'!$A:$C,3,0)</f>
        <v>Illya</v>
      </c>
      <c r="E326" t="str">
        <f>VLOOKUP(bron[[#This Row],[personeelsnr]],'data hastus'!A:K,11,FALSE)</f>
        <v>Dominique De Clercq</v>
      </c>
      <c r="F326" s="10"/>
      <c r="G326" s="7"/>
      <c r="H326" s="7"/>
      <c r="I326" s="7"/>
      <c r="Q326" s="5">
        <v>1</v>
      </c>
      <c r="S326" s="5">
        <f>SUM(bron[[#This Row],[Januari]:[December]])</f>
        <v>1</v>
      </c>
      <c r="T326" s="9">
        <v>45618</v>
      </c>
      <c r="U326" s="8" t="s">
        <v>733</v>
      </c>
      <c r="V326" s="8"/>
      <c r="W326" s="8">
        <v>1</v>
      </c>
      <c r="X326" t="s">
        <v>58</v>
      </c>
      <c r="Y326" t="s">
        <v>121</v>
      </c>
    </row>
    <row r="327" spans="1:25" x14ac:dyDescent="0.25">
      <c r="A327">
        <v>34445</v>
      </c>
      <c r="B327" t="e">
        <f>_xlfn.CONCAT([2]!bron[[#This Row],[personeelsnr]]," ",C327," ",D327)</f>
        <v>#REF!</v>
      </c>
      <c r="C327" t="str">
        <f>VLOOKUP(bron[[#This Row],[personeelsnr]],'data hastus'!$A:$C,2,0)</f>
        <v>Wulleput</v>
      </c>
      <c r="D327" t="str">
        <f>VLOOKUP(bron[[#This Row],[personeelsnr]],'data hastus'!$A:$C,3,0)</f>
        <v>Illya</v>
      </c>
      <c r="E327" t="str">
        <f>VLOOKUP(bron[[#This Row],[personeelsnr]],'data hastus'!A:K,11,FALSE)</f>
        <v>Dominique De Clercq</v>
      </c>
      <c r="F327" s="10"/>
      <c r="G327" s="7"/>
      <c r="H327" s="7"/>
      <c r="I327" s="7"/>
      <c r="Q327" s="5">
        <v>1</v>
      </c>
      <c r="S327" s="5">
        <f>SUM(bron[[#This Row],[Januari]:[December]])</f>
        <v>1</v>
      </c>
      <c r="T327" s="9">
        <v>45617</v>
      </c>
      <c r="U327" s="8" t="s">
        <v>731</v>
      </c>
      <c r="V327" s="8"/>
      <c r="W327" s="8">
        <v>1</v>
      </c>
      <c r="X327" t="s">
        <v>58</v>
      </c>
      <c r="Y327" t="s">
        <v>131</v>
      </c>
    </row>
    <row r="328" spans="1:25" x14ac:dyDescent="0.25">
      <c r="A328">
        <v>31635</v>
      </c>
      <c r="B328" t="e">
        <f>_xlfn.CONCAT([2]!bron[[#This Row],[personeelsnr]]," ",C328," ",D328)</f>
        <v>#REF!</v>
      </c>
      <c r="C328" t="str">
        <f>VLOOKUP(bron[[#This Row],[personeelsnr]],'data hastus'!$A:$C,2,0)</f>
        <v>Vaeyens</v>
      </c>
      <c r="D328" t="str">
        <f>VLOOKUP(bron[[#This Row],[personeelsnr]],'data hastus'!$A:$C,3,0)</f>
        <v>Midas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Q328" s="5">
        <v>1</v>
      </c>
      <c r="S328" s="5">
        <f>SUM(bron[[#This Row],[Januari]:[December]])</f>
        <v>1</v>
      </c>
      <c r="T328" s="9">
        <v>45616</v>
      </c>
      <c r="U328" s="8" t="s">
        <v>730</v>
      </c>
      <c r="V328" s="8">
        <v>1</v>
      </c>
      <c r="W328" s="8"/>
      <c r="X328" t="s">
        <v>57</v>
      </c>
      <c r="Y328" t="s">
        <v>91</v>
      </c>
    </row>
    <row r="329" spans="1:25" x14ac:dyDescent="0.25">
      <c r="A329">
        <v>40200</v>
      </c>
      <c r="B329" t="e">
        <f>_xlfn.CONCAT([2]!bron[[#This Row],[personeelsnr]]," ",C329," ",D329)</f>
        <v>#REF!</v>
      </c>
      <c r="C329" t="str">
        <f>VLOOKUP(bron[[#This Row],[personeelsnr]],'data hastus'!$A:$C,2,0)</f>
        <v>Shahriyari</v>
      </c>
      <c r="D329" t="str">
        <f>VLOOKUP(bron[[#This Row],[personeelsnr]],'data hastus'!$A:$C,3,0)</f>
        <v>Khalil</v>
      </c>
      <c r="E329" t="str">
        <f>VLOOKUP(bron[[#This Row],[personeelsnr]],'data hastus'!A:K,11,FALSE)</f>
        <v>Dominique De Clercq</v>
      </c>
      <c r="F329" s="10"/>
      <c r="G329" s="7"/>
      <c r="H329" s="7"/>
      <c r="I329" s="7"/>
      <c r="Q329" s="5">
        <v>1</v>
      </c>
      <c r="S329" s="5">
        <f>SUM(bron[[#This Row],[Januari]:[December]])</f>
        <v>1</v>
      </c>
      <c r="T329" s="9">
        <v>45615</v>
      </c>
      <c r="U329" s="8" t="s">
        <v>726</v>
      </c>
      <c r="V329" s="8">
        <v>1</v>
      </c>
      <c r="W329" s="8"/>
      <c r="X329" t="s">
        <v>57</v>
      </c>
      <c r="Y329" t="s">
        <v>171</v>
      </c>
    </row>
    <row r="330" spans="1:25" x14ac:dyDescent="0.25">
      <c r="A330">
        <v>35463</v>
      </c>
      <c r="B330" t="e">
        <f>_xlfn.CONCAT([2]!bron[[#This Row],[personeelsnr]]," ",C330," ",D330)</f>
        <v>#REF!</v>
      </c>
      <c r="C330" t="str">
        <f>VLOOKUP(bron[[#This Row],[personeelsnr]],'data hastus'!$A:$C,2,0)</f>
        <v>Vandaele</v>
      </c>
      <c r="D330" t="str">
        <f>VLOOKUP(bron[[#This Row],[personeelsnr]],'data hastus'!$A:$C,3,0)</f>
        <v>Tom</v>
      </c>
      <c r="E330" t="str">
        <f>VLOOKUP(bron[[#This Row],[personeelsnr]],'data hastus'!A:K,11,FALSE)</f>
        <v>Dominique De Clercq</v>
      </c>
      <c r="F330" s="10"/>
      <c r="G330" s="7"/>
      <c r="H330" s="7"/>
      <c r="I330" s="7"/>
      <c r="Q330" s="5">
        <v>1</v>
      </c>
      <c r="S330" s="5">
        <f>SUM(bron[[#This Row],[Januari]:[December]])</f>
        <v>1</v>
      </c>
      <c r="T330" s="9">
        <v>45615</v>
      </c>
      <c r="U330" s="8" t="s">
        <v>727</v>
      </c>
      <c r="V330" s="8"/>
      <c r="W330" s="8">
        <v>1</v>
      </c>
      <c r="X330" t="s">
        <v>58</v>
      </c>
      <c r="Y330" t="s">
        <v>219</v>
      </c>
    </row>
    <row r="331" spans="1:25" x14ac:dyDescent="0.25">
      <c r="A331">
        <v>29821</v>
      </c>
      <c r="B331" t="e">
        <f>_xlfn.CONCAT([2]!bron[[#This Row],[personeelsnr]]," ",C331," ",D331)</f>
        <v>#REF!</v>
      </c>
      <c r="C331" t="str">
        <f>VLOOKUP(bron[[#This Row],[personeelsnr]],'data hastus'!$A:$C,2,0)</f>
        <v>Mehman Doust</v>
      </c>
      <c r="D331" t="str">
        <f>VLOOKUP(bron[[#This Row],[personeelsnr]],'data hastus'!$A:$C,3,0)</f>
        <v>Farhad</v>
      </c>
      <c r="E331" t="str">
        <f>VLOOKUP(bron[[#This Row],[personeelsnr]],'data hastus'!A:K,11,FALSE)</f>
        <v>Dominique De Clercq</v>
      </c>
      <c r="F331" s="10"/>
      <c r="G331" s="7"/>
      <c r="H331" s="7"/>
      <c r="I331" s="7"/>
      <c r="Q331" s="5">
        <v>1</v>
      </c>
      <c r="S331" s="5">
        <f>SUM(bron[[#This Row],[Januari]:[December]])</f>
        <v>1</v>
      </c>
      <c r="T331" s="9">
        <v>45615</v>
      </c>
      <c r="U331" s="8" t="s">
        <v>728</v>
      </c>
      <c r="V331" s="8"/>
      <c r="W331" s="8">
        <v>1</v>
      </c>
      <c r="X331" t="s">
        <v>58</v>
      </c>
      <c r="Y331" t="s">
        <v>78</v>
      </c>
    </row>
    <row r="332" spans="1:25" x14ac:dyDescent="0.25">
      <c r="A332">
        <v>30967</v>
      </c>
      <c r="B332" t="e">
        <f>_xlfn.CONCAT([2]!bron[[#This Row],[personeelsnr]]," ",C332," ",D332)</f>
        <v>#REF!</v>
      </c>
      <c r="C332" t="str">
        <f>VLOOKUP(bron[[#This Row],[personeelsnr]],'data hastus'!$A:$C,2,0)</f>
        <v>Taser</v>
      </c>
      <c r="D332" t="str">
        <f>VLOOKUP(bron[[#This Row],[personeelsnr]],'data hastus'!$A:$C,3,0)</f>
        <v>Fatih</v>
      </c>
      <c r="E332" t="str">
        <f>VLOOKUP(bron[[#This Row],[personeelsnr]],'data hastus'!A:K,11,FALSE)</f>
        <v>Dominique De Clercq</v>
      </c>
      <c r="F332" s="10"/>
      <c r="G332" s="7"/>
      <c r="H332" s="7"/>
      <c r="I332" s="7"/>
      <c r="Q332" s="5">
        <v>1</v>
      </c>
      <c r="S332" s="5">
        <f>SUM(bron[[#This Row],[Januari]:[December]])</f>
        <v>1</v>
      </c>
      <c r="T332" s="9">
        <v>45615</v>
      </c>
      <c r="U332" s="8" t="s">
        <v>729</v>
      </c>
      <c r="V332" s="8">
        <v>1</v>
      </c>
      <c r="W332" s="8"/>
      <c r="X332" t="s">
        <v>57</v>
      </c>
      <c r="Y332" t="s">
        <v>28</v>
      </c>
    </row>
    <row r="333" spans="1:25" x14ac:dyDescent="0.25">
      <c r="A333">
        <v>36228</v>
      </c>
      <c r="B333" t="e">
        <f>_xlfn.CONCAT([2]!bron[[#This Row],[personeelsnr]]," ",C333," ",D333)</f>
        <v>#REF!</v>
      </c>
      <c r="C333" t="str">
        <f>VLOOKUP(bron[[#This Row],[personeelsnr]],'data hastus'!$A:$C,2,0)</f>
        <v>Kilinc</v>
      </c>
      <c r="D333" t="str">
        <f>VLOOKUP(bron[[#This Row],[personeelsnr]],'data hastus'!$A:$C,3,0)</f>
        <v>Atilay</v>
      </c>
      <c r="E333" t="str">
        <f>VLOOKUP(bron[[#This Row],[personeelsnr]],'data hastus'!A:K,11,FALSE)</f>
        <v>Els Vanhoe</v>
      </c>
      <c r="F333" s="10"/>
      <c r="G333" s="7"/>
      <c r="H333" s="7"/>
      <c r="I333" s="7"/>
      <c r="Q333" s="5">
        <v>1</v>
      </c>
      <c r="S333" s="5">
        <f>SUM(bron[[#This Row],[Januari]:[December]])</f>
        <v>1</v>
      </c>
      <c r="T333" s="9">
        <v>45614</v>
      </c>
      <c r="U333" s="8" t="s">
        <v>725</v>
      </c>
      <c r="V333" s="8"/>
      <c r="W333" s="8">
        <v>1</v>
      </c>
      <c r="X333" t="s">
        <v>58</v>
      </c>
      <c r="Y333" t="s">
        <v>18</v>
      </c>
    </row>
    <row r="334" spans="1:25" x14ac:dyDescent="0.25">
      <c r="A334">
        <v>31111</v>
      </c>
      <c r="B334" t="e">
        <f>_xlfn.CONCAT([2]!bron[[#This Row],[personeelsnr]]," ",C334," ",D334)</f>
        <v>#REF!</v>
      </c>
      <c r="C334" t="str">
        <f>VLOOKUP(bron[[#This Row],[personeelsnr]],'data hastus'!$A:$C,2,0)</f>
        <v>Bonne</v>
      </c>
      <c r="D334" t="str">
        <f>VLOOKUP(bron[[#This Row],[personeelsnr]],'data hastus'!$A:$C,3,0)</f>
        <v>Niko</v>
      </c>
      <c r="E334" t="str">
        <f>VLOOKUP(bron[[#This Row],[personeelsnr]],'data hastus'!A:K,11,FALSE)</f>
        <v>Els Vanhoe</v>
      </c>
      <c r="F334" s="10"/>
      <c r="G334" s="7"/>
      <c r="H334" s="7"/>
      <c r="I334" s="7"/>
      <c r="Q334" s="5">
        <v>1</v>
      </c>
      <c r="S334" s="5">
        <f>SUM(bron[[#This Row],[Januari]:[December]])</f>
        <v>1</v>
      </c>
      <c r="T334" s="9">
        <v>45613</v>
      </c>
      <c r="U334" s="8" t="s">
        <v>724</v>
      </c>
      <c r="V334" s="8">
        <v>1</v>
      </c>
      <c r="W334" s="8"/>
      <c r="X334" t="s">
        <v>57</v>
      </c>
      <c r="Y334" t="s">
        <v>39</v>
      </c>
    </row>
    <row r="335" spans="1:25" x14ac:dyDescent="0.25">
      <c r="A335">
        <v>35430</v>
      </c>
      <c r="B335" t="e">
        <f>_xlfn.CONCAT([2]!bron[[#This Row],[personeelsnr]]," ",C335," ",D335)</f>
        <v>#REF!</v>
      </c>
      <c r="C335" t="str">
        <f>VLOOKUP(bron[[#This Row],[personeelsnr]],'data hastus'!$A:$C,2,0)</f>
        <v>Vlaminck</v>
      </c>
      <c r="D335" t="str">
        <f>VLOOKUP(bron[[#This Row],[personeelsnr]],'data hastus'!$A:$C,3,0)</f>
        <v>Dirk</v>
      </c>
      <c r="E335" t="str">
        <f>VLOOKUP(bron[[#This Row],[personeelsnr]],'data hastus'!A:K,11,FALSE)</f>
        <v>Els Vanhoe</v>
      </c>
      <c r="F335" s="10"/>
      <c r="G335" s="7"/>
      <c r="H335" s="7"/>
      <c r="I335" s="7"/>
      <c r="Q335" s="5">
        <v>1</v>
      </c>
      <c r="S335" s="5">
        <f>SUM(bron[[#This Row],[Januari]:[December]])</f>
        <v>1</v>
      </c>
      <c r="T335" s="9">
        <v>45611</v>
      </c>
      <c r="U335" s="8" t="s">
        <v>723</v>
      </c>
      <c r="V335" s="8">
        <v>1</v>
      </c>
      <c r="W335" s="8"/>
      <c r="X335" t="s">
        <v>57</v>
      </c>
      <c r="Y335" t="s">
        <v>18</v>
      </c>
    </row>
    <row r="336" spans="1:25" x14ac:dyDescent="0.25">
      <c r="A336">
        <v>9999</v>
      </c>
      <c r="B336" t="str">
        <f>_xlfn.CONCAT([2]!bron[[#This Row],[personeelsnr]]," ",C336," ",D336)</f>
        <v>9999 - -</v>
      </c>
      <c r="C336" t="s">
        <v>2919</v>
      </c>
      <c r="D336" t="s">
        <v>2919</v>
      </c>
      <c r="E336" t="s">
        <v>810</v>
      </c>
      <c r="F336" s="10"/>
      <c r="G336" s="7"/>
      <c r="H336" s="7"/>
      <c r="I336" s="7"/>
      <c r="Q336" s="5">
        <v>1</v>
      </c>
      <c r="S336" s="5">
        <f>SUM(bron[[#This Row],[Januari]:[December]])</f>
        <v>1</v>
      </c>
      <c r="T336" s="9">
        <v>45610</v>
      </c>
      <c r="U336" s="8" t="s">
        <v>720</v>
      </c>
      <c r="V336" s="8">
        <v>1</v>
      </c>
      <c r="W336" s="8"/>
      <c r="X336" t="s">
        <v>57</v>
      </c>
      <c r="Y336" t="s">
        <v>62</v>
      </c>
    </row>
    <row r="337" spans="1:25" x14ac:dyDescent="0.25">
      <c r="A337">
        <v>39184</v>
      </c>
      <c r="B337" t="e">
        <f>_xlfn.CONCAT([2]!bron[[#This Row],[personeelsnr]]," ",C337," ",D337)</f>
        <v>#REF!</v>
      </c>
      <c r="C337" t="str">
        <f>VLOOKUP(bron[[#This Row],[personeelsnr]],'data hastus'!$A:$C,2,0)</f>
        <v>Shinwari</v>
      </c>
      <c r="D337" t="str">
        <f>VLOOKUP(bron[[#This Row],[personeelsnr]],'data hastus'!$A:$C,3,0)</f>
        <v>Yasin</v>
      </c>
      <c r="E337" t="str">
        <f>VLOOKUP(bron[[#This Row],[personeelsnr]],'data hastus'!A:K,11,FALSE)</f>
        <v>Christoff Rotty</v>
      </c>
      <c r="F337" s="10"/>
      <c r="G337" s="7"/>
      <c r="H337" s="7"/>
      <c r="I337" s="7"/>
      <c r="Q337" s="5">
        <v>1</v>
      </c>
      <c r="S337" s="5">
        <f>SUM(bron[[#This Row],[Januari]:[December]])</f>
        <v>1</v>
      </c>
      <c r="T337" s="9">
        <v>45610</v>
      </c>
      <c r="U337" s="8" t="s">
        <v>721</v>
      </c>
      <c r="V337" s="8">
        <v>1</v>
      </c>
      <c r="W337" s="8"/>
      <c r="X337" t="s">
        <v>57</v>
      </c>
      <c r="Y337" t="s">
        <v>24</v>
      </c>
    </row>
    <row r="338" spans="1:25" x14ac:dyDescent="0.25">
      <c r="A338">
        <v>16895</v>
      </c>
      <c r="B338" t="e">
        <f>_xlfn.CONCAT([2]!bron[[#This Row],[personeelsnr]]," ",C338," ",D338)</f>
        <v>#REF!</v>
      </c>
      <c r="C338" t="str">
        <f>VLOOKUP(bron[[#This Row],[personeelsnr]],'data hastus'!$A:$C,2,0)</f>
        <v>Van Lauwe</v>
      </c>
      <c r="D338" t="str">
        <f>VLOOKUP(bron[[#This Row],[personeelsnr]],'data hastus'!$A:$C,3,0)</f>
        <v>Freddy</v>
      </c>
      <c r="E338" t="str">
        <f>VLOOKUP(bron[[#This Row],[personeelsnr]],'data hastus'!A:K,11,FALSE)</f>
        <v>Bart Van Der Beken</v>
      </c>
      <c r="F338" s="10"/>
      <c r="G338" s="7"/>
      <c r="H338" s="7"/>
      <c r="I338" s="7"/>
      <c r="Q338" s="5">
        <v>1</v>
      </c>
      <c r="S338" s="5">
        <f>SUM(bron[[#This Row],[Januari]:[December]])</f>
        <v>1</v>
      </c>
      <c r="T338" s="9">
        <v>45610</v>
      </c>
      <c r="U338" s="8" t="s">
        <v>722</v>
      </c>
      <c r="V338" s="8"/>
      <c r="W338" s="8">
        <v>1</v>
      </c>
      <c r="X338" t="s">
        <v>58</v>
      </c>
      <c r="Y338" t="s">
        <v>60</v>
      </c>
    </row>
    <row r="339" spans="1:25" x14ac:dyDescent="0.25">
      <c r="A339">
        <v>19249</v>
      </c>
      <c r="B339" t="e">
        <f>_xlfn.CONCAT([2]!bron[[#This Row],[personeelsnr]]," ",C339," ",D339)</f>
        <v>#REF!</v>
      </c>
      <c r="C339" t="str">
        <f>VLOOKUP(bron[[#This Row],[personeelsnr]],'data hastus'!$A:$C,2,0)</f>
        <v>Odaci</v>
      </c>
      <c r="D339" t="str">
        <f>VLOOKUP(bron[[#This Row],[personeelsnr]],'data hastus'!$A:$C,3,0)</f>
        <v>Kadir</v>
      </c>
      <c r="E339" t="str">
        <f>VLOOKUP(bron[[#This Row],[personeelsnr]],'data hastus'!A:K,11,FALSE)</f>
        <v>Lucie Vande Velde</v>
      </c>
      <c r="F339" s="10"/>
      <c r="G339" s="7"/>
      <c r="H339" s="7"/>
      <c r="I339" s="7"/>
      <c r="Q339" s="5">
        <v>1</v>
      </c>
      <c r="S339" s="5">
        <f>SUM(bron[[#This Row],[Januari]:[December]])</f>
        <v>1</v>
      </c>
      <c r="T339" s="9">
        <v>45609</v>
      </c>
      <c r="U339" s="8" t="s">
        <v>718</v>
      </c>
      <c r="V339" s="8">
        <v>1</v>
      </c>
      <c r="W339" s="8"/>
      <c r="X339" t="s">
        <v>57</v>
      </c>
      <c r="Y339" t="s">
        <v>25</v>
      </c>
    </row>
    <row r="340" spans="1:25" x14ac:dyDescent="0.25">
      <c r="A340">
        <v>15676</v>
      </c>
      <c r="B340" t="e">
        <f>_xlfn.CONCAT([2]!bron[[#This Row],[personeelsnr]]," ",C340," ",D340)</f>
        <v>#REF!</v>
      </c>
      <c r="C340" t="str">
        <f>VLOOKUP(bron[[#This Row],[personeelsnr]],'data hastus'!$A:$C,2,0)</f>
        <v>Mestdagh</v>
      </c>
      <c r="D340" t="str">
        <f>VLOOKUP(bron[[#This Row],[personeelsnr]],'data hastus'!$A:$C,3,0)</f>
        <v>Tony</v>
      </c>
      <c r="E340" t="str">
        <f>VLOOKUP(bron[[#This Row],[personeelsnr]],'data hastus'!A:K,11,FALSE)</f>
        <v>Lucie Vande Velde</v>
      </c>
      <c r="F340" s="10"/>
      <c r="G340" s="7"/>
      <c r="H340" s="7"/>
      <c r="I340" s="7"/>
      <c r="Q340" s="5">
        <v>1</v>
      </c>
      <c r="S340" s="5">
        <f>SUM(bron[[#This Row],[Januari]:[December]])</f>
        <v>1</v>
      </c>
      <c r="T340" s="9">
        <v>45609</v>
      </c>
      <c r="U340" s="8" t="s">
        <v>719</v>
      </c>
      <c r="V340" s="8"/>
      <c r="W340" s="8">
        <v>1</v>
      </c>
      <c r="X340" t="s">
        <v>58</v>
      </c>
      <c r="Y340" t="s">
        <v>83</v>
      </c>
    </row>
    <row r="341" spans="1:25" x14ac:dyDescent="0.25">
      <c r="A341">
        <v>36626</v>
      </c>
      <c r="B341" t="e">
        <f>_xlfn.CONCAT([2]!bron[[#This Row],[personeelsnr]]," ",C341," ",D341)</f>
        <v>#REF!</v>
      </c>
      <c r="C341" t="str">
        <f>VLOOKUP(bron[[#This Row],[personeelsnr]],'data hastus'!$A:$C,2,0)</f>
        <v>Kartal</v>
      </c>
      <c r="D341" t="str">
        <f>VLOOKUP(bron[[#This Row],[personeelsnr]],'data hastus'!$A:$C,3,0)</f>
        <v>Kadir</v>
      </c>
      <c r="E341" t="str">
        <f>VLOOKUP(bron[[#This Row],[personeelsnr]],'data hastus'!A:K,11,FALSE)</f>
        <v>Els Dewulf</v>
      </c>
      <c r="F341" s="10"/>
      <c r="G341" s="7"/>
      <c r="H341" s="7"/>
      <c r="I341" s="7"/>
      <c r="Q341" s="5">
        <v>1</v>
      </c>
      <c r="S341" s="5">
        <f>SUM(bron[[#This Row],[Januari]:[December]])</f>
        <v>1</v>
      </c>
      <c r="T341" s="9">
        <v>45608</v>
      </c>
      <c r="U341" s="8" t="s">
        <v>716</v>
      </c>
      <c r="V341" s="8">
        <v>1</v>
      </c>
      <c r="W341" s="8"/>
      <c r="X341" t="s">
        <v>57</v>
      </c>
      <c r="Y341" t="s">
        <v>43</v>
      </c>
    </row>
    <row r="342" spans="1:25" x14ac:dyDescent="0.25">
      <c r="A342">
        <v>35645</v>
      </c>
      <c r="B342" t="e">
        <f>_xlfn.CONCAT([2]!bron[[#This Row],[personeelsnr]]," ",C342," ",D342)</f>
        <v>#REF!</v>
      </c>
      <c r="C342" t="str">
        <f>VLOOKUP(bron[[#This Row],[personeelsnr]],'data hastus'!$A:$C,2,0)</f>
        <v>Jalili</v>
      </c>
      <c r="D342" t="str">
        <f>VLOOKUP(bron[[#This Row],[personeelsnr]],'data hastus'!$A:$C,3,0)</f>
        <v>Yaseeb</v>
      </c>
      <c r="E342" t="str">
        <f>VLOOKUP(bron[[#This Row],[personeelsnr]],'data hastus'!A:K,11,FALSE)</f>
        <v>Steven Storm</v>
      </c>
      <c r="F342" s="10"/>
      <c r="G342" s="7"/>
      <c r="H342" s="7"/>
      <c r="I342" s="7"/>
      <c r="Q342" s="5">
        <v>1</v>
      </c>
      <c r="S342" s="5">
        <f>SUM(bron[[#This Row],[Januari]:[December]])</f>
        <v>1</v>
      </c>
      <c r="T342" s="9">
        <v>45608</v>
      </c>
      <c r="U342" s="8" t="s">
        <v>717</v>
      </c>
      <c r="V342" s="8">
        <v>1</v>
      </c>
      <c r="W342" s="8"/>
      <c r="X342" t="s">
        <v>57</v>
      </c>
      <c r="Y342" t="s">
        <v>18</v>
      </c>
    </row>
    <row r="343" spans="1:25" x14ac:dyDescent="0.25">
      <c r="A343">
        <v>30119</v>
      </c>
      <c r="B343" t="e">
        <f>_xlfn.CONCAT([2]!bron[[#This Row],[personeelsnr]]," ",C343," ",D343)</f>
        <v>#REF!</v>
      </c>
      <c r="C343" t="str">
        <f>VLOOKUP(bron[[#This Row],[personeelsnr]],'data hastus'!$A:$C,2,0)</f>
        <v>Haerens</v>
      </c>
      <c r="D343" t="str">
        <f>VLOOKUP(bron[[#This Row],[personeelsnr]],'data hastus'!$A:$C,3,0)</f>
        <v>Tom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Q343" s="5">
        <v>1</v>
      </c>
      <c r="S343" s="5">
        <f>SUM(bron[[#This Row],[Januari]:[December]])</f>
        <v>1</v>
      </c>
      <c r="T343" s="9">
        <v>45607</v>
      </c>
      <c r="U343" s="8" t="s">
        <v>715</v>
      </c>
      <c r="V343" s="8"/>
      <c r="W343" s="8">
        <v>1</v>
      </c>
      <c r="X343" t="s">
        <v>58</v>
      </c>
      <c r="Y343" t="s">
        <v>124</v>
      </c>
    </row>
    <row r="344" spans="1:25" x14ac:dyDescent="0.25">
      <c r="A344">
        <v>37496</v>
      </c>
      <c r="B344" t="e">
        <f>_xlfn.CONCAT([2]!bron[[#This Row],[personeelsnr]]," ",C344," ",D344)</f>
        <v>#REF!</v>
      </c>
      <c r="C344" t="str">
        <f>VLOOKUP(bron[[#This Row],[personeelsnr]],'data hastus'!$A:$C,2,0)</f>
        <v>Oosterlinck</v>
      </c>
      <c r="D344" t="str">
        <f>VLOOKUP(bron[[#This Row],[personeelsnr]],'data hastus'!$A:$C,3,0)</f>
        <v>Willy</v>
      </c>
      <c r="E344" t="str">
        <f>VLOOKUP(bron[[#This Row],[personeelsnr]],'data hastus'!A:K,11,FALSE)</f>
        <v>Dominique De Clercq</v>
      </c>
      <c r="F344" s="10"/>
      <c r="G344" s="7"/>
      <c r="H344" s="7"/>
      <c r="I344" s="7"/>
      <c r="Q344" s="5">
        <v>1</v>
      </c>
      <c r="S344" s="5">
        <f>SUM(bron[[#This Row],[Januari]:[December]])</f>
        <v>1</v>
      </c>
      <c r="T344" s="9">
        <v>45605</v>
      </c>
      <c r="U344" s="8" t="s">
        <v>713</v>
      </c>
      <c r="V344" s="8">
        <v>1</v>
      </c>
      <c r="W344" s="8"/>
      <c r="X344" t="s">
        <v>57</v>
      </c>
      <c r="Y344" t="s">
        <v>18</v>
      </c>
    </row>
    <row r="345" spans="1:25" x14ac:dyDescent="0.25">
      <c r="A345">
        <v>16545</v>
      </c>
      <c r="B345" t="e">
        <f>_xlfn.CONCAT([2]!bron[[#This Row],[personeelsnr]]," ",C345," ",D345)</f>
        <v>#REF!</v>
      </c>
      <c r="C345" t="str">
        <f>VLOOKUP(bron[[#This Row],[personeelsnr]],'data hastus'!$A:$C,2,0)</f>
        <v>Toch</v>
      </c>
      <c r="D345" t="str">
        <f>VLOOKUP(bron[[#This Row],[personeelsnr]],'data hastus'!$A:$C,3,0)</f>
        <v>Erwin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Q345" s="5">
        <v>1</v>
      </c>
      <c r="S345" s="5">
        <f>SUM(bron[[#This Row],[Januari]:[December]])</f>
        <v>1</v>
      </c>
      <c r="T345" s="9">
        <v>45605</v>
      </c>
      <c r="U345" s="8" t="s">
        <v>714</v>
      </c>
      <c r="V345" s="8">
        <v>1</v>
      </c>
      <c r="W345" s="8"/>
      <c r="X345" t="s">
        <v>57</v>
      </c>
      <c r="Y345" t="s">
        <v>53</v>
      </c>
    </row>
    <row r="346" spans="1:25" x14ac:dyDescent="0.25">
      <c r="A346">
        <v>20400</v>
      </c>
      <c r="B346" t="e">
        <f>_xlfn.CONCAT([2]!bron[[#This Row],[personeelsnr]]," ",C346," ",D346)</f>
        <v>#REF!</v>
      </c>
      <c r="C346" t="str">
        <f>VLOOKUP(bron[[#This Row],[personeelsnr]],'data hastus'!$A:$C,2,0)</f>
        <v>Allan</v>
      </c>
      <c r="D346" t="str">
        <f>VLOOKUP(bron[[#This Row],[personeelsnr]],'data hastus'!$A:$C,3,0)</f>
        <v>Kenneth</v>
      </c>
      <c r="E346" t="str">
        <f>VLOOKUP(bron[[#This Row],[personeelsnr]],'data hastus'!A:K,11,FALSE)</f>
        <v>Dominique De Clercq</v>
      </c>
      <c r="F346" s="10"/>
      <c r="G346" s="7"/>
      <c r="H346" s="7"/>
      <c r="I346" s="7"/>
      <c r="Q346" s="5">
        <v>1</v>
      </c>
      <c r="S346" s="5">
        <f>SUM(bron[[#This Row],[Januari]:[December]])</f>
        <v>1</v>
      </c>
      <c r="T346" s="9">
        <v>45604</v>
      </c>
      <c r="U346" s="8" t="s">
        <v>711</v>
      </c>
      <c r="V346" s="8"/>
      <c r="W346" s="8">
        <v>1</v>
      </c>
      <c r="X346" t="s">
        <v>58</v>
      </c>
      <c r="Y346" t="s">
        <v>18</v>
      </c>
    </row>
    <row r="347" spans="1:25" x14ac:dyDescent="0.25">
      <c r="A347">
        <v>21121</v>
      </c>
      <c r="B347" t="e">
        <f>_xlfn.CONCAT([2]!bron[[#This Row],[personeelsnr]]," ",C347," ",D347)</f>
        <v>#REF!</v>
      </c>
      <c r="C347" t="str">
        <f>VLOOKUP(bron[[#This Row],[personeelsnr]],'data hastus'!$A:$C,2,0)</f>
        <v>Laforce</v>
      </c>
      <c r="D347" t="str">
        <f>VLOOKUP(bron[[#This Row],[personeelsnr]],'data hastus'!$A:$C,3,0)</f>
        <v>Mike</v>
      </c>
      <c r="E347" t="str">
        <f>VLOOKUP(bron[[#This Row],[personeelsnr]],'data hastus'!A:K,11,FALSE)</f>
        <v>Kenneth De Rick</v>
      </c>
      <c r="F347" s="10"/>
      <c r="G347" s="7"/>
      <c r="H347" s="7"/>
      <c r="I347" s="7"/>
      <c r="Q347" s="5">
        <v>1</v>
      </c>
      <c r="S347" s="5">
        <f>SUM(bron[[#This Row],[Januari]:[December]])</f>
        <v>1</v>
      </c>
      <c r="T347" s="9">
        <v>45604</v>
      </c>
      <c r="U347" s="8" t="s">
        <v>712</v>
      </c>
      <c r="V347" s="8"/>
      <c r="W347" s="8">
        <v>1</v>
      </c>
      <c r="X347" t="s">
        <v>58</v>
      </c>
      <c r="Y347" t="s">
        <v>25</v>
      </c>
    </row>
    <row r="348" spans="1:25" x14ac:dyDescent="0.25">
      <c r="A348">
        <v>33965</v>
      </c>
      <c r="B348" t="e">
        <f>_xlfn.CONCAT([2]!bron[[#This Row],[personeelsnr]]," ",C348," ",D348)</f>
        <v>#REF!</v>
      </c>
      <c r="C348" t="str">
        <f>VLOOKUP(bron[[#This Row],[personeelsnr]],'data hastus'!$A:$C,2,0)</f>
        <v>Van de Gehuchte</v>
      </c>
      <c r="D348" t="str">
        <f>VLOOKUP(bron[[#This Row],[personeelsnr]],'data hastus'!$A:$C,3,0)</f>
        <v>Gilles</v>
      </c>
      <c r="E348" t="str">
        <f>VLOOKUP(bron[[#This Row],[personeelsnr]],'data hastus'!A:K,11,FALSE)</f>
        <v>Kenneth De Rick</v>
      </c>
      <c r="F348" s="10"/>
      <c r="G348" s="7"/>
      <c r="H348" s="7"/>
      <c r="I348" s="7"/>
      <c r="Q348" s="5">
        <v>1</v>
      </c>
      <c r="S348" s="5">
        <f>SUM(bron[[#This Row],[Januari]:[December]])</f>
        <v>1</v>
      </c>
      <c r="T348" s="9">
        <v>45603</v>
      </c>
      <c r="U348" s="8" t="s">
        <v>709</v>
      </c>
      <c r="V348" s="8"/>
      <c r="W348" s="8">
        <v>1</v>
      </c>
      <c r="X348" t="s">
        <v>58</v>
      </c>
      <c r="Y348" t="s">
        <v>223</v>
      </c>
    </row>
    <row r="349" spans="1:25" x14ac:dyDescent="0.25">
      <c r="A349">
        <v>40223</v>
      </c>
      <c r="B349" t="e">
        <f>_xlfn.CONCAT([2]!bron[[#This Row],[personeelsnr]]," ",C349," ",D349)</f>
        <v>#REF!</v>
      </c>
      <c r="C349" t="str">
        <f>VLOOKUP(bron[[#This Row],[personeelsnr]],'data hastus'!$A:$C,2,0)</f>
        <v>Teetaert</v>
      </c>
      <c r="D349" t="str">
        <f>VLOOKUP(bron[[#This Row],[personeelsnr]],'data hastus'!$A:$C,3,0)</f>
        <v>Billy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Q349" s="5">
        <v>1</v>
      </c>
      <c r="S349" s="5">
        <f>SUM(bron[[#This Row],[Januari]:[December]])</f>
        <v>1</v>
      </c>
      <c r="T349" s="9">
        <v>45603</v>
      </c>
      <c r="U349" s="8" t="s">
        <v>710</v>
      </c>
      <c r="V349" s="8">
        <v>1</v>
      </c>
      <c r="W349" s="8"/>
      <c r="X349" t="s">
        <v>57</v>
      </c>
      <c r="Y349" t="s">
        <v>84</v>
      </c>
    </row>
    <row r="350" spans="1:25" x14ac:dyDescent="0.25">
      <c r="A350">
        <v>32951</v>
      </c>
      <c r="B350" t="e">
        <f>_xlfn.CONCAT([2]!bron[[#This Row],[personeelsnr]]," ",C350," ",D350)</f>
        <v>#REF!</v>
      </c>
      <c r="C350" t="str">
        <f>VLOOKUP(bron[[#This Row],[personeelsnr]],'data hastus'!$A:$C,2,0)</f>
        <v>De Bruyne</v>
      </c>
      <c r="D350" t="str">
        <f>VLOOKUP(bron[[#This Row],[personeelsnr]],'data hastus'!$A:$C,3,0)</f>
        <v>Sonia</v>
      </c>
      <c r="E350" t="str">
        <f>VLOOKUP(bron[[#This Row],[personeelsnr]],'data hastus'!A:K,11,FALSE)</f>
        <v>Lucie Vande Velde</v>
      </c>
      <c r="F350" s="10"/>
      <c r="G350" s="7"/>
      <c r="H350" s="7"/>
      <c r="I350" s="7"/>
      <c r="Q350" s="5">
        <v>1</v>
      </c>
      <c r="S350" s="5">
        <f>SUM(bron[[#This Row],[Januari]:[December]])</f>
        <v>1</v>
      </c>
      <c r="T350" s="9">
        <v>45602</v>
      </c>
      <c r="U350" s="8" t="s">
        <v>707</v>
      </c>
      <c r="V350" s="8">
        <v>1</v>
      </c>
      <c r="W350" s="8"/>
      <c r="X350" t="s">
        <v>57</v>
      </c>
      <c r="Y350" t="s">
        <v>196</v>
      </c>
    </row>
    <row r="351" spans="1:25" x14ac:dyDescent="0.25">
      <c r="A351">
        <v>30121</v>
      </c>
      <c r="B351" t="e">
        <f>_xlfn.CONCAT([2]!bron[[#This Row],[personeelsnr]]," ",C351," ",D351)</f>
        <v>#REF!</v>
      </c>
      <c r="C351" t="str">
        <f>VLOOKUP(bron[[#This Row],[personeelsnr]],'data hastus'!$A:$C,2,0)</f>
        <v>Simons</v>
      </c>
      <c r="D351" t="str">
        <f>VLOOKUP(bron[[#This Row],[personeelsnr]],'data hastus'!$A:$C,3,0)</f>
        <v>Andreas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Q351" s="5">
        <v>1</v>
      </c>
      <c r="S351" s="5">
        <f>SUM(bron[[#This Row],[Januari]:[December]])</f>
        <v>1</v>
      </c>
      <c r="T351" s="9">
        <v>45602</v>
      </c>
      <c r="U351" s="8" t="s">
        <v>708</v>
      </c>
      <c r="V351" s="8">
        <v>1</v>
      </c>
      <c r="W351" s="8"/>
      <c r="X351" t="s">
        <v>57</v>
      </c>
      <c r="Y351" t="s">
        <v>28</v>
      </c>
    </row>
    <row r="352" spans="1:25" x14ac:dyDescent="0.25">
      <c r="A352">
        <v>39528</v>
      </c>
      <c r="B352" t="e">
        <f>_xlfn.CONCAT([2]!bron[[#This Row],[personeelsnr]]," ",C352," ",D352)</f>
        <v>#REF!</v>
      </c>
      <c r="C352" t="str">
        <f>VLOOKUP(bron[[#This Row],[personeelsnr]],'data hastus'!$A:$C,2,0)</f>
        <v>Mihaylov</v>
      </c>
      <c r="D352" t="str">
        <f>VLOOKUP(bron[[#This Row],[personeelsnr]],'data hastus'!$A:$C,3,0)</f>
        <v>Plamen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Q352" s="5">
        <v>1</v>
      </c>
      <c r="S352" s="5">
        <f>SUM(bron[[#This Row],[Januari]:[December]])</f>
        <v>1</v>
      </c>
      <c r="T352" s="9">
        <v>45601</v>
      </c>
      <c r="U352" s="8" t="s">
        <v>706</v>
      </c>
      <c r="V352" s="8">
        <v>1</v>
      </c>
      <c r="W352" s="8"/>
      <c r="X352" t="s">
        <v>57</v>
      </c>
      <c r="Y352" t="s">
        <v>18</v>
      </c>
    </row>
    <row r="353" spans="1:25" x14ac:dyDescent="0.25">
      <c r="A353">
        <v>39581</v>
      </c>
      <c r="B353" t="e">
        <f>_xlfn.CONCAT([2]!bron[[#This Row],[personeelsnr]]," ",C353," ",D353)</f>
        <v>#REF!</v>
      </c>
      <c r="C353" t="str">
        <f>VLOOKUP(bron[[#This Row],[personeelsnr]],'data hastus'!$A:$C,2,0)</f>
        <v>Vandenhaute</v>
      </c>
      <c r="D353" t="str">
        <f>VLOOKUP(bron[[#This Row],[personeelsnr]],'data hastus'!$A:$C,3,0)</f>
        <v>Linus</v>
      </c>
      <c r="E353" t="str">
        <f>VLOOKUP(bron[[#This Row],[personeelsnr]],'data hastus'!A:K,11,FALSE)</f>
        <v>Els Dewulf</v>
      </c>
      <c r="F353" s="10"/>
      <c r="G353" s="7"/>
      <c r="H353" s="7"/>
      <c r="I353" s="7"/>
      <c r="Q353" s="5">
        <v>1</v>
      </c>
      <c r="S353" s="5">
        <f>SUM(bron[[#This Row],[Januari]:[December]])</f>
        <v>1</v>
      </c>
      <c r="T353" s="9">
        <v>45600</v>
      </c>
      <c r="U353" s="8" t="s">
        <v>703</v>
      </c>
      <c r="V353" s="8">
        <v>1</v>
      </c>
      <c r="W353" s="8"/>
      <c r="X353" t="s">
        <v>57</v>
      </c>
      <c r="Y353" t="s">
        <v>18</v>
      </c>
    </row>
    <row r="354" spans="1:25" x14ac:dyDescent="0.25">
      <c r="A354">
        <v>33488</v>
      </c>
      <c r="B354" t="e">
        <f>_xlfn.CONCAT([2]!bron[[#This Row],[personeelsnr]]," ",C354," ",D354)</f>
        <v>#REF!</v>
      </c>
      <c r="C354" t="str">
        <f>VLOOKUP(bron[[#This Row],[personeelsnr]],'data hastus'!$A:$C,2,0)</f>
        <v>Holub</v>
      </c>
      <c r="D354" t="str">
        <f>VLOOKUP(bron[[#This Row],[personeelsnr]],'data hastus'!$A:$C,3,0)</f>
        <v>Patrik</v>
      </c>
      <c r="E354" t="str">
        <f>VLOOKUP(bron[[#This Row],[personeelsnr]],'data hastus'!A:K,11,FALSE)</f>
        <v>Els Vanhoe</v>
      </c>
      <c r="F354" s="10"/>
      <c r="G354" s="7"/>
      <c r="H354" s="7"/>
      <c r="I354" s="7"/>
      <c r="Q354" s="5">
        <v>1</v>
      </c>
      <c r="S354" s="5">
        <f>SUM(bron[[#This Row],[Januari]:[December]])</f>
        <v>1</v>
      </c>
      <c r="T354" s="9">
        <v>45600</v>
      </c>
      <c r="U354" s="8" t="s">
        <v>704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26102</v>
      </c>
      <c r="B355" t="e">
        <f>_xlfn.CONCAT([2]!bron[[#This Row],[personeelsnr]]," ",C355," ",D355)</f>
        <v>#REF!</v>
      </c>
      <c r="C355" t="str">
        <f>VLOOKUP(bron[[#This Row],[personeelsnr]],'data hastus'!$A:$C,2,0)</f>
        <v>Bral</v>
      </c>
      <c r="D355" t="str">
        <f>VLOOKUP(bron[[#This Row],[personeelsnr]],'data hastus'!$A:$C,3,0)</f>
        <v>Jessica</v>
      </c>
      <c r="E355" t="str">
        <f>VLOOKUP(bron[[#This Row],[personeelsnr]],'data hastus'!A:K,11,FALSE)</f>
        <v>Els Dewulf</v>
      </c>
      <c r="F355" s="10"/>
      <c r="G355" s="7"/>
      <c r="H355" s="7"/>
      <c r="I355" s="7"/>
      <c r="Q355" s="5">
        <v>1</v>
      </c>
      <c r="S355" s="5">
        <f>SUM(bron[[#This Row],[Januari]:[December]])</f>
        <v>1</v>
      </c>
      <c r="T355" s="9">
        <v>45600</v>
      </c>
      <c r="U355" s="8" t="s">
        <v>705</v>
      </c>
      <c r="V355" s="8">
        <v>1</v>
      </c>
      <c r="W355" s="8"/>
      <c r="X355" t="s">
        <v>57</v>
      </c>
      <c r="Y355" t="s">
        <v>18</v>
      </c>
    </row>
    <row r="356" spans="1:25" x14ac:dyDescent="0.25">
      <c r="A356">
        <v>30901</v>
      </c>
      <c r="B356" t="e">
        <f>_xlfn.CONCAT([2]!bron[[#This Row],[personeelsnr]]," ",C356," ",D356)</f>
        <v>#REF!</v>
      </c>
      <c r="C356" t="str">
        <f>VLOOKUP(bron[[#This Row],[personeelsnr]],'data hastus'!$A:$C,2,0)</f>
        <v>vanden Bulcke</v>
      </c>
      <c r="D356" t="str">
        <f>VLOOKUP(bron[[#This Row],[personeelsnr]],'data hastus'!$A:$C,3,0)</f>
        <v>Johan</v>
      </c>
      <c r="E356" t="str">
        <f>VLOOKUP(bron[[#This Row],[personeelsnr]],'data hastus'!A:K,11,FALSE)</f>
        <v>Els Dewulf</v>
      </c>
      <c r="F356" s="10"/>
      <c r="G356" s="7"/>
      <c r="H356" s="7"/>
      <c r="I356" s="7"/>
      <c r="Q356" s="5">
        <v>1</v>
      </c>
      <c r="S356" s="5">
        <f>SUM(bron[[#This Row],[Januari]:[December]])</f>
        <v>1</v>
      </c>
      <c r="T356" s="9">
        <v>45598</v>
      </c>
      <c r="U356" s="8" t="s">
        <v>701</v>
      </c>
      <c r="V356" s="8">
        <v>1</v>
      </c>
      <c r="W356" s="8"/>
      <c r="X356" t="s">
        <v>57</v>
      </c>
      <c r="Y356" t="s">
        <v>59</v>
      </c>
    </row>
    <row r="357" spans="1:25" x14ac:dyDescent="0.25">
      <c r="A357">
        <v>9999</v>
      </c>
      <c r="B357" t="str">
        <f>_xlfn.CONCAT([2]!bron[[#This Row],[personeelsnr]]," ",C357," ",D357)</f>
        <v>9999 - -</v>
      </c>
      <c r="C357" t="s">
        <v>2919</v>
      </c>
      <c r="D357" t="s">
        <v>2919</v>
      </c>
      <c r="E357" t="s">
        <v>810</v>
      </c>
      <c r="F357" s="10"/>
      <c r="G357" s="7"/>
      <c r="H357" s="7"/>
      <c r="I357" s="7"/>
      <c r="Q357" s="5">
        <v>1</v>
      </c>
      <c r="S357" s="5">
        <f>SUM(bron[[#This Row],[Januari]:[December]])</f>
        <v>1</v>
      </c>
      <c r="T357" s="9">
        <v>45598</v>
      </c>
      <c r="U357" s="8" t="s">
        <v>702</v>
      </c>
      <c r="V357" s="8">
        <v>1</v>
      </c>
      <c r="W357" s="8"/>
      <c r="X357" t="s">
        <v>57</v>
      </c>
      <c r="Y357" t="s">
        <v>51</v>
      </c>
    </row>
    <row r="358" spans="1:25" x14ac:dyDescent="0.25">
      <c r="A358">
        <v>40278</v>
      </c>
      <c r="B358" t="e">
        <f>_xlfn.CONCAT([2]!bron[[#This Row],[personeelsnr]]," ",C358," ",D358)</f>
        <v>#REF!</v>
      </c>
      <c r="C358" t="str">
        <f>VLOOKUP(bron[[#This Row],[personeelsnr]],'data hastus'!$A:$C,2,0)</f>
        <v>Ates</v>
      </c>
      <c r="D358" t="str">
        <f>VLOOKUP(bron[[#This Row],[personeelsnr]],'data hastus'!$A:$C,3,0)</f>
        <v>Firat</v>
      </c>
      <c r="E358" t="str">
        <f>VLOOKUP(bron[[#This Row],[personeelsnr]],'data hastus'!A:K,11,FALSE)</f>
        <v>Christoff Rotty</v>
      </c>
      <c r="F358" s="10"/>
      <c r="G358" s="7"/>
      <c r="H358" s="7"/>
      <c r="I358" s="7"/>
      <c r="P358" s="5">
        <v>1</v>
      </c>
      <c r="S358" s="5">
        <f>SUM(bron[[#This Row],[Januari]:[December]])</f>
        <v>1</v>
      </c>
      <c r="T358" s="9">
        <v>45595</v>
      </c>
      <c r="U358" s="8" t="s">
        <v>699</v>
      </c>
      <c r="V358" s="8">
        <v>1</v>
      </c>
      <c r="W358" s="8"/>
      <c r="X358" t="s">
        <v>57</v>
      </c>
      <c r="Y358" t="s">
        <v>26</v>
      </c>
    </row>
    <row r="359" spans="1:25" x14ac:dyDescent="0.25">
      <c r="A359">
        <v>29540</v>
      </c>
      <c r="B359" t="e">
        <f>_xlfn.CONCAT([2]!bron[[#This Row],[personeelsnr]]," ",C359," ",D359)</f>
        <v>#REF!</v>
      </c>
      <c r="C359" t="str">
        <f>VLOOKUP(bron[[#This Row],[personeelsnr]],'data hastus'!$A:$C,2,0)</f>
        <v>De Keyzer</v>
      </c>
      <c r="D359" t="str">
        <f>VLOOKUP(bron[[#This Row],[personeelsnr]],'data hastus'!$A:$C,3,0)</f>
        <v>Jan</v>
      </c>
      <c r="E359" t="str">
        <f>VLOOKUP(bron[[#This Row],[personeelsnr]],'data hastus'!A:K,11,FALSE)</f>
        <v>Lucie Vande Velde</v>
      </c>
      <c r="F359" s="10"/>
      <c r="G359" s="7"/>
      <c r="H359" s="7"/>
      <c r="I359" s="7"/>
      <c r="P359" s="5">
        <v>1</v>
      </c>
      <c r="S359" s="5">
        <f>SUM(bron[[#This Row],[Januari]:[December]])</f>
        <v>1</v>
      </c>
      <c r="T359" s="9">
        <v>45595</v>
      </c>
      <c r="U359" s="8" t="s">
        <v>700</v>
      </c>
      <c r="V359" s="8">
        <v>1</v>
      </c>
      <c r="W359" s="8"/>
      <c r="X359" t="s">
        <v>57</v>
      </c>
      <c r="Y359" t="s">
        <v>20</v>
      </c>
    </row>
    <row r="360" spans="1:25" x14ac:dyDescent="0.25">
      <c r="A360">
        <v>12173</v>
      </c>
      <c r="B360" t="e">
        <f>_xlfn.CONCAT([2]!bron[[#This Row],[personeelsnr]]," ",C360," ",D360)</f>
        <v>#REF!</v>
      </c>
      <c r="C360" t="str">
        <f>VLOOKUP(bron[[#This Row],[personeelsnr]],'data hastus'!$A:$C,2,0)</f>
        <v>De Feyter</v>
      </c>
      <c r="D360" t="str">
        <f>VLOOKUP(bron[[#This Row],[personeelsnr]],'data hastus'!$A:$C,3,0)</f>
        <v>David</v>
      </c>
      <c r="E360" t="str">
        <f>VLOOKUP(bron[[#This Row],[personeelsnr]],'data hastus'!A:K,11,FALSE)</f>
        <v>Els Vanhoe</v>
      </c>
      <c r="F360" s="10"/>
      <c r="G360" s="7"/>
      <c r="H360" s="7"/>
      <c r="I360" s="7"/>
      <c r="P360" s="5">
        <v>1</v>
      </c>
      <c r="S360" s="5">
        <f>SUM(bron[[#This Row],[Januari]:[December]])</f>
        <v>1</v>
      </c>
      <c r="T360" s="9">
        <v>45593</v>
      </c>
      <c r="U360" s="8" t="s">
        <v>697</v>
      </c>
      <c r="V360" s="8">
        <v>1</v>
      </c>
      <c r="W360" s="8"/>
      <c r="X360" t="s">
        <v>57</v>
      </c>
      <c r="Y360" t="s">
        <v>112</v>
      </c>
    </row>
    <row r="361" spans="1:25" x14ac:dyDescent="0.25">
      <c r="A361">
        <v>37542</v>
      </c>
      <c r="B361" t="e">
        <f>_xlfn.CONCAT([2]!bron[[#This Row],[personeelsnr]]," ",C361," ",D361)</f>
        <v>#REF!</v>
      </c>
      <c r="C361" t="str">
        <f>VLOOKUP(bron[[#This Row],[personeelsnr]],'data hastus'!$A:$C,2,0)</f>
        <v>De Tandt</v>
      </c>
      <c r="D361" t="str">
        <f>VLOOKUP(bron[[#This Row],[personeelsnr]],'data hastus'!$A:$C,3,0)</f>
        <v>Hans</v>
      </c>
      <c r="E361" t="str">
        <f>VLOOKUP(bron[[#This Row],[personeelsnr]],'data hastus'!A:K,11,FALSE)</f>
        <v>Bart Van Der Beken</v>
      </c>
      <c r="F361" s="10"/>
      <c r="G361" s="7"/>
      <c r="H361" s="7"/>
      <c r="I361" s="7"/>
      <c r="P361" s="5">
        <v>1</v>
      </c>
      <c r="S361" s="5">
        <f>SUM(bron[[#This Row],[Januari]:[December]])</f>
        <v>1</v>
      </c>
      <c r="T361" s="9">
        <v>45593</v>
      </c>
      <c r="U361" s="8" t="s">
        <v>698</v>
      </c>
      <c r="V361" s="8"/>
      <c r="W361" s="8">
        <v>1</v>
      </c>
      <c r="X361" t="s">
        <v>58</v>
      </c>
      <c r="Y361" t="s">
        <v>68</v>
      </c>
    </row>
    <row r="362" spans="1:25" x14ac:dyDescent="0.25">
      <c r="A362">
        <v>40859</v>
      </c>
      <c r="B362" t="e">
        <f>_xlfn.CONCAT([2]!bron[[#This Row],[personeelsnr]]," ",C362," ",D362)</f>
        <v>#REF!</v>
      </c>
      <c r="C362" t="str">
        <f>VLOOKUP(bron[[#This Row],[personeelsnr]],'data hastus'!$A:$C,2,0)</f>
        <v>Yagoub</v>
      </c>
      <c r="D362" t="str">
        <f>VLOOKUP(bron[[#This Row],[personeelsnr]],'data hastus'!$A:$C,3,0)</f>
        <v>Abdelali</v>
      </c>
      <c r="E362" t="str">
        <f>VLOOKUP(bron[[#This Row],[personeelsnr]],'data hastus'!A:K,11,FALSE)</f>
        <v>Els Vanhoe</v>
      </c>
      <c r="F362" s="10"/>
      <c r="G362" s="7"/>
      <c r="H362" s="7"/>
      <c r="I362" s="7"/>
      <c r="P362" s="5">
        <v>1</v>
      </c>
      <c r="S362" s="5">
        <f>SUM(bron[[#This Row],[Januari]:[December]])</f>
        <v>1</v>
      </c>
      <c r="T362" s="9">
        <v>45591</v>
      </c>
      <c r="U362" s="8" t="s">
        <v>695</v>
      </c>
      <c r="V362" s="8">
        <v>1</v>
      </c>
      <c r="W362" s="8"/>
      <c r="X362" t="s">
        <v>57</v>
      </c>
      <c r="Y362" t="s">
        <v>82</v>
      </c>
    </row>
    <row r="363" spans="1:25" x14ac:dyDescent="0.25">
      <c r="A363">
        <v>21892</v>
      </c>
      <c r="B363" t="e">
        <f>_xlfn.CONCAT([2]!bron[[#This Row],[personeelsnr]]," ",C363," ",D363)</f>
        <v>#REF!</v>
      </c>
      <c r="C363" t="str">
        <f>VLOOKUP(bron[[#This Row],[personeelsnr]],'data hastus'!$A:$C,2,0)</f>
        <v>Dierick</v>
      </c>
      <c r="D363" t="str">
        <f>VLOOKUP(bron[[#This Row],[personeelsnr]],'data hastus'!$A:$C,3,0)</f>
        <v>Steve</v>
      </c>
      <c r="E363" t="str">
        <f>VLOOKUP(bron[[#This Row],[personeelsnr]],'data hastus'!A:K,11,FALSE)</f>
        <v>Steven Storm</v>
      </c>
      <c r="F363" s="10"/>
      <c r="G363" s="7"/>
      <c r="H363" s="7"/>
      <c r="I363" s="7"/>
      <c r="P363" s="5">
        <v>1</v>
      </c>
      <c r="S363" s="5">
        <f>SUM(bron[[#This Row],[Januari]:[December]])</f>
        <v>1</v>
      </c>
      <c r="T363" s="9">
        <v>45591</v>
      </c>
      <c r="U363" s="8" t="s">
        <v>696</v>
      </c>
      <c r="V363" s="8"/>
      <c r="W363" s="8">
        <v>1</v>
      </c>
      <c r="X363" t="s">
        <v>58</v>
      </c>
      <c r="Y363" t="s">
        <v>123</v>
      </c>
    </row>
    <row r="364" spans="1:25" x14ac:dyDescent="0.25">
      <c r="A364">
        <v>30623</v>
      </c>
      <c r="B364" t="e">
        <f>_xlfn.CONCAT([2]!bron[[#This Row],[personeelsnr]]," ",C364," ",D364)</f>
        <v>#REF!</v>
      </c>
      <c r="C364" t="str">
        <f>VLOOKUP(bron[[#This Row],[personeelsnr]],'data hastus'!$A:$C,2,0)</f>
        <v>Gassa</v>
      </c>
      <c r="D364" t="str">
        <f>VLOOKUP(bron[[#This Row],[personeelsnr]],'data hastus'!$A:$C,3,0)</f>
        <v>Mustafa</v>
      </c>
      <c r="E364" t="str">
        <f>VLOOKUP(bron[[#This Row],[personeelsnr]],'data hastus'!A:K,11,FALSE)</f>
        <v>Kenneth De Rick</v>
      </c>
      <c r="F364" s="10"/>
      <c r="G364" s="7"/>
      <c r="H364" s="7"/>
      <c r="I364" s="7"/>
      <c r="P364" s="5">
        <v>1</v>
      </c>
      <c r="S364" s="5">
        <f>SUM(bron[[#This Row],[Januari]:[December]])</f>
        <v>1</v>
      </c>
      <c r="T364" s="9">
        <v>45590</v>
      </c>
      <c r="U364" s="8" t="s">
        <v>693</v>
      </c>
      <c r="V364" s="8">
        <v>1</v>
      </c>
      <c r="W364" s="8"/>
      <c r="X364" t="s">
        <v>57</v>
      </c>
      <c r="Y364" t="s">
        <v>91</v>
      </c>
    </row>
    <row r="365" spans="1:25" x14ac:dyDescent="0.25">
      <c r="A365">
        <v>37809</v>
      </c>
      <c r="B365" t="e">
        <f>_xlfn.CONCAT([2]!bron[[#This Row],[personeelsnr]]," ",C365," ",D365)</f>
        <v>#REF!</v>
      </c>
      <c r="C365" t="str">
        <f>VLOOKUP(bron[[#This Row],[personeelsnr]],'data hastus'!$A:$C,2,0)</f>
        <v>Sturtewagen</v>
      </c>
      <c r="D365" t="str">
        <f>VLOOKUP(bron[[#This Row],[personeelsnr]],'data hastus'!$A:$C,3,0)</f>
        <v>Kenny</v>
      </c>
      <c r="E365" t="str">
        <f>VLOOKUP(bron[[#This Row],[personeelsnr]],'data hastus'!A:K,11,FALSE)</f>
        <v>Steven Storm</v>
      </c>
      <c r="F365" s="10"/>
      <c r="G365" s="7"/>
      <c r="H365" s="7"/>
      <c r="I365" s="7"/>
      <c r="P365" s="5">
        <v>1</v>
      </c>
      <c r="S365" s="5">
        <f>SUM(bron[[#This Row],[Januari]:[December]])</f>
        <v>1</v>
      </c>
      <c r="T365" s="9">
        <v>45590</v>
      </c>
      <c r="U365" s="8" t="s">
        <v>694</v>
      </c>
      <c r="V365" s="8">
        <v>1</v>
      </c>
      <c r="W365" s="8"/>
      <c r="X365" t="s">
        <v>57</v>
      </c>
      <c r="Y365" t="s">
        <v>27</v>
      </c>
    </row>
    <row r="366" spans="1:25" x14ac:dyDescent="0.25">
      <c r="A366">
        <v>40222</v>
      </c>
      <c r="B366" t="e">
        <f>_xlfn.CONCAT([2]!bron[[#This Row],[personeelsnr]]," ",C366," ",D366)</f>
        <v>#REF!</v>
      </c>
      <c r="C366" t="str">
        <f>VLOOKUP(bron[[#This Row],[personeelsnr]],'data hastus'!$A:$C,2,0)</f>
        <v>Van Iterson</v>
      </c>
      <c r="D366" t="str">
        <f>VLOOKUP(bron[[#This Row],[personeelsnr]],'data hastus'!$A:$C,3,0)</f>
        <v>Sharon</v>
      </c>
      <c r="E366" t="str">
        <f>VLOOKUP(bron[[#This Row],[personeelsnr]],'data hastus'!A:K,11,FALSE)</f>
        <v>Dominique De Clercq</v>
      </c>
      <c r="F366" s="10"/>
      <c r="G366" s="7"/>
      <c r="H366" s="7"/>
      <c r="I366" s="7"/>
      <c r="P366" s="5">
        <v>1</v>
      </c>
      <c r="S366" s="5">
        <f>SUM(bron[[#This Row],[Januari]:[December]])</f>
        <v>1</v>
      </c>
      <c r="T366" s="9">
        <v>45589</v>
      </c>
      <c r="U366" s="8" t="s">
        <v>689</v>
      </c>
      <c r="V366" s="8">
        <v>1</v>
      </c>
      <c r="W366" s="8"/>
      <c r="X366" t="s">
        <v>57</v>
      </c>
      <c r="Y366" t="s">
        <v>49</v>
      </c>
    </row>
    <row r="367" spans="1:25" x14ac:dyDescent="0.25">
      <c r="A367">
        <v>35450</v>
      </c>
      <c r="B367" t="e">
        <f>_xlfn.CONCAT([2]!bron[[#This Row],[personeelsnr]]," ",C367," ",D367)</f>
        <v>#REF!</v>
      </c>
      <c r="C367" t="str">
        <f>VLOOKUP(bron[[#This Row],[personeelsnr]],'data hastus'!$A:$C,2,0)</f>
        <v>Roos</v>
      </c>
      <c r="D367" t="str">
        <f>VLOOKUP(bron[[#This Row],[personeelsnr]],'data hastus'!$A:$C,3,0)</f>
        <v>Hugo</v>
      </c>
      <c r="E367" t="str">
        <f>VLOOKUP(bron[[#This Row],[personeelsnr]],'data hastus'!A:K,11,FALSE)</f>
        <v>Els Dewulf</v>
      </c>
      <c r="F367" s="10"/>
      <c r="G367" s="7"/>
      <c r="H367" s="7"/>
      <c r="I367" s="7"/>
      <c r="P367" s="5">
        <v>1</v>
      </c>
      <c r="S367" s="5">
        <f>SUM(bron[[#This Row],[Januari]:[December]])</f>
        <v>1</v>
      </c>
      <c r="T367" s="9">
        <v>45589</v>
      </c>
      <c r="U367" s="8" t="s">
        <v>690</v>
      </c>
      <c r="V367" s="8">
        <v>1</v>
      </c>
      <c r="W367" s="8"/>
      <c r="X367" t="s">
        <v>57</v>
      </c>
      <c r="Y367" t="s">
        <v>49</v>
      </c>
    </row>
    <row r="368" spans="1:25" x14ac:dyDescent="0.25">
      <c r="A368">
        <v>40652</v>
      </c>
      <c r="B368" t="e">
        <f>_xlfn.CONCAT([2]!bron[[#This Row],[personeelsnr]]," ",C368," ",D368)</f>
        <v>#REF!</v>
      </c>
      <c r="C368" t="str">
        <f>VLOOKUP(bron[[#This Row],[personeelsnr]],'data hastus'!$A:$C,2,0)</f>
        <v>Van Damme</v>
      </c>
      <c r="D368" t="str">
        <f>VLOOKUP(bron[[#This Row],[personeelsnr]],'data hastus'!$A:$C,3,0)</f>
        <v>Gilyann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P368" s="5">
        <v>1</v>
      </c>
      <c r="S368" s="5">
        <f>SUM(bron[[#This Row],[Januari]:[December]])</f>
        <v>1</v>
      </c>
      <c r="T368" s="9">
        <v>45589</v>
      </c>
      <c r="U368" s="8" t="s">
        <v>691</v>
      </c>
      <c r="V368" s="8">
        <v>1</v>
      </c>
      <c r="W368" s="8"/>
      <c r="X368" t="s">
        <v>57</v>
      </c>
      <c r="Y368" t="s">
        <v>18</v>
      </c>
    </row>
    <row r="369" spans="1:25" x14ac:dyDescent="0.25">
      <c r="A369">
        <v>37809</v>
      </c>
      <c r="B369" t="e">
        <f>_xlfn.CONCAT([2]!bron[[#This Row],[personeelsnr]]," ",C369," ",D369)</f>
        <v>#REF!</v>
      </c>
      <c r="C369" t="str">
        <f>VLOOKUP(bron[[#This Row],[personeelsnr]],'data hastus'!$A:$C,2,0)</f>
        <v>Sturtewagen</v>
      </c>
      <c r="D369" t="str">
        <f>VLOOKUP(bron[[#This Row],[personeelsnr]],'data hastus'!$A:$C,3,0)</f>
        <v>Kenny</v>
      </c>
      <c r="E369" t="str">
        <f>VLOOKUP(bron[[#This Row],[personeelsnr]],'data hastus'!A:K,11,FALSE)</f>
        <v>Steven Storm</v>
      </c>
      <c r="F369" s="10"/>
      <c r="G369" s="7"/>
      <c r="H369" s="7"/>
      <c r="I369" s="7"/>
      <c r="P369" s="5">
        <v>1</v>
      </c>
      <c r="S369" s="5">
        <f>SUM(bron[[#This Row],[Januari]:[December]])</f>
        <v>1</v>
      </c>
      <c r="T369" s="9">
        <v>45589</v>
      </c>
      <c r="U369" s="8" t="s">
        <v>692</v>
      </c>
      <c r="V369" s="8">
        <v>1</v>
      </c>
      <c r="W369" s="8"/>
      <c r="X369" t="s">
        <v>57</v>
      </c>
      <c r="Y369" t="s">
        <v>55</v>
      </c>
    </row>
    <row r="370" spans="1:25" x14ac:dyDescent="0.25">
      <c r="A370">
        <v>5718</v>
      </c>
      <c r="B370" t="e">
        <f>_xlfn.CONCAT([2]!bron[[#This Row],[personeelsnr]]," ",C370," ",D370)</f>
        <v>#REF!</v>
      </c>
      <c r="C370" t="str">
        <f>VLOOKUP(bron[[#This Row],[personeelsnr]],'data hastus'!$A:$C,2,0)</f>
        <v>Dejonckheere</v>
      </c>
      <c r="D370" t="str">
        <f>VLOOKUP(bron[[#This Row],[personeelsnr]],'data hastus'!$A:$C,3,0)</f>
        <v>Inge</v>
      </c>
      <c r="E370" t="str">
        <f>VLOOKUP(bron[[#This Row],[personeelsnr]],'data hastus'!A:K,11,FALSE)</f>
        <v>Kenneth De Rick</v>
      </c>
      <c r="F370" s="10"/>
      <c r="G370" s="7"/>
      <c r="H370" s="7"/>
      <c r="I370" s="7"/>
      <c r="P370" s="5">
        <v>1</v>
      </c>
      <c r="S370" s="5">
        <f>SUM(bron[[#This Row],[Januari]:[December]])</f>
        <v>1</v>
      </c>
      <c r="T370" s="9">
        <v>45588</v>
      </c>
      <c r="U370" s="8" t="s">
        <v>687</v>
      </c>
      <c r="V370" s="8">
        <v>1</v>
      </c>
      <c r="W370" s="8"/>
      <c r="X370" t="s">
        <v>57</v>
      </c>
      <c r="Y370" t="s">
        <v>39</v>
      </c>
    </row>
    <row r="371" spans="1:25" x14ac:dyDescent="0.25">
      <c r="A371">
        <v>35598</v>
      </c>
      <c r="B371" t="e">
        <f>_xlfn.CONCAT([2]!bron[[#This Row],[personeelsnr]]," ",C371," ",D371)</f>
        <v>#REF!</v>
      </c>
      <c r="C371" t="str">
        <f>VLOOKUP(bron[[#This Row],[personeelsnr]],'data hastus'!$A:$C,2,0)</f>
        <v>Braeckman</v>
      </c>
      <c r="D371" t="str">
        <f>VLOOKUP(bron[[#This Row],[personeelsnr]],'data hastus'!$A:$C,3,0)</f>
        <v>Wouter</v>
      </c>
      <c r="E371" t="str">
        <f>VLOOKUP(bron[[#This Row],[personeelsnr]],'data hastus'!A:K,11,FALSE)</f>
        <v>Dominique De Clercq</v>
      </c>
      <c r="F371" s="10"/>
      <c r="G371" s="7"/>
      <c r="H371" s="7"/>
      <c r="I371" s="7"/>
      <c r="P371" s="5">
        <v>1</v>
      </c>
      <c r="S371" s="5">
        <f>SUM(bron[[#This Row],[Januari]:[December]])</f>
        <v>1</v>
      </c>
      <c r="T371" s="9">
        <v>45588</v>
      </c>
      <c r="U371" s="8" t="s">
        <v>688</v>
      </c>
      <c r="V371" s="8"/>
      <c r="W371" s="8">
        <v>1</v>
      </c>
      <c r="X371" t="s">
        <v>58</v>
      </c>
      <c r="Y371" t="s">
        <v>18</v>
      </c>
    </row>
    <row r="372" spans="1:25" x14ac:dyDescent="0.25">
      <c r="A372">
        <v>39929</v>
      </c>
      <c r="B372" t="e">
        <f>_xlfn.CONCAT([2]!bron[[#This Row],[personeelsnr]]," ",C372," ",D372)</f>
        <v>#REF!</v>
      </c>
      <c r="C372" t="str">
        <f>VLOOKUP(bron[[#This Row],[personeelsnr]],'data hastus'!$A:$C,2,0)</f>
        <v>Staneva</v>
      </c>
      <c r="D372" t="str">
        <f>VLOOKUP(bron[[#This Row],[personeelsnr]],'data hastus'!$A:$C,3,0)</f>
        <v>Mariyana</v>
      </c>
      <c r="E372" t="str">
        <f>VLOOKUP(bron[[#This Row],[personeelsnr]],'data hastus'!A:K,11,FALSE)</f>
        <v>Christoff Rotty</v>
      </c>
      <c r="F372" s="10"/>
      <c r="G372" s="7"/>
      <c r="H372" s="7"/>
      <c r="I372" s="7"/>
      <c r="P372" s="5">
        <v>1</v>
      </c>
      <c r="S372" s="5">
        <f>SUM(bron[[#This Row],[Januari]:[December]])</f>
        <v>1</v>
      </c>
      <c r="T372" s="9">
        <v>45587</v>
      </c>
      <c r="U372" s="8" t="s">
        <v>685</v>
      </c>
      <c r="V372" s="8">
        <v>1</v>
      </c>
      <c r="W372" s="8"/>
      <c r="X372" t="s">
        <v>57</v>
      </c>
      <c r="Y372" t="s">
        <v>24</v>
      </c>
    </row>
    <row r="373" spans="1:25" x14ac:dyDescent="0.25">
      <c r="A373">
        <v>32387</v>
      </c>
      <c r="B373" t="e">
        <f>_xlfn.CONCAT([2]!bron[[#This Row],[personeelsnr]]," ",C373," ",D373)</f>
        <v>#REF!</v>
      </c>
      <c r="C373" t="str">
        <f>VLOOKUP(bron[[#This Row],[personeelsnr]],'data hastus'!$A:$C,2,0)</f>
        <v>Meersman</v>
      </c>
      <c r="D373" t="str">
        <f>VLOOKUP(bron[[#This Row],[personeelsnr]],'data hastus'!$A:$C,3,0)</f>
        <v>Herman</v>
      </c>
      <c r="E373" t="str">
        <f>VLOOKUP(bron[[#This Row],[personeelsnr]],'data hastus'!A:K,11,FALSE)</f>
        <v>Steven Storm</v>
      </c>
      <c r="F373" s="10"/>
      <c r="G373" s="7"/>
      <c r="H373" s="7"/>
      <c r="I373" s="7"/>
      <c r="P373" s="5">
        <v>1</v>
      </c>
      <c r="S373" s="5">
        <f>SUM(bron[[#This Row],[Januari]:[December]])</f>
        <v>1</v>
      </c>
      <c r="T373" s="9">
        <v>45587</v>
      </c>
      <c r="U373" s="8" t="s">
        <v>686</v>
      </c>
      <c r="V373" s="8"/>
      <c r="W373" s="8">
        <v>1</v>
      </c>
      <c r="X373" t="s">
        <v>58</v>
      </c>
      <c r="Y373" t="s">
        <v>231</v>
      </c>
    </row>
    <row r="374" spans="1:25" x14ac:dyDescent="0.25">
      <c r="A374">
        <v>33986</v>
      </c>
      <c r="B374" t="e">
        <f>_xlfn.CONCAT([2]!bron[[#This Row],[personeelsnr]]," ",C374," ",D374)</f>
        <v>#REF!</v>
      </c>
      <c r="C374" t="str">
        <f>VLOOKUP(bron[[#This Row],[personeelsnr]],'data hastus'!$A:$C,2,0)</f>
        <v>Göktas</v>
      </c>
      <c r="D374" t="str">
        <f>VLOOKUP(bron[[#This Row],[personeelsnr]],'data hastus'!$A:$C,3,0)</f>
        <v>Muharrem</v>
      </c>
      <c r="E374" t="str">
        <f>VLOOKUP(bron[[#This Row],[personeelsnr]],'data hastus'!A:K,11,FALSE)</f>
        <v>Kenneth De Rick</v>
      </c>
      <c r="F374" s="10"/>
      <c r="G374" s="7"/>
      <c r="H374" s="7"/>
      <c r="I374" s="7"/>
      <c r="P374" s="5">
        <v>1</v>
      </c>
      <c r="S374" s="5">
        <f>SUM(bron[[#This Row],[Januari]:[December]])</f>
        <v>1</v>
      </c>
      <c r="T374" s="9">
        <v>45586</v>
      </c>
      <c r="U374" s="8" t="s">
        <v>683</v>
      </c>
      <c r="V374" s="8"/>
      <c r="W374" s="8">
        <v>1</v>
      </c>
      <c r="X374" t="s">
        <v>58</v>
      </c>
      <c r="Y374" t="s">
        <v>18</v>
      </c>
    </row>
    <row r="375" spans="1:25" x14ac:dyDescent="0.25">
      <c r="A375">
        <v>6310</v>
      </c>
      <c r="B375" t="e">
        <f>_xlfn.CONCAT([2]!bron[[#This Row],[personeelsnr]]," ",C375," ",D375)</f>
        <v>#REF!</v>
      </c>
      <c r="C375" t="str">
        <f>VLOOKUP(bron[[#This Row],[personeelsnr]],'data hastus'!$A:$C,2,0)</f>
        <v>De Craene</v>
      </c>
      <c r="D375" t="str">
        <f>VLOOKUP(bron[[#This Row],[personeelsnr]],'data hastus'!$A:$C,3,0)</f>
        <v>Peter</v>
      </c>
      <c r="E375" t="str">
        <f>VLOOKUP(bron[[#This Row],[personeelsnr]],'data hastus'!A:K,11,FALSE)</f>
        <v>Els Dewulf</v>
      </c>
      <c r="F375" s="10"/>
      <c r="G375" s="7"/>
      <c r="H375" s="7"/>
      <c r="I375" s="7"/>
      <c r="P375" s="5">
        <v>1</v>
      </c>
      <c r="S375" s="5">
        <f>SUM(bron[[#This Row],[Januari]:[December]])</f>
        <v>1</v>
      </c>
      <c r="T375" s="9">
        <v>45586</v>
      </c>
      <c r="U375" s="8" t="s">
        <v>684</v>
      </c>
      <c r="V375" s="8"/>
      <c r="W375" s="8">
        <v>1</v>
      </c>
      <c r="X375" t="s">
        <v>58</v>
      </c>
      <c r="Y375" t="s">
        <v>70</v>
      </c>
    </row>
    <row r="376" spans="1:25" x14ac:dyDescent="0.25">
      <c r="A376">
        <v>37662</v>
      </c>
      <c r="B376" t="e">
        <f>_xlfn.CONCAT([2]!bron[[#This Row],[personeelsnr]]," ",C376," ",D376)</f>
        <v>#REF!</v>
      </c>
      <c r="C376" t="str">
        <f>VLOOKUP(bron[[#This Row],[personeelsnr]],'data hastus'!$A:$C,2,0)</f>
        <v>Van den Meerssche</v>
      </c>
      <c r="D376" t="str">
        <f>VLOOKUP(bron[[#This Row],[personeelsnr]],'data hastus'!$A:$C,3,0)</f>
        <v>Steven</v>
      </c>
      <c r="E376" t="str">
        <f>VLOOKUP(bron[[#This Row],[personeelsnr]],'data hastus'!A:K,11,FALSE)</f>
        <v>Bart Van Der Beken</v>
      </c>
      <c r="F376" s="10"/>
      <c r="G376" s="7"/>
      <c r="H376" s="7"/>
      <c r="I376" s="7"/>
      <c r="P376" s="5">
        <v>1</v>
      </c>
      <c r="S376" s="5">
        <f>SUM(bron[[#This Row],[Januari]:[December]])</f>
        <v>1</v>
      </c>
      <c r="T376" s="9">
        <v>45584</v>
      </c>
      <c r="U376" s="8" t="s">
        <v>681</v>
      </c>
      <c r="V376" s="8">
        <v>1</v>
      </c>
      <c r="W376" s="8"/>
      <c r="X376" t="s">
        <v>57</v>
      </c>
      <c r="Y376" t="s">
        <v>39</v>
      </c>
    </row>
    <row r="377" spans="1:25" x14ac:dyDescent="0.25">
      <c r="A377">
        <v>39779</v>
      </c>
      <c r="B377" t="e">
        <f>_xlfn.CONCAT([2]!bron[[#This Row],[personeelsnr]]," ",C377," ",D377)</f>
        <v>#REF!</v>
      </c>
      <c r="C377" t="str">
        <f>VLOOKUP(bron[[#This Row],[personeelsnr]],'data hastus'!$A:$C,2,0)</f>
        <v>Avci</v>
      </c>
      <c r="D377" t="str">
        <f>VLOOKUP(bron[[#This Row],[personeelsnr]],'data hastus'!$A:$C,3,0)</f>
        <v>Muhammet Abdullah</v>
      </c>
      <c r="E377" t="str">
        <f>VLOOKUP(bron[[#This Row],[personeelsnr]],'data hastus'!A:K,11,FALSE)</f>
        <v>Bart Van Der Beken</v>
      </c>
      <c r="F377" s="10"/>
      <c r="G377" s="7"/>
      <c r="H377" s="7"/>
      <c r="I377" s="7"/>
      <c r="P377" s="5">
        <v>1</v>
      </c>
      <c r="S377" s="5">
        <f>SUM(bron[[#This Row],[Januari]:[December]])</f>
        <v>1</v>
      </c>
      <c r="T377" s="9">
        <v>45584</v>
      </c>
      <c r="U377" s="8" t="s">
        <v>682</v>
      </c>
      <c r="V377" s="8">
        <v>1</v>
      </c>
      <c r="W377" s="8"/>
      <c r="X377" t="s">
        <v>57</v>
      </c>
      <c r="Y377" t="s">
        <v>24</v>
      </c>
    </row>
    <row r="378" spans="1:25" x14ac:dyDescent="0.25">
      <c r="A378">
        <v>23918</v>
      </c>
      <c r="B378" t="e">
        <f>_xlfn.CONCAT([2]!bron[[#This Row],[personeelsnr]]," ",C378," ",D378)</f>
        <v>#REF!</v>
      </c>
      <c r="C378" t="str">
        <f>VLOOKUP(bron[[#This Row],[personeelsnr]],'data hastus'!$A:$C,2,0)</f>
        <v>D'Haeyere</v>
      </c>
      <c r="D378" t="str">
        <f>VLOOKUP(bron[[#This Row],[personeelsnr]],'data hastus'!$A:$C,3,0)</f>
        <v>Bernard</v>
      </c>
      <c r="E378" t="str">
        <f>VLOOKUP(bron[[#This Row],[personeelsnr]],'data hastus'!A:K,11,FALSE)</f>
        <v>Els Vanhoe</v>
      </c>
      <c r="F378" s="10"/>
      <c r="G378" s="7"/>
      <c r="H378" s="7"/>
      <c r="I378" s="7"/>
      <c r="P378" s="5">
        <v>1</v>
      </c>
      <c r="S378" s="5">
        <f>SUM(bron[[#This Row],[Januari]:[December]])</f>
        <v>1</v>
      </c>
      <c r="T378" s="9">
        <v>45583</v>
      </c>
      <c r="U378" s="8" t="s">
        <v>680</v>
      </c>
      <c r="V378" s="8">
        <v>1</v>
      </c>
      <c r="W378" s="8"/>
      <c r="X378" t="s">
        <v>57</v>
      </c>
      <c r="Y378" t="s">
        <v>39</v>
      </c>
    </row>
    <row r="379" spans="1:25" x14ac:dyDescent="0.25">
      <c r="A379">
        <v>9999</v>
      </c>
      <c r="B379" t="str">
        <f>_xlfn.CONCAT([2]!bron[[#This Row],[personeelsnr]]," ",C379," ",D379)</f>
        <v>9999 - -</v>
      </c>
      <c r="C379" t="s">
        <v>2919</v>
      </c>
      <c r="D379" t="s">
        <v>2919</v>
      </c>
      <c r="E379" t="s">
        <v>810</v>
      </c>
      <c r="F379" s="10"/>
      <c r="G379" s="7"/>
      <c r="H379" s="7"/>
      <c r="I379" s="7"/>
      <c r="P379" s="5">
        <v>1</v>
      </c>
      <c r="S379" s="5">
        <f>SUM(bron[[#This Row],[Januari]:[December]])</f>
        <v>1</v>
      </c>
      <c r="T379" s="9">
        <v>45582</v>
      </c>
      <c r="U379" s="8" t="s">
        <v>679</v>
      </c>
      <c r="V379" s="8">
        <v>1</v>
      </c>
      <c r="W379" s="8"/>
      <c r="X379" t="s">
        <v>57</v>
      </c>
      <c r="Y379" t="s">
        <v>22</v>
      </c>
    </row>
    <row r="380" spans="1:25" x14ac:dyDescent="0.25">
      <c r="A380">
        <v>36569</v>
      </c>
      <c r="B380" t="e">
        <f>_xlfn.CONCAT([2]!bron[[#This Row],[personeelsnr]]," ",C380," ",D380)</f>
        <v>#REF!</v>
      </c>
      <c r="C380" t="str">
        <f>VLOOKUP(bron[[#This Row],[personeelsnr]],'data hastus'!$A:$C,2,0)</f>
        <v>Stroobandt</v>
      </c>
      <c r="D380" t="str">
        <f>VLOOKUP(bron[[#This Row],[personeelsnr]],'data hastus'!$A:$C,3,0)</f>
        <v>Jonas</v>
      </c>
      <c r="E380" t="str">
        <f>VLOOKUP(bron[[#This Row],[personeelsnr]],'data hastus'!A:K,11,FALSE)</f>
        <v>Els Vanhoe</v>
      </c>
      <c r="F380" s="10"/>
      <c r="G380" s="7"/>
      <c r="H380" s="7"/>
      <c r="I380" s="7"/>
      <c r="P380" s="5">
        <v>1</v>
      </c>
      <c r="S380" s="5">
        <f>SUM(bron[[#This Row],[Januari]:[December]])</f>
        <v>1</v>
      </c>
      <c r="T380" s="9">
        <v>45580</v>
      </c>
      <c r="U380" s="8" t="s">
        <v>678</v>
      </c>
      <c r="V380" s="8">
        <v>1</v>
      </c>
      <c r="W380" s="8"/>
      <c r="X380" t="s">
        <v>57</v>
      </c>
      <c r="Y380" t="s">
        <v>18</v>
      </c>
    </row>
    <row r="381" spans="1:25" x14ac:dyDescent="0.25">
      <c r="A381">
        <v>5718</v>
      </c>
      <c r="B381" t="e">
        <f>_xlfn.CONCAT([2]!bron[[#This Row],[personeelsnr]]," ",C381," ",D381)</f>
        <v>#REF!</v>
      </c>
      <c r="C381" t="str">
        <f>VLOOKUP(bron[[#This Row],[personeelsnr]],'data hastus'!$A:$C,2,0)</f>
        <v>Dejonckheere</v>
      </c>
      <c r="D381" t="str">
        <f>VLOOKUP(bron[[#This Row],[personeelsnr]],'data hastus'!$A:$C,3,0)</f>
        <v>Inge</v>
      </c>
      <c r="E381" t="str">
        <f>VLOOKUP(bron[[#This Row],[personeelsnr]],'data hastus'!A:K,11,FALSE)</f>
        <v>Kenneth De Rick</v>
      </c>
      <c r="F381" s="10"/>
      <c r="G381" s="7"/>
      <c r="H381" s="7"/>
      <c r="I381" s="7"/>
      <c r="P381" s="5">
        <v>1</v>
      </c>
      <c r="S381" s="5">
        <f>SUM(bron[[#This Row],[Januari]:[December]])</f>
        <v>1</v>
      </c>
      <c r="T381" s="9">
        <v>45579</v>
      </c>
      <c r="U381" s="8" t="s">
        <v>673</v>
      </c>
      <c r="V381" s="8">
        <v>1</v>
      </c>
      <c r="W381" s="8"/>
      <c r="X381" t="s">
        <v>57</v>
      </c>
      <c r="Y381" t="s">
        <v>18</v>
      </c>
    </row>
    <row r="382" spans="1:25" x14ac:dyDescent="0.25">
      <c r="A382">
        <v>40608</v>
      </c>
      <c r="B382" t="e">
        <f>_xlfn.CONCAT([2]!bron[[#This Row],[personeelsnr]]," ",C382," ",D382)</f>
        <v>#REF!</v>
      </c>
      <c r="C382" t="str">
        <f>VLOOKUP(bron[[#This Row],[personeelsnr]],'data hastus'!$A:$C,2,0)</f>
        <v>Kurti</v>
      </c>
      <c r="D382" t="str">
        <f>VLOOKUP(bron[[#This Row],[personeelsnr]],'data hastus'!$A:$C,3,0)</f>
        <v>Domeniko</v>
      </c>
      <c r="E382" t="str">
        <f>VLOOKUP(bron[[#This Row],[personeelsnr]],'data hastus'!A:K,11,FALSE)</f>
        <v>Lucie Vande Velde</v>
      </c>
      <c r="F382" s="10"/>
      <c r="G382" s="7"/>
      <c r="H382" s="7"/>
      <c r="I382" s="7"/>
      <c r="P382" s="5">
        <v>1</v>
      </c>
      <c r="S382" s="5">
        <f>SUM(bron[[#This Row],[Januari]:[December]])</f>
        <v>1</v>
      </c>
      <c r="T382" s="9">
        <v>45579</v>
      </c>
      <c r="U382" s="8" t="s">
        <v>674</v>
      </c>
      <c r="V382" s="8">
        <v>1</v>
      </c>
      <c r="W382" s="8"/>
      <c r="X382" t="s">
        <v>57</v>
      </c>
      <c r="Y382" t="s">
        <v>37</v>
      </c>
    </row>
    <row r="383" spans="1:25" x14ac:dyDescent="0.25">
      <c r="A383">
        <v>6310</v>
      </c>
      <c r="B383" t="e">
        <f>_xlfn.CONCAT([2]!bron[[#This Row],[personeelsnr]]," ",C383," ",D383)</f>
        <v>#REF!</v>
      </c>
      <c r="C383" t="str">
        <f>VLOOKUP(bron[[#This Row],[personeelsnr]],'data hastus'!$A:$C,2,0)</f>
        <v>De Craene</v>
      </c>
      <c r="D383" t="str">
        <f>VLOOKUP(bron[[#This Row],[personeelsnr]],'data hastus'!$A:$C,3,0)</f>
        <v>Peter</v>
      </c>
      <c r="E383" t="str">
        <f>VLOOKUP(bron[[#This Row],[personeelsnr]],'data hastus'!A:K,11,FALSE)</f>
        <v>Els Dewulf</v>
      </c>
      <c r="F383" s="10"/>
      <c r="G383" s="7"/>
      <c r="H383" s="7"/>
      <c r="I383" s="7"/>
      <c r="P383" s="5">
        <v>1</v>
      </c>
      <c r="S383" s="5">
        <f>SUM(bron[[#This Row],[Januari]:[December]])</f>
        <v>1</v>
      </c>
      <c r="T383" s="9">
        <v>45579</v>
      </c>
      <c r="U383" s="8" t="s">
        <v>675</v>
      </c>
      <c r="V383" s="8"/>
      <c r="W383" s="8">
        <v>1</v>
      </c>
      <c r="X383" t="s">
        <v>58</v>
      </c>
      <c r="Y383" t="s">
        <v>33</v>
      </c>
    </row>
    <row r="384" spans="1:25" x14ac:dyDescent="0.25">
      <c r="A384">
        <v>33965</v>
      </c>
      <c r="B384" t="e">
        <f>_xlfn.CONCAT([2]!bron[[#This Row],[personeelsnr]]," ",C384," ",D384)</f>
        <v>#REF!</v>
      </c>
      <c r="C384" t="str">
        <f>VLOOKUP(bron[[#This Row],[personeelsnr]],'data hastus'!$A:$C,2,0)</f>
        <v>Van de Gehuchte</v>
      </c>
      <c r="D384" t="str">
        <f>VLOOKUP(bron[[#This Row],[personeelsnr]],'data hastus'!$A:$C,3,0)</f>
        <v>Gilles</v>
      </c>
      <c r="E384" t="str">
        <f>VLOOKUP(bron[[#This Row],[personeelsnr]],'data hastus'!A:K,11,FALSE)</f>
        <v>Kenneth De Rick</v>
      </c>
      <c r="F384" s="10"/>
      <c r="G384" s="7"/>
      <c r="H384" s="7"/>
      <c r="I384" s="7"/>
      <c r="P384" s="5">
        <v>1</v>
      </c>
      <c r="S384" s="5">
        <f>SUM(bron[[#This Row],[Januari]:[December]])</f>
        <v>1</v>
      </c>
      <c r="T384" s="9">
        <v>45579</v>
      </c>
      <c r="U384" s="8" t="s">
        <v>676</v>
      </c>
      <c r="V384" s="8"/>
      <c r="W384" s="8">
        <v>1</v>
      </c>
      <c r="X384" t="s">
        <v>58</v>
      </c>
      <c r="Y384" t="s">
        <v>19</v>
      </c>
    </row>
    <row r="385" spans="1:25" x14ac:dyDescent="0.25">
      <c r="A385">
        <v>39779</v>
      </c>
      <c r="B385" t="e">
        <f>_xlfn.CONCAT([2]!bron[[#This Row],[personeelsnr]]," ",C385," ",D385)</f>
        <v>#REF!</v>
      </c>
      <c r="C385" t="str">
        <f>VLOOKUP(bron[[#This Row],[personeelsnr]],'data hastus'!$A:$C,2,0)</f>
        <v>Avci</v>
      </c>
      <c r="D385" t="str">
        <f>VLOOKUP(bron[[#This Row],[personeelsnr]],'data hastus'!$A:$C,3,0)</f>
        <v>Muhammet Abdullah</v>
      </c>
      <c r="E385" t="str">
        <f>VLOOKUP(bron[[#This Row],[personeelsnr]],'data hastus'!A:K,11,FALSE)</f>
        <v>Bart Van Der Beken</v>
      </c>
      <c r="F385" s="10"/>
      <c r="G385" s="7"/>
      <c r="H385" s="7"/>
      <c r="I385" s="7"/>
      <c r="P385" s="5">
        <v>1</v>
      </c>
      <c r="S385" s="5">
        <f>SUM(bron[[#This Row],[Januari]:[December]])</f>
        <v>1</v>
      </c>
      <c r="T385" s="9">
        <v>45579</v>
      </c>
      <c r="U385" s="8" t="s">
        <v>677</v>
      </c>
      <c r="V385" s="8">
        <v>1</v>
      </c>
      <c r="W385" s="8"/>
      <c r="X385" t="s">
        <v>57</v>
      </c>
      <c r="Y385" t="s">
        <v>28</v>
      </c>
    </row>
    <row r="386" spans="1:25" x14ac:dyDescent="0.25">
      <c r="A386">
        <v>39532</v>
      </c>
      <c r="B386" t="e">
        <f>_xlfn.CONCAT([2]!bron[[#This Row],[personeelsnr]]," ",C386," ",D386)</f>
        <v>#REF!</v>
      </c>
      <c r="C386" t="str">
        <f>VLOOKUP(bron[[#This Row],[personeelsnr]],'data hastus'!$A:$C,2,0)</f>
        <v>Sahin</v>
      </c>
      <c r="D386" t="str">
        <f>VLOOKUP(bron[[#This Row],[personeelsnr]],'data hastus'!$A:$C,3,0)</f>
        <v>Orhan</v>
      </c>
      <c r="E386" t="str">
        <f>VLOOKUP(bron[[#This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SUM(bron[[#This Row],[Januari]:[December]])</f>
        <v>1</v>
      </c>
      <c r="T386" s="9">
        <v>45578</v>
      </c>
      <c r="U386" s="8" t="s">
        <v>672</v>
      </c>
      <c r="V386" s="8">
        <v>1</v>
      </c>
      <c r="W386" s="8"/>
      <c r="X386" t="s">
        <v>57</v>
      </c>
      <c r="Y386" t="s">
        <v>21</v>
      </c>
    </row>
    <row r="387" spans="1:25" x14ac:dyDescent="0.25">
      <c r="A387">
        <v>38551</v>
      </c>
      <c r="B387" t="e">
        <f>_xlfn.CONCAT([2]!bron[[#This Row],[personeelsnr]]," ",C387," ",D387)</f>
        <v>#REF!</v>
      </c>
      <c r="C387" t="str">
        <f>VLOOKUP(bron[[#This Row],[personeelsnr]],'data hastus'!$A:$C,2,0)</f>
        <v>Alassad</v>
      </c>
      <c r="D387" t="str">
        <f>VLOOKUP(bron[[#This Row],[personeelsnr]],'data hastus'!$A:$C,3,0)</f>
        <v>Ahmad</v>
      </c>
      <c r="E387" t="str">
        <f>VLOOKUP(bron[[#This Row],[personeelsnr]],'data hastus'!A:K,11,FALSE)</f>
        <v>Bart Van Der Beken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45577</v>
      </c>
      <c r="U387" s="8" t="s">
        <v>671</v>
      </c>
      <c r="V387" s="8">
        <v>1</v>
      </c>
      <c r="W387" s="8"/>
      <c r="X387" t="s">
        <v>57</v>
      </c>
      <c r="Y387" t="s">
        <v>59</v>
      </c>
    </row>
    <row r="388" spans="1:25" x14ac:dyDescent="0.25">
      <c r="A388">
        <v>9999</v>
      </c>
      <c r="B388" t="str">
        <f>_xlfn.CONCAT([2]!bron[[#This Row],[personeelsnr]]," ",C388," ",D388)</f>
        <v>9999 - -</v>
      </c>
      <c r="C388" t="s">
        <v>2919</v>
      </c>
      <c r="D388" t="s">
        <v>2919</v>
      </c>
      <c r="E388" t="s">
        <v>810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45576</v>
      </c>
      <c r="U388" s="8" t="s">
        <v>670</v>
      </c>
      <c r="V388" s="8">
        <v>1</v>
      </c>
      <c r="W388" s="8"/>
      <c r="X388" t="s">
        <v>57</v>
      </c>
      <c r="Y388" t="s">
        <v>29</v>
      </c>
    </row>
    <row r="389" spans="1:25" x14ac:dyDescent="0.25">
      <c r="A389">
        <v>27153</v>
      </c>
      <c r="B389" t="e">
        <f>_xlfn.CONCAT([2]!bron[[#This Row],[personeelsnr]]," ",C389," ",D389)</f>
        <v>#REF!</v>
      </c>
      <c r="C389" t="str">
        <f>VLOOKUP(bron[[#This Row],[personeelsnr]],'data hastus'!$A:$C,2,0)</f>
        <v>Oben</v>
      </c>
      <c r="D389" t="str">
        <f>VLOOKUP(bron[[#This Row],[personeelsnr]],'data hastus'!$A:$C,3,0)</f>
        <v>Thibaud</v>
      </c>
      <c r="E389" t="str">
        <f>VLOOKUP(bron[[#This Row],[personeelsnr]],'data hastus'!A:K,11,FALSE)</f>
        <v>Christoff Rotty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45575</v>
      </c>
      <c r="U389" s="8" t="s">
        <v>669</v>
      </c>
      <c r="V389" s="8"/>
      <c r="W389" s="8">
        <v>1</v>
      </c>
      <c r="X389" t="s">
        <v>58</v>
      </c>
      <c r="Y389" t="s">
        <v>52</v>
      </c>
    </row>
    <row r="390" spans="1:25" x14ac:dyDescent="0.25">
      <c r="A390">
        <v>39673</v>
      </c>
      <c r="B390" t="e">
        <f>_xlfn.CONCAT([2]!bron[[#This Row],[personeelsnr]]," ",C390," ",D390)</f>
        <v>#REF!</v>
      </c>
      <c r="C390" t="str">
        <f>VLOOKUP(bron[[#This Row],[personeelsnr]],'data hastus'!$A:$C,2,0)</f>
        <v>Steurbaut</v>
      </c>
      <c r="D390" t="str">
        <f>VLOOKUP(bron[[#This Row],[personeelsnr]],'data hastus'!$A:$C,3,0)</f>
        <v>Henri</v>
      </c>
      <c r="E390" t="str">
        <f>VLOOKUP(bron[[#This Row],[personeelsnr]],'data hastus'!A:K,11,FALSE)</f>
        <v>Els Vanhoe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45574</v>
      </c>
      <c r="U390" s="8" t="s">
        <v>666</v>
      </c>
      <c r="V390" s="8">
        <v>1</v>
      </c>
      <c r="W390" s="8"/>
      <c r="X390" t="s">
        <v>57</v>
      </c>
      <c r="Y390" t="s">
        <v>145</v>
      </c>
    </row>
    <row r="391" spans="1:25" x14ac:dyDescent="0.25">
      <c r="A391">
        <v>26266</v>
      </c>
      <c r="B391" t="e">
        <f>_xlfn.CONCAT([2]!bron[[#This Row],[personeelsnr]]," ",C391," ",D391)</f>
        <v>#REF!</v>
      </c>
      <c r="C391" t="str">
        <f>VLOOKUP(bron[[#This Row],[personeelsnr]],'data hastus'!$A:$C,2,0)</f>
        <v>Gök</v>
      </c>
      <c r="D391" t="str">
        <f>VLOOKUP(bron[[#This Row],[personeelsnr]],'data hastus'!$A:$C,3,0)</f>
        <v>Murat</v>
      </c>
      <c r="E391" t="str">
        <f>VLOOKUP(bron[[#This Row],[personeelsnr]],'data hastus'!A:K,11,FALSE)</f>
        <v>Els Vanhoe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45574</v>
      </c>
      <c r="U391" s="8" t="s">
        <v>667</v>
      </c>
      <c r="V391" s="8"/>
      <c r="W391" s="8">
        <v>1</v>
      </c>
      <c r="X391" t="s">
        <v>58</v>
      </c>
      <c r="Y391" t="s">
        <v>33</v>
      </c>
    </row>
    <row r="392" spans="1:25" x14ac:dyDescent="0.25">
      <c r="A392">
        <v>36626</v>
      </c>
      <c r="B392" t="e">
        <f>_xlfn.CONCAT([2]!bron[[#This Row],[personeelsnr]]," ",C392," ",D392)</f>
        <v>#REF!</v>
      </c>
      <c r="C392" t="str">
        <f>VLOOKUP(bron[[#This Row],[personeelsnr]],'data hastus'!$A:$C,2,0)</f>
        <v>Kartal</v>
      </c>
      <c r="D392" t="str">
        <f>VLOOKUP(bron[[#This Row],[personeelsnr]],'data hastus'!$A:$C,3,0)</f>
        <v>Kadir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45574</v>
      </c>
      <c r="U392" s="8" t="s">
        <v>668</v>
      </c>
      <c r="V392" s="8">
        <v>1</v>
      </c>
      <c r="W392" s="8"/>
      <c r="X392" t="s">
        <v>57</v>
      </c>
      <c r="Y392" t="s">
        <v>27</v>
      </c>
    </row>
    <row r="393" spans="1:25" x14ac:dyDescent="0.25">
      <c r="A393">
        <v>38529</v>
      </c>
      <c r="B393" t="e">
        <f>_xlfn.CONCAT([2]!bron[[#This Row],[personeelsnr]]," ",C393," ",D393)</f>
        <v>#REF!</v>
      </c>
      <c r="C393" t="str">
        <f>VLOOKUP(bron[[#This Row],[personeelsnr]],'data hastus'!$A:$C,2,0)</f>
        <v>Huyghe</v>
      </c>
      <c r="D393" t="str">
        <f>VLOOKUP(bron[[#This Row],[personeelsnr]],'data hastus'!$A:$C,3,0)</f>
        <v>Jan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664</v>
      </c>
      <c r="V393" s="8">
        <v>1</v>
      </c>
      <c r="W393" s="8"/>
      <c r="X393" t="s">
        <v>57</v>
      </c>
      <c r="Y393" t="s">
        <v>74</v>
      </c>
    </row>
    <row r="394" spans="1:25" x14ac:dyDescent="0.25">
      <c r="A394">
        <v>39013</v>
      </c>
      <c r="B394" t="e">
        <f>_xlfn.CONCAT([2]!bron[[#This Row],[personeelsnr]]," ",C394," ",D394)</f>
        <v>#REF!</v>
      </c>
      <c r="C394" t="str">
        <f>VLOOKUP(bron[[#This Row],[personeelsnr]],'data hastus'!$A:$C,2,0)</f>
        <v>Asrih</v>
      </c>
      <c r="D394" t="str">
        <f>VLOOKUP(bron[[#This Row],[personeelsnr]],'data hastus'!$A:$C,3,0)</f>
        <v>Habib</v>
      </c>
      <c r="E394" t="str">
        <f>VLOOKUP(bron[[#This Row],[personeelsnr]],'data hastus'!A:K,11,FALSE)</f>
        <v>Els Dewulf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45573</v>
      </c>
      <c r="U394" s="8" t="s">
        <v>665</v>
      </c>
      <c r="V394" s="8">
        <v>1</v>
      </c>
      <c r="W394" s="8"/>
      <c r="X394" t="s">
        <v>57</v>
      </c>
      <c r="Y394" t="s">
        <v>117</v>
      </c>
    </row>
    <row r="395" spans="1:25" x14ac:dyDescent="0.25">
      <c r="A395">
        <v>37683</v>
      </c>
      <c r="B395" t="e">
        <f>_xlfn.CONCAT([2]!bron[[#This Row],[personeelsnr]]," ",C395," ",D395)</f>
        <v>#REF!</v>
      </c>
      <c r="C395" t="str">
        <f>VLOOKUP(bron[[#This Row],[personeelsnr]],'data hastus'!$A:$C,2,0)</f>
        <v>De Boever</v>
      </c>
      <c r="D395" t="str">
        <f>VLOOKUP(bron[[#This Row],[personeelsnr]],'data hastus'!$A:$C,3,0)</f>
        <v>Charlotte</v>
      </c>
      <c r="E395" t="str">
        <f>VLOOKUP(bron[[#This Row],[personeelsnr]],'data hastus'!A:K,11,FALSE)</f>
        <v>Steven Storm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45572</v>
      </c>
      <c r="U395" s="8" t="s">
        <v>663</v>
      </c>
      <c r="V395" s="8">
        <v>1</v>
      </c>
      <c r="W395" s="8"/>
      <c r="X395" t="s">
        <v>57</v>
      </c>
      <c r="Y395" t="s">
        <v>18</v>
      </c>
    </row>
    <row r="396" spans="1:25" x14ac:dyDescent="0.25">
      <c r="A396">
        <v>26137</v>
      </c>
      <c r="B396" t="e">
        <f>_xlfn.CONCAT([2]!bron[[#This Row],[personeelsnr]]," ",C396," ",D396)</f>
        <v>#REF!</v>
      </c>
      <c r="C396" t="str">
        <f>VLOOKUP(bron[[#This Row],[personeelsnr]],'data hastus'!$A:$C,2,0)</f>
        <v>Hublau</v>
      </c>
      <c r="D396" t="str">
        <f>VLOOKUP(bron[[#This Row],[personeelsnr]],'data hastus'!$A:$C,3,0)</f>
        <v>Roland</v>
      </c>
      <c r="E396" t="str">
        <f>VLOOKUP(bron[[#This Row],[personeelsnr]],'data hastus'!A:K,11,FALSE)</f>
        <v>Steven Storm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45570</v>
      </c>
      <c r="U396" s="8" t="s">
        <v>662</v>
      </c>
      <c r="V396" s="8"/>
      <c r="W396" s="8">
        <v>1</v>
      </c>
      <c r="X396" t="s">
        <v>58</v>
      </c>
      <c r="Y396" t="s">
        <v>144</v>
      </c>
    </row>
    <row r="397" spans="1:25" x14ac:dyDescent="0.25">
      <c r="A397">
        <v>34286</v>
      </c>
      <c r="B397" t="e">
        <f>_xlfn.CONCAT([2]!bron[[#This Row],[personeelsnr]]," ",C397," ",D397)</f>
        <v>#REF!</v>
      </c>
      <c r="C397" t="str">
        <f>VLOOKUP(bron[[#This Row],[personeelsnr]],'data hastus'!$A:$C,2,0)</f>
        <v>Ghani</v>
      </c>
      <c r="D397" t="str">
        <f>VLOOKUP(bron[[#This Row],[personeelsnr]],'data hastus'!$A:$C,3,0)</f>
        <v>Mozamil</v>
      </c>
      <c r="E397" t="str">
        <f>VLOOKUP(bron[[#This Row],[personeelsnr]],'data hastus'!A:K,11,FALSE)</f>
        <v>Steven Storm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45569</v>
      </c>
      <c r="U397" s="8" t="s">
        <v>661</v>
      </c>
      <c r="V397" s="8"/>
      <c r="W397" s="8">
        <v>1</v>
      </c>
      <c r="X397" t="s">
        <v>58</v>
      </c>
      <c r="Y397" t="s">
        <v>101</v>
      </c>
    </row>
    <row r="398" spans="1:25" x14ac:dyDescent="0.25">
      <c r="A398">
        <v>34325</v>
      </c>
      <c r="B398" t="e">
        <f>_xlfn.CONCAT([2]!bron[[#This Row],[personeelsnr]]," ",C398," ",D398)</f>
        <v>#REF!</v>
      </c>
      <c r="C398" t="str">
        <f>VLOOKUP(bron[[#This Row],[personeelsnr]],'data hastus'!$A:$C,2,0)</f>
        <v>Eid</v>
      </c>
      <c r="D398" t="str">
        <f>VLOOKUP(bron[[#This Row],[personeelsnr]],'data hastus'!$A:$C,3,0)</f>
        <v>Mathyn</v>
      </c>
      <c r="E398" t="str">
        <f>VLOOKUP(bron[[#This Row],[personeelsnr]],'data hastus'!A:K,11,FALSE)</f>
        <v>Steven Storm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45568</v>
      </c>
      <c r="U398" s="8" t="s">
        <v>660</v>
      </c>
      <c r="V398" s="8">
        <v>1</v>
      </c>
      <c r="W398" s="8"/>
      <c r="X398" t="s">
        <v>57</v>
      </c>
      <c r="Y398" t="s">
        <v>34</v>
      </c>
    </row>
    <row r="399" spans="1:25" x14ac:dyDescent="0.25">
      <c r="A399">
        <v>20404</v>
      </c>
      <c r="B399" t="e">
        <f>_xlfn.CONCAT([2]!bron[[#This Row],[personeelsnr]]," ",C399," ",D399)</f>
        <v>#REF!</v>
      </c>
      <c r="C399" t="str">
        <f>VLOOKUP(bron[[#This Row],[personeelsnr]],'data hastus'!$A:$C,2,0)</f>
        <v>Vranken</v>
      </c>
      <c r="D399" t="str">
        <f>VLOOKUP(bron[[#This Row],[personeelsnr]],'data hastus'!$A:$C,3,0)</f>
        <v>Kenneth</v>
      </c>
      <c r="E399" t="str">
        <f>VLOOKUP(bron[[#This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45567</v>
      </c>
      <c r="U399" s="8" t="s">
        <v>659</v>
      </c>
      <c r="V399" s="8">
        <v>1</v>
      </c>
      <c r="W399" s="8"/>
      <c r="X399" t="s">
        <v>57</v>
      </c>
      <c r="Y399" t="s">
        <v>131</v>
      </c>
    </row>
    <row r="400" spans="1:25" x14ac:dyDescent="0.25">
      <c r="A400">
        <v>8391</v>
      </c>
      <c r="B400" t="e">
        <f>_xlfn.CONCAT([2]!bron[[#This Row],[personeelsnr]]," ",C400," ",D400)</f>
        <v>#REF!</v>
      </c>
      <c r="C400" t="str">
        <f>VLOOKUP(bron[[#This Row],[personeelsnr]],'data hastus'!$A:$C,2,0)</f>
        <v>Lucq</v>
      </c>
      <c r="D400" t="str">
        <f>VLOOKUP(bron[[#This Row],[personeelsnr]],'data hastus'!$A:$C,3,0)</f>
        <v>Joeri</v>
      </c>
      <c r="E400" t="str">
        <f>VLOOKUP(bron[[#This Row],[personeelsnr]],'data hastus'!A:K,11,FALSE)</f>
        <v>Els Vanhoe</v>
      </c>
      <c r="F400" s="10"/>
      <c r="G400" s="7"/>
      <c r="H400" s="7"/>
      <c r="I400" s="7"/>
      <c r="O400" s="5">
        <v>1</v>
      </c>
      <c r="S400" s="5">
        <f>SUM(bron[[#This Row],[Januari]:[December]])</f>
        <v>1</v>
      </c>
      <c r="T400" s="9">
        <v>45563</v>
      </c>
      <c r="U400" s="8" t="s">
        <v>657</v>
      </c>
      <c r="V400" s="8">
        <v>1</v>
      </c>
      <c r="W400" s="8"/>
      <c r="X400" t="s">
        <v>57</v>
      </c>
      <c r="Y400" t="s">
        <v>20</v>
      </c>
    </row>
    <row r="401" spans="1:25" x14ac:dyDescent="0.25">
      <c r="A401">
        <v>40761</v>
      </c>
      <c r="B401" t="e">
        <f>_xlfn.CONCAT([2]!bron[[#This Row],[personeelsnr]]," ",C401," ",D401)</f>
        <v>#REF!</v>
      </c>
      <c r="C401" t="str">
        <f>VLOOKUP(bron[[#This Row],[personeelsnr]],'data hastus'!$A:$C,2,0)</f>
        <v>De Vijlder</v>
      </c>
      <c r="D401" t="str">
        <f>VLOOKUP(bron[[#This Row],[personeelsnr]],'data hastus'!$A:$C,3,0)</f>
        <v>Wim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O401" s="5">
        <v>1</v>
      </c>
      <c r="S401" s="5">
        <f>SUM(bron[[#This Row],[Januari]:[December]])</f>
        <v>1</v>
      </c>
      <c r="T401" s="9">
        <v>45563</v>
      </c>
      <c r="U401" s="8" t="s">
        <v>658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40006</v>
      </c>
      <c r="B402" t="e">
        <f>_xlfn.CONCAT([2]!bron[[#This Row],[personeelsnr]]," ",C402," ",D402)</f>
        <v>#REF!</v>
      </c>
      <c r="C402" t="str">
        <f>VLOOKUP(bron[[#This Row],[personeelsnr]],'data hastus'!$A:$C,2,0)</f>
        <v>De Ridder</v>
      </c>
      <c r="D402" t="str">
        <f>VLOOKUP(bron[[#This Row],[personeelsnr]],'data hastus'!$A:$C,3,0)</f>
        <v>Benjamin</v>
      </c>
      <c r="E402" t="str">
        <f>VLOOKUP(bron[[#This Row],[personeelsnr]],'data hastus'!A:K,11,FALSE)</f>
        <v>Christoff Rotty</v>
      </c>
      <c r="F402" s="10"/>
      <c r="G402" s="7"/>
      <c r="H402" s="7"/>
      <c r="I402" s="7"/>
      <c r="O402" s="5">
        <v>1</v>
      </c>
      <c r="S402" s="5">
        <f>SUM(bron[[#This Row],[Januari]:[December]])</f>
        <v>1</v>
      </c>
      <c r="T402" s="9">
        <v>45562</v>
      </c>
      <c r="U402" s="8" t="s">
        <v>655</v>
      </c>
      <c r="V402" s="8">
        <v>1</v>
      </c>
      <c r="W402" s="8"/>
      <c r="X402" t="s">
        <v>57</v>
      </c>
      <c r="Y402" t="s">
        <v>115</v>
      </c>
    </row>
    <row r="403" spans="1:25" x14ac:dyDescent="0.25">
      <c r="A403">
        <v>35055</v>
      </c>
      <c r="B403" t="e">
        <f>_xlfn.CONCAT([2]!bron[[#This Row],[personeelsnr]]," ",C403," ",D403)</f>
        <v>#REF!</v>
      </c>
      <c r="C403" t="str">
        <f>VLOOKUP(bron[[#This Row],[personeelsnr]],'data hastus'!$A:$C,2,0)</f>
        <v>Kocabas</v>
      </c>
      <c r="D403" t="str">
        <f>VLOOKUP(bron[[#This Row],[personeelsnr]],'data hastus'!$A:$C,3,0)</f>
        <v>Abdülkadir</v>
      </c>
      <c r="E403" t="str">
        <f>VLOOKUP(bron[[#This Row],[personeelsnr]],'data hastus'!A:K,11,FALSE)</f>
        <v>Els Vanhoe</v>
      </c>
      <c r="F403" s="10"/>
      <c r="G403" s="7"/>
      <c r="H403" s="7"/>
      <c r="I403" s="7"/>
      <c r="O403" s="5">
        <v>1</v>
      </c>
      <c r="S403" s="5">
        <f>SUM(bron[[#This Row],[Januari]:[December]])</f>
        <v>1</v>
      </c>
      <c r="T403" s="9">
        <v>45562</v>
      </c>
      <c r="U403" s="8" t="s">
        <v>656</v>
      </c>
      <c r="V403" s="8"/>
      <c r="W403" s="8">
        <v>1</v>
      </c>
      <c r="X403" t="s">
        <v>58</v>
      </c>
      <c r="Y403" t="s">
        <v>83</v>
      </c>
    </row>
    <row r="404" spans="1:25" x14ac:dyDescent="0.25">
      <c r="A404">
        <v>9999</v>
      </c>
      <c r="B404" t="str">
        <f>_xlfn.CONCAT([2]!bron[[#This Row],[personeelsnr]]," ",C404," ",D404)</f>
        <v>9999 - -</v>
      </c>
      <c r="C404" t="s">
        <v>2919</v>
      </c>
      <c r="D404" t="s">
        <v>2919</v>
      </c>
      <c r="E404" t="s">
        <v>810</v>
      </c>
      <c r="F404" s="10"/>
      <c r="G404" s="7"/>
      <c r="H404" s="7"/>
      <c r="I404" s="7"/>
      <c r="O404" s="5">
        <v>1</v>
      </c>
      <c r="S404" s="5">
        <f>SUM(bron[[#This Row],[Januari]:[December]])</f>
        <v>1</v>
      </c>
      <c r="T404" s="9">
        <v>45561</v>
      </c>
      <c r="U404" s="8" t="s">
        <v>654</v>
      </c>
      <c r="V404" s="8">
        <v>1</v>
      </c>
      <c r="W404" s="8"/>
      <c r="X404" t="s">
        <v>57</v>
      </c>
      <c r="Y404" t="s">
        <v>18</v>
      </c>
    </row>
    <row r="405" spans="1:25" x14ac:dyDescent="0.25">
      <c r="A405">
        <v>40478</v>
      </c>
      <c r="B405" t="e">
        <f>_xlfn.CONCAT([2]!bron[[#This Row],[personeelsnr]]," ",C405," ",D405)</f>
        <v>#REF!</v>
      </c>
      <c r="C405" t="str">
        <f>VLOOKUP(bron[[#This Row],[personeelsnr]],'data hastus'!$A:$C,2,0)</f>
        <v>Hashimi</v>
      </c>
      <c r="D405" t="str">
        <f>VLOOKUP(bron[[#This Row],[personeelsnr]],'data hastus'!$A:$C,3,0)</f>
        <v>Ali Mir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O405" s="5">
        <v>1</v>
      </c>
      <c r="S405" s="5">
        <f>SUM(bron[[#This Row],[Januari]:[December]])</f>
        <v>1</v>
      </c>
      <c r="T405" s="9">
        <v>45560</v>
      </c>
      <c r="U405" s="8" t="s">
        <v>652</v>
      </c>
      <c r="V405" s="8">
        <v>1</v>
      </c>
      <c r="W405" s="8"/>
      <c r="X405" t="s">
        <v>57</v>
      </c>
      <c r="Y405" t="s">
        <v>81</v>
      </c>
    </row>
    <row r="406" spans="1:25" x14ac:dyDescent="0.25">
      <c r="A406">
        <v>38346</v>
      </c>
      <c r="B406" t="e">
        <f>_xlfn.CONCAT([2]!bron[[#This Row],[personeelsnr]]," ",C406," ",D406)</f>
        <v>#REF!</v>
      </c>
      <c r="C406" t="str">
        <f>VLOOKUP(bron[[#This Row],[personeelsnr]],'data hastus'!$A:$C,2,0)</f>
        <v>Van Cleemputte</v>
      </c>
      <c r="D406" t="str">
        <f>VLOOKUP(bron[[#This Row],[personeelsnr]],'data hastus'!$A:$C,3,0)</f>
        <v>Thibeaux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O406" s="5">
        <v>1</v>
      </c>
      <c r="S406" s="5">
        <f>SUM(bron[[#This Row],[Januari]:[December]])</f>
        <v>1</v>
      </c>
      <c r="T406" s="9">
        <v>45560</v>
      </c>
      <c r="U406" s="8" t="s">
        <v>653</v>
      </c>
      <c r="V406" s="8">
        <v>1</v>
      </c>
      <c r="W406" s="8"/>
      <c r="X406" t="s">
        <v>57</v>
      </c>
      <c r="Y406" t="s">
        <v>213</v>
      </c>
    </row>
    <row r="407" spans="1:25" x14ac:dyDescent="0.25">
      <c r="A407">
        <v>36624</v>
      </c>
      <c r="B407" t="e">
        <f>_xlfn.CONCAT([2]!bron[[#This Row],[personeelsnr]]," ",C407," ",D407)</f>
        <v>#REF!</v>
      </c>
      <c r="C407" t="str">
        <f>VLOOKUP(bron[[#This Row],[personeelsnr]],'data hastus'!$A:$C,2,0)</f>
        <v>De Meulenaere</v>
      </c>
      <c r="D407" t="str">
        <f>VLOOKUP(bron[[#This Row],[personeelsnr]],'data hastus'!$A:$C,3,0)</f>
        <v>Kurt</v>
      </c>
      <c r="E407" t="str">
        <f>VLOOKUP(bron[[#This Row],[personeelsnr]],'data hastus'!A:K,11,FALSE)</f>
        <v>Dominique De Clercq</v>
      </c>
      <c r="F407" s="10"/>
      <c r="G407" s="7"/>
      <c r="H407" s="7"/>
      <c r="I407" s="7"/>
      <c r="O407" s="5">
        <v>1</v>
      </c>
      <c r="S407" s="5">
        <f>SUM(bron[[#This Row],[Januari]:[December]])</f>
        <v>1</v>
      </c>
      <c r="T407" s="9">
        <v>45559</v>
      </c>
      <c r="U407" s="8" t="s">
        <v>650</v>
      </c>
      <c r="V407" s="8">
        <v>1</v>
      </c>
      <c r="W407" s="8"/>
      <c r="X407" t="s">
        <v>57</v>
      </c>
      <c r="Y407" t="s">
        <v>61</v>
      </c>
    </row>
    <row r="408" spans="1:25" x14ac:dyDescent="0.25">
      <c r="A408">
        <v>36428</v>
      </c>
      <c r="B408" t="e">
        <f>_xlfn.CONCAT([2]!bron[[#This Row],[personeelsnr]]," ",C408," ",D408)</f>
        <v>#REF!</v>
      </c>
      <c r="C408" t="str">
        <f>VLOOKUP(bron[[#This Row],[personeelsnr]],'data hastus'!$A:$C,2,0)</f>
        <v>Abdi Shaiye</v>
      </c>
      <c r="D408" t="str">
        <f>VLOOKUP(bron[[#This Row],[personeelsnr]],'data hastus'!$A:$C,3,0)</f>
        <v>Rashid</v>
      </c>
      <c r="E408" t="str">
        <f>VLOOKUP(bron[[#This Row],[personeelsnr]],'data hastus'!A:K,11,FALSE)</f>
        <v>Lucie Vande Velde</v>
      </c>
      <c r="F408" s="10"/>
      <c r="G408" s="7"/>
      <c r="H408" s="7"/>
      <c r="I408" s="7"/>
      <c r="O408" s="5">
        <v>1</v>
      </c>
      <c r="S408" s="5">
        <f>SUM(bron[[#This Row],[Januari]:[December]])</f>
        <v>1</v>
      </c>
      <c r="T408" s="9">
        <v>45559</v>
      </c>
      <c r="U408" s="8" t="s">
        <v>651</v>
      </c>
      <c r="V408" s="8"/>
      <c r="W408" s="8">
        <v>1</v>
      </c>
      <c r="X408" t="s">
        <v>58</v>
      </c>
      <c r="Y408" t="s">
        <v>33</v>
      </c>
    </row>
    <row r="409" spans="1:25" x14ac:dyDescent="0.25">
      <c r="A409">
        <v>39581</v>
      </c>
      <c r="B409" t="e">
        <f>_xlfn.CONCAT([2]!bron[[#This Row],[personeelsnr]]," ",C409," ",D409)</f>
        <v>#REF!</v>
      </c>
      <c r="C409" t="str">
        <f>VLOOKUP(bron[[#This Row],[personeelsnr]],'data hastus'!$A:$C,2,0)</f>
        <v>Vandenhaute</v>
      </c>
      <c r="D409" t="str">
        <f>VLOOKUP(bron[[#This Row],[personeelsnr]],'data hastus'!$A:$C,3,0)</f>
        <v>Linus</v>
      </c>
      <c r="E409" t="str">
        <f>VLOOKUP(bron[[#This Row],[personeelsnr]],'data hastus'!A:K,11,FALSE)</f>
        <v>Els Dewulf</v>
      </c>
      <c r="F409" s="10"/>
      <c r="G409" s="7"/>
      <c r="H409" s="7"/>
      <c r="I409" s="7"/>
      <c r="S409" s="5">
        <f>SUM(bron[[#This Row],[Januari]:[December]])</f>
        <v>0</v>
      </c>
      <c r="T409" s="9">
        <v>45558</v>
      </c>
      <c r="U409" s="8" t="s">
        <v>648</v>
      </c>
      <c r="V409" s="8">
        <v>1</v>
      </c>
      <c r="W409" s="8"/>
      <c r="X409" t="s">
        <v>57</v>
      </c>
      <c r="Y409" t="s">
        <v>18</v>
      </c>
    </row>
    <row r="410" spans="1:25" x14ac:dyDescent="0.25">
      <c r="A410">
        <v>26137</v>
      </c>
      <c r="B410" t="e">
        <f>_xlfn.CONCAT([2]!bron[[#This Row],[personeelsnr]]," ",C410," ",D410)</f>
        <v>#REF!</v>
      </c>
      <c r="C410" t="str">
        <f>VLOOKUP(bron[[#This Row],[personeelsnr]],'data hastus'!$A:$C,2,0)</f>
        <v>Hublau</v>
      </c>
      <c r="D410" t="str">
        <f>VLOOKUP(bron[[#This Row],[personeelsnr]],'data hastus'!$A:$C,3,0)</f>
        <v>Roland</v>
      </c>
      <c r="E410" t="str">
        <f>VLOOKUP(bron[[#This Row],[personeelsnr]],'data hastus'!A:K,11,FALSE)</f>
        <v>Steven Storm</v>
      </c>
      <c r="F410" s="10"/>
      <c r="G410" s="7"/>
      <c r="H410" s="7"/>
      <c r="I410" s="7"/>
      <c r="O410" s="5">
        <v>1</v>
      </c>
      <c r="S410" s="5">
        <f>SUM(bron[[#This Row],[Januari]:[December]])</f>
        <v>1</v>
      </c>
      <c r="T410" s="9">
        <v>45558</v>
      </c>
      <c r="U410" s="8" t="s">
        <v>649</v>
      </c>
      <c r="V410" s="8"/>
      <c r="W410" s="8">
        <v>1</v>
      </c>
      <c r="X410" t="s">
        <v>58</v>
      </c>
      <c r="Y410" t="s">
        <v>18</v>
      </c>
    </row>
    <row r="411" spans="1:25" x14ac:dyDescent="0.25">
      <c r="A411">
        <v>34328</v>
      </c>
      <c r="B411" t="e">
        <f>_xlfn.CONCAT([2]!bron[[#This Row],[personeelsnr]]," ",C411," ",D411)</f>
        <v>#REF!</v>
      </c>
      <c r="C411" t="str">
        <f>VLOOKUP(bron[[#This Row],[personeelsnr]],'data hastus'!$A:$C,2,0)</f>
        <v>Kerremans</v>
      </c>
      <c r="D411" t="str">
        <f>VLOOKUP(bron[[#This Row],[personeelsnr]],'data hastus'!$A:$C,3,0)</f>
        <v>Jürgen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O411" s="5">
        <v>1</v>
      </c>
      <c r="S411" s="5">
        <f>SUM(bron[[#This Row],[Januari]:[December]])</f>
        <v>1</v>
      </c>
      <c r="T411" s="9">
        <v>45557</v>
      </c>
      <c r="U411" s="8" t="s">
        <v>647</v>
      </c>
      <c r="V411" s="8"/>
      <c r="W411" s="8">
        <v>1</v>
      </c>
      <c r="X411" t="s">
        <v>58</v>
      </c>
      <c r="Y411" t="s">
        <v>25</v>
      </c>
    </row>
    <row r="412" spans="1:25" x14ac:dyDescent="0.25">
      <c r="A412">
        <v>40486</v>
      </c>
      <c r="B412" t="e">
        <f>_xlfn.CONCAT([2]!bron[[#This Row],[personeelsnr]]," ",C412," ",D412)</f>
        <v>#REF!</v>
      </c>
      <c r="C412" t="str">
        <f>VLOOKUP(bron[[#This Row],[personeelsnr]],'data hastus'!$A:$C,2,0)</f>
        <v>De Souza</v>
      </c>
      <c r="D412" t="str">
        <f>VLOOKUP(bron[[#This Row],[personeelsnr]],'data hastus'!$A:$C,3,0)</f>
        <v>Marcos Eduardo</v>
      </c>
      <c r="E412" t="str">
        <f>VLOOKUP(bron[[#This Row],[personeelsnr]],'data hastus'!A:K,11,FALSE)</f>
        <v>Christoff Rotty</v>
      </c>
      <c r="F412" s="10"/>
      <c r="G412" s="7"/>
      <c r="H412" s="7"/>
      <c r="I412" s="7"/>
      <c r="O412" s="5">
        <v>1</v>
      </c>
      <c r="S412" s="5">
        <f>SUM(bron[[#This Row],[Januari]:[December]])</f>
        <v>1</v>
      </c>
      <c r="T412" s="9">
        <v>45556</v>
      </c>
      <c r="U412" s="8" t="s">
        <v>646</v>
      </c>
      <c r="V412" s="8">
        <v>1</v>
      </c>
      <c r="W412" s="8"/>
      <c r="X412" t="s">
        <v>57</v>
      </c>
      <c r="Y412" t="s">
        <v>129</v>
      </c>
    </row>
    <row r="413" spans="1:25" x14ac:dyDescent="0.25">
      <c r="A413">
        <v>9999</v>
      </c>
      <c r="B413" t="str">
        <f>_xlfn.CONCAT([2]!bron[[#This Row],[personeelsnr]]," ",C413," ",D413)</f>
        <v>9999 - -</v>
      </c>
      <c r="C413" t="s">
        <v>2919</v>
      </c>
      <c r="D413" t="s">
        <v>2919</v>
      </c>
      <c r="E413" t="s">
        <v>810</v>
      </c>
      <c r="F413" s="10"/>
      <c r="G413" s="7"/>
      <c r="H413" s="7"/>
      <c r="I413" s="7"/>
      <c r="O413" s="5">
        <v>1</v>
      </c>
      <c r="S413" s="5">
        <f>SUM(bron[[#This Row],[Januari]:[December]])</f>
        <v>1</v>
      </c>
      <c r="T413" s="9">
        <v>45554</v>
      </c>
      <c r="U413" s="8" t="s">
        <v>645</v>
      </c>
      <c r="V413" s="8">
        <v>1</v>
      </c>
      <c r="W413" s="8"/>
      <c r="X413" t="s">
        <v>57</v>
      </c>
      <c r="Y413" t="s">
        <v>49</v>
      </c>
    </row>
    <row r="414" spans="1:25" x14ac:dyDescent="0.25">
      <c r="A414">
        <v>36559</v>
      </c>
      <c r="B414" t="e">
        <f>_xlfn.CONCAT([2]!bron[[#This Row],[personeelsnr]]," ",C414," ",D414)</f>
        <v>#REF!</v>
      </c>
      <c r="C414" t="str">
        <f>VLOOKUP(bron[[#This Row],[personeelsnr]],'data hastus'!$A:$C,2,0)</f>
        <v>De Staercke</v>
      </c>
      <c r="D414" t="str">
        <f>VLOOKUP(bron[[#This Row],[personeelsnr]],'data hastus'!$A:$C,3,0)</f>
        <v>Sandra</v>
      </c>
      <c r="E414" t="str">
        <f>VLOOKUP(bron[[#This Row],[personeelsnr]],'data hastus'!A:K,11,FALSE)</f>
        <v>Kenneth De Rick</v>
      </c>
      <c r="F414" s="10"/>
      <c r="G414" s="7"/>
      <c r="H414" s="7"/>
      <c r="I414" s="7"/>
      <c r="O414" s="5">
        <v>1</v>
      </c>
      <c r="S414" s="5">
        <f>SUM(bron[[#This Row],[Januari]:[December]])</f>
        <v>1</v>
      </c>
      <c r="T414" s="9">
        <v>45552</v>
      </c>
      <c r="U414" s="8" t="s">
        <v>644</v>
      </c>
      <c r="V414" s="8">
        <v>1</v>
      </c>
      <c r="W414" s="8"/>
      <c r="X414" t="s">
        <v>57</v>
      </c>
      <c r="Y414" t="s">
        <v>18</v>
      </c>
    </row>
    <row r="415" spans="1:25" x14ac:dyDescent="0.25">
      <c r="A415">
        <v>31635</v>
      </c>
      <c r="B415" t="e">
        <f>_xlfn.CONCAT([2]!bron[[#This Row],[personeelsnr]]," ",C415," ",D415)</f>
        <v>#REF!</v>
      </c>
      <c r="C415" t="str">
        <f>VLOOKUP(bron[[#This Row],[personeelsnr]],'data hastus'!$A:$C,2,0)</f>
        <v>Vaeyens</v>
      </c>
      <c r="D415" t="str">
        <f>VLOOKUP(bron[[#This Row],[personeelsnr]],'data hastus'!$A:$C,3,0)</f>
        <v>Midas</v>
      </c>
      <c r="E415" t="str">
        <f>VLOOKUP(bron[[#This Row],[personeelsnr]],'data hastus'!A:K,11,FALSE)</f>
        <v>Els Vanhoe</v>
      </c>
      <c r="F415" s="10"/>
      <c r="G415" s="7"/>
      <c r="H415" s="7"/>
      <c r="I415" s="7"/>
      <c r="O415" s="5">
        <v>1</v>
      </c>
      <c r="S415" s="5">
        <f>SUM(bron[[#This Row],[Januari]:[December]])</f>
        <v>1</v>
      </c>
      <c r="T415" s="9">
        <v>45551</v>
      </c>
      <c r="U415" s="8" t="s">
        <v>640</v>
      </c>
      <c r="V415" s="8">
        <v>1</v>
      </c>
      <c r="W415" s="8"/>
      <c r="X415" t="s">
        <v>57</v>
      </c>
      <c r="Y415" t="s">
        <v>106</v>
      </c>
    </row>
    <row r="416" spans="1:25" x14ac:dyDescent="0.25">
      <c r="A416">
        <v>39728</v>
      </c>
      <c r="B416" t="e">
        <f>_xlfn.CONCAT([2]!bron[[#This Row],[personeelsnr]]," ",C416," ",D416)</f>
        <v>#REF!</v>
      </c>
      <c r="C416" t="str">
        <f>VLOOKUP(bron[[#This Row],[personeelsnr]],'data hastus'!$A:$C,2,0)</f>
        <v>Nohut</v>
      </c>
      <c r="D416" t="str">
        <f>VLOOKUP(bron[[#This Row],[personeelsnr]],'data hastus'!$A:$C,3,0)</f>
        <v>Baki</v>
      </c>
      <c r="E416" t="str">
        <f>VLOOKUP(bron[[#This Row],[personeelsnr]],'data hastus'!A:K,11,FALSE)</f>
        <v>Lucie Vande Velde</v>
      </c>
      <c r="F416" s="10"/>
      <c r="G416" s="7"/>
      <c r="H416" s="7"/>
      <c r="I416" s="7"/>
      <c r="O416" s="5">
        <v>1</v>
      </c>
      <c r="S416" s="5">
        <f>SUM(bron[[#This Row],[Januari]:[December]])</f>
        <v>1</v>
      </c>
      <c r="T416" s="9">
        <v>45551</v>
      </c>
      <c r="U416" s="8" t="s">
        <v>641</v>
      </c>
      <c r="V416" s="8">
        <v>1</v>
      </c>
      <c r="W416" s="8"/>
      <c r="X416" t="s">
        <v>57</v>
      </c>
      <c r="Y416" t="s">
        <v>64</v>
      </c>
    </row>
    <row r="417" spans="1:25" x14ac:dyDescent="0.25">
      <c r="A417">
        <v>9999</v>
      </c>
      <c r="B417" t="str">
        <f>_xlfn.CONCAT([2]!bron[[#This Row],[personeelsnr]]," ",C417," ",D417)</f>
        <v>9999 - -</v>
      </c>
      <c r="C417" t="s">
        <v>2919</v>
      </c>
      <c r="D417" t="s">
        <v>2919</v>
      </c>
      <c r="E417" t="s">
        <v>810</v>
      </c>
      <c r="F417" s="10"/>
      <c r="G417" s="7"/>
      <c r="H417" s="7"/>
      <c r="I417" s="7"/>
      <c r="O417" s="5">
        <v>1</v>
      </c>
      <c r="S417" s="5">
        <f>SUM(bron[[#This Row],[Januari]:[December]])</f>
        <v>1</v>
      </c>
      <c r="T417" s="9">
        <v>45551</v>
      </c>
      <c r="U417" s="8" t="s">
        <v>642</v>
      </c>
      <c r="V417" s="8">
        <v>1</v>
      </c>
      <c r="W417" s="8"/>
      <c r="X417" t="s">
        <v>57</v>
      </c>
      <c r="Y417" t="s">
        <v>51</v>
      </c>
    </row>
    <row r="418" spans="1:25" x14ac:dyDescent="0.25">
      <c r="A418">
        <v>27635</v>
      </c>
      <c r="B418" t="e">
        <f>_xlfn.CONCAT([2]!bron[[#This Row],[personeelsnr]]," ",C418," ",D418)</f>
        <v>#REF!</v>
      </c>
      <c r="C418" t="str">
        <f>VLOOKUP(bron[[#This Row],[personeelsnr]],'data hastus'!$A:$C,2,0)</f>
        <v>Petrovic</v>
      </c>
      <c r="D418" t="str">
        <f>VLOOKUP(bron[[#This Row],[personeelsnr]],'data hastus'!$A:$C,3,0)</f>
        <v>Damir</v>
      </c>
      <c r="E418" t="str">
        <f>VLOOKUP(bron[[#This Row],[personeelsnr]],'data hastus'!A:K,11,FALSE)</f>
        <v>Kenneth De Rick</v>
      </c>
      <c r="F418" s="10"/>
      <c r="G418" s="7"/>
      <c r="H418" s="7"/>
      <c r="I418" s="7"/>
      <c r="O418" s="5">
        <v>1</v>
      </c>
      <c r="S418" s="5">
        <f>SUM(bron[[#This Row],[Januari]:[December]])</f>
        <v>1</v>
      </c>
      <c r="T418" s="9">
        <v>45551</v>
      </c>
      <c r="U418" s="8" t="s">
        <v>643</v>
      </c>
      <c r="V418" s="8"/>
      <c r="W418" s="8">
        <v>1</v>
      </c>
      <c r="X418" t="s">
        <v>58</v>
      </c>
      <c r="Y418" t="s">
        <v>19</v>
      </c>
    </row>
    <row r="419" spans="1:25" x14ac:dyDescent="0.25">
      <c r="A419">
        <v>11236</v>
      </c>
      <c r="B419" t="e">
        <f>_xlfn.CONCAT([2]!bron[[#This Row],[personeelsnr]]," ",C419," ",D419)</f>
        <v>#REF!</v>
      </c>
      <c r="C419" t="str">
        <f>VLOOKUP(bron[[#This Row],[personeelsnr]],'data hastus'!$A:$C,2,0)</f>
        <v>Baert</v>
      </c>
      <c r="D419" t="str">
        <f>VLOOKUP(bron[[#This Row],[personeelsnr]],'data hastus'!$A:$C,3,0)</f>
        <v>Freddy</v>
      </c>
      <c r="E419" t="str">
        <f>VLOOKUP(bron[[#This Row],[personeelsnr]],'data hastus'!A:K,11,FALSE)</f>
        <v>Bart Van Der Beken</v>
      </c>
      <c r="F419" s="10"/>
      <c r="G419" s="7"/>
      <c r="H419" s="7"/>
      <c r="I419" s="7"/>
      <c r="O419" s="5">
        <v>1</v>
      </c>
      <c r="S419" s="5">
        <f>SUM(bron[[#This Row],[Januari]:[December]])</f>
        <v>1</v>
      </c>
      <c r="T419" s="9">
        <v>45550</v>
      </c>
      <c r="U419" s="8" t="s">
        <v>639</v>
      </c>
      <c r="V419" s="8">
        <v>1</v>
      </c>
      <c r="W419" s="8"/>
      <c r="X419" t="s">
        <v>57</v>
      </c>
      <c r="Y419" t="s">
        <v>26</v>
      </c>
    </row>
    <row r="420" spans="1:25" x14ac:dyDescent="0.25">
      <c r="A420">
        <v>39929</v>
      </c>
      <c r="B420" t="e">
        <f>_xlfn.CONCAT([2]!bron[[#This Row],[personeelsnr]]," ",C420," ",D420)</f>
        <v>#REF!</v>
      </c>
      <c r="C420" t="str">
        <f>VLOOKUP(bron[[#This Row],[personeelsnr]],'data hastus'!$A:$C,2,0)</f>
        <v>Staneva</v>
      </c>
      <c r="D420" t="str">
        <f>VLOOKUP(bron[[#This Row],[personeelsnr]],'data hastus'!$A:$C,3,0)</f>
        <v>Mariyana</v>
      </c>
      <c r="E420" t="str">
        <f>VLOOKUP(bron[[#This Row],[personeelsnr]],'data hastus'!A:K,11,FALSE)</f>
        <v>Christoff Rotty</v>
      </c>
      <c r="F420" s="10"/>
      <c r="G420" s="7"/>
      <c r="H420" s="7"/>
      <c r="I420" s="7"/>
      <c r="O420" s="5">
        <v>1</v>
      </c>
      <c r="S420" s="5">
        <f>SUM(bron[[#This Row],[Januari]:[December]])</f>
        <v>1</v>
      </c>
      <c r="T420" s="9">
        <v>45549</v>
      </c>
      <c r="U420" s="8" t="s">
        <v>636</v>
      </c>
      <c r="V420" s="8">
        <v>1</v>
      </c>
      <c r="W420" s="8"/>
      <c r="X420" t="s">
        <v>57</v>
      </c>
      <c r="Y420" t="s">
        <v>109</v>
      </c>
    </row>
    <row r="421" spans="1:25" x14ac:dyDescent="0.25">
      <c r="A421">
        <v>37509</v>
      </c>
      <c r="B421" t="e">
        <f>_xlfn.CONCAT([2]!bron[[#This Row],[personeelsnr]]," ",C421," ",D421)</f>
        <v>#REF!</v>
      </c>
      <c r="C421" t="str">
        <f>VLOOKUP(bron[[#This Row],[personeelsnr]],'data hastus'!$A:$C,2,0)</f>
        <v>Abdulkader</v>
      </c>
      <c r="D421" t="str">
        <f>VLOOKUP(bron[[#This Row],[personeelsnr]],'data hastus'!$A:$C,3,0)</f>
        <v>Sabah</v>
      </c>
      <c r="E421" t="str">
        <f>VLOOKUP(bron[[#This Row],[personeelsnr]],'data hastus'!A:K,11,FALSE)</f>
        <v>Bart Van Der Beken</v>
      </c>
      <c r="F421" s="10"/>
      <c r="G421" s="7"/>
      <c r="H421" s="7"/>
      <c r="I421" s="7"/>
      <c r="O421" s="5">
        <v>1</v>
      </c>
      <c r="S421" s="5">
        <f>SUM(bron[[#This Row],[Januari]:[December]])</f>
        <v>1</v>
      </c>
      <c r="T421" s="9">
        <v>45549</v>
      </c>
      <c r="U421" s="8" t="s">
        <v>637</v>
      </c>
      <c r="V421" s="8">
        <v>1</v>
      </c>
      <c r="W421" s="8"/>
      <c r="X421" t="s">
        <v>57</v>
      </c>
      <c r="Y421" t="s">
        <v>74</v>
      </c>
    </row>
    <row r="422" spans="1:25" x14ac:dyDescent="0.25">
      <c r="A422">
        <v>39183</v>
      </c>
      <c r="B422" t="e">
        <f>_xlfn.CONCAT([2]!bron[[#This Row],[personeelsnr]]," ",C422," ",D422)</f>
        <v>#REF!</v>
      </c>
      <c r="C422" t="str">
        <f>VLOOKUP(bron[[#This Row],[personeelsnr]],'data hastus'!$A:$C,2,0)</f>
        <v>Al Masri</v>
      </c>
      <c r="D422" t="str">
        <f>VLOOKUP(bron[[#This Row],[personeelsnr]],'data hastus'!$A:$C,3,0)</f>
        <v>Anas</v>
      </c>
      <c r="E422" t="str">
        <f>VLOOKUP(bron[[#This Row],[personeelsnr]],'data hastus'!A:K,11,FALSE)</f>
        <v>Christoff Rotty</v>
      </c>
      <c r="F422" s="10"/>
      <c r="G422" s="7"/>
      <c r="H422" s="7"/>
      <c r="I422" s="7"/>
      <c r="O422" s="5">
        <v>1</v>
      </c>
      <c r="S422" s="5">
        <f>SUM(bron[[#This Row],[Januari]:[December]])</f>
        <v>1</v>
      </c>
      <c r="T422" s="9">
        <v>45549</v>
      </c>
      <c r="U422" s="8" t="s">
        <v>638</v>
      </c>
      <c r="V422" s="8">
        <v>1</v>
      </c>
      <c r="W422" s="8"/>
      <c r="X422" t="s">
        <v>57</v>
      </c>
      <c r="Y422" t="s">
        <v>177</v>
      </c>
    </row>
    <row r="423" spans="1:25" x14ac:dyDescent="0.25">
      <c r="A423">
        <v>40110</v>
      </c>
      <c r="B423" t="e">
        <f>_xlfn.CONCAT([2]!bron[[#This Row],[personeelsnr]]," ",C423," ",D423)</f>
        <v>#REF!</v>
      </c>
      <c r="C423" t="str">
        <f>VLOOKUP(bron[[#This Row],[personeelsnr]],'data hastus'!$A:$C,2,0)</f>
        <v>Vanlerberghe</v>
      </c>
      <c r="D423" t="str">
        <f>VLOOKUP(bron[[#This Row],[personeelsnr]],'data hastus'!$A:$C,3,0)</f>
        <v>Sandra</v>
      </c>
      <c r="E423" t="str">
        <f>VLOOKUP(bron[[#This Row],[personeelsnr]],'data hastus'!A:K,11,FALSE)</f>
        <v>Christoff Rotty</v>
      </c>
      <c r="F423" s="10"/>
      <c r="G423" s="7"/>
      <c r="H423" s="7"/>
      <c r="I423" s="7"/>
      <c r="O423" s="5">
        <v>1</v>
      </c>
      <c r="S423" s="5">
        <f>SUM(bron[[#This Row],[Januari]:[December]])</f>
        <v>1</v>
      </c>
      <c r="T423" s="9">
        <v>45548</v>
      </c>
      <c r="U423" s="8" t="s">
        <v>635</v>
      </c>
      <c r="V423" s="8">
        <v>1</v>
      </c>
      <c r="W423" s="8"/>
      <c r="X423" t="s">
        <v>57</v>
      </c>
      <c r="Y423" t="s">
        <v>39</v>
      </c>
    </row>
    <row r="424" spans="1:25" x14ac:dyDescent="0.25">
      <c r="A424">
        <v>38938</v>
      </c>
      <c r="B424" t="e">
        <f>_xlfn.CONCAT([2]!bron[[#This Row],[personeelsnr]]," ",C424," ",D424)</f>
        <v>#REF!</v>
      </c>
      <c r="C424" t="str">
        <f>VLOOKUP(bron[[#This Row],[personeelsnr]],'data hastus'!$A:$C,2,0)</f>
        <v>Sedighi</v>
      </c>
      <c r="D424" t="str">
        <f>VLOOKUP(bron[[#This Row],[personeelsnr]],'data hastus'!$A:$C,3,0)</f>
        <v>Hamid</v>
      </c>
      <c r="E424" t="str">
        <f>VLOOKUP(bron[[#This Row],[personeelsnr]],'data hastus'!A:K,11,FALSE)</f>
        <v>Lucie Vande Velde</v>
      </c>
      <c r="F424" s="10"/>
      <c r="G424" s="7"/>
      <c r="H424" s="7"/>
      <c r="I424" s="7"/>
      <c r="O424" s="5">
        <v>1</v>
      </c>
      <c r="S424" s="5">
        <f>SUM(bron[[#This Row],[Januari]:[December]])</f>
        <v>1</v>
      </c>
      <c r="T424" s="9">
        <v>45546</v>
      </c>
      <c r="U424" s="8" t="s">
        <v>634</v>
      </c>
      <c r="V424" s="8">
        <v>1</v>
      </c>
      <c r="W424" s="8"/>
      <c r="X424" t="s">
        <v>57</v>
      </c>
      <c r="Y424" t="s">
        <v>29</v>
      </c>
    </row>
    <row r="425" spans="1:25" x14ac:dyDescent="0.25">
      <c r="A425">
        <v>35450</v>
      </c>
      <c r="B425" t="e">
        <f>_xlfn.CONCAT([2]!bron[[#This Row],[personeelsnr]]," ",C425," ",D425)</f>
        <v>#REF!</v>
      </c>
      <c r="C425" t="str">
        <f>VLOOKUP(bron[[#This Row],[personeelsnr]],'data hastus'!$A:$C,2,0)</f>
        <v>Roos</v>
      </c>
      <c r="D425" t="str">
        <f>VLOOKUP(bron[[#This Row],[personeelsnr]],'data hastus'!$A:$C,3,0)</f>
        <v>Hugo</v>
      </c>
      <c r="E425" t="str">
        <f>VLOOKUP(bron[[#This Row],[personeelsnr]],'data hastus'!A:K,11,FALSE)</f>
        <v>Els Dewulf</v>
      </c>
      <c r="F425" s="10"/>
      <c r="G425" s="7"/>
      <c r="H425" s="7"/>
      <c r="I425" s="7"/>
      <c r="O425" s="5">
        <v>1</v>
      </c>
      <c r="S425" s="5">
        <f>SUM(bron[[#This Row],[Januari]:[December]])</f>
        <v>1</v>
      </c>
      <c r="T425" s="9">
        <v>45545</v>
      </c>
      <c r="U425" s="8" t="s">
        <v>631</v>
      </c>
      <c r="V425" s="8">
        <v>1</v>
      </c>
      <c r="W425" s="8"/>
      <c r="X425" t="s">
        <v>57</v>
      </c>
      <c r="Y425" t="s">
        <v>94</v>
      </c>
    </row>
    <row r="426" spans="1:25" x14ac:dyDescent="0.25">
      <c r="A426">
        <v>35588</v>
      </c>
      <c r="B426" t="e">
        <f>_xlfn.CONCAT([2]!bron[[#This Row],[personeelsnr]]," ",C426," ",D426)</f>
        <v>#REF!</v>
      </c>
      <c r="C426" t="str">
        <f>VLOOKUP(bron[[#This Row],[personeelsnr]],'data hastus'!$A:$C,2,0)</f>
        <v>Smesman</v>
      </c>
      <c r="D426" t="str">
        <f>VLOOKUP(bron[[#This Row],[personeelsnr]],'data hastus'!$A:$C,3,0)</f>
        <v>Glenn</v>
      </c>
      <c r="E426" t="str">
        <f>VLOOKUP(bron[[#This Row],[personeelsnr]],'data hastus'!A:K,11,FALSE)</f>
        <v>Lucie Vande Velde</v>
      </c>
      <c r="F426" s="10"/>
      <c r="G426" s="7"/>
      <c r="H426" s="7"/>
      <c r="I426" s="7"/>
      <c r="O426" s="5">
        <v>1</v>
      </c>
      <c r="S426" s="5">
        <f>SUM(bron[[#This Row],[Januari]:[December]])</f>
        <v>1</v>
      </c>
      <c r="T426" s="9">
        <v>45545</v>
      </c>
      <c r="U426" s="8" t="s">
        <v>632</v>
      </c>
      <c r="V426" s="8"/>
      <c r="W426" s="8">
        <v>1</v>
      </c>
      <c r="X426" t="s">
        <v>58</v>
      </c>
      <c r="Y426" t="s">
        <v>136</v>
      </c>
    </row>
    <row r="427" spans="1:25" x14ac:dyDescent="0.25">
      <c r="A427">
        <v>35434</v>
      </c>
      <c r="B427" t="e">
        <f>_xlfn.CONCAT([2]!bron[[#This Row],[personeelsnr]]," ",C427," ",D427)</f>
        <v>#REF!</v>
      </c>
      <c r="C427" t="str">
        <f>VLOOKUP(bron[[#This Row],[personeelsnr]],'data hastus'!$A:$C,2,0)</f>
        <v>Kaya</v>
      </c>
      <c r="D427" t="str">
        <f>VLOOKUP(bron[[#This Row],[personeelsnr]],'data hastus'!$A:$C,3,0)</f>
        <v>Aytekin</v>
      </c>
      <c r="E427" t="str">
        <f>VLOOKUP(bron[[#This Row],[personeelsnr]],'data hastus'!A:K,11,FALSE)</f>
        <v>Dominique De Clercq</v>
      </c>
      <c r="F427" s="10"/>
      <c r="G427" s="7"/>
      <c r="H427" s="7"/>
      <c r="I427" s="7"/>
      <c r="O427" s="5">
        <v>1</v>
      </c>
      <c r="S427" s="5">
        <f>SUM(bron[[#This Row],[Januari]:[December]])</f>
        <v>1</v>
      </c>
      <c r="T427" s="9">
        <v>45545</v>
      </c>
      <c r="U427" s="8" t="s">
        <v>633</v>
      </c>
      <c r="V427" s="8"/>
      <c r="W427" s="8">
        <v>1</v>
      </c>
      <c r="X427" t="s">
        <v>58</v>
      </c>
      <c r="Y427" t="s">
        <v>18</v>
      </c>
    </row>
    <row r="428" spans="1:25" x14ac:dyDescent="0.25">
      <c r="A428">
        <v>39651</v>
      </c>
      <c r="B428" t="e">
        <f>_xlfn.CONCAT([2]!bron[[#This Row],[personeelsnr]]," ",C428," ",D428)</f>
        <v>#REF!</v>
      </c>
      <c r="C428" t="str">
        <f>VLOOKUP(bron[[#This Row],[personeelsnr]],'data hastus'!$A:$C,2,0)</f>
        <v>Kallenbach</v>
      </c>
      <c r="D428" t="str">
        <f>VLOOKUP(bron[[#This Row],[personeelsnr]],'data hastus'!$A:$C,3,0)</f>
        <v>Sunny</v>
      </c>
      <c r="E428" t="str">
        <f>VLOOKUP(bron[[#This Row],[personeelsnr]],'data hastus'!A:K,11,FALSE)</f>
        <v>Kenneth De Rick</v>
      </c>
      <c r="F428" s="10"/>
      <c r="G428" s="7"/>
      <c r="H428" s="7"/>
      <c r="I428" s="7"/>
      <c r="O428" s="5">
        <v>1</v>
      </c>
      <c r="S428" s="5">
        <f>SUM(bron[[#This Row],[Januari]:[December]])</f>
        <v>1</v>
      </c>
      <c r="T428" s="9">
        <v>45544</v>
      </c>
      <c r="U428" s="8" t="s">
        <v>630</v>
      </c>
      <c r="V428" s="8">
        <v>1</v>
      </c>
      <c r="W428" s="8"/>
      <c r="X428" t="s">
        <v>57</v>
      </c>
      <c r="Y428" t="s">
        <v>18</v>
      </c>
    </row>
    <row r="429" spans="1:25" x14ac:dyDescent="0.25">
      <c r="A429">
        <v>37496</v>
      </c>
      <c r="B429" t="e">
        <f>_xlfn.CONCAT([2]!bron[[#This Row],[personeelsnr]]," ",C429," ",D429)</f>
        <v>#REF!</v>
      </c>
      <c r="C429" t="str">
        <f>VLOOKUP(bron[[#This Row],[personeelsnr]],'data hastus'!$A:$C,2,0)</f>
        <v>Oosterlinck</v>
      </c>
      <c r="D429" t="str">
        <f>VLOOKUP(bron[[#This Row],[personeelsnr]],'data hastus'!$A:$C,3,0)</f>
        <v>Willy</v>
      </c>
      <c r="E429" t="str">
        <f>VLOOKUP(bron[[#This Row],[personeelsnr]],'data hastus'!A:K,11,FALSE)</f>
        <v>Dominique De Clercq</v>
      </c>
      <c r="F429" s="10"/>
      <c r="G429" s="7"/>
      <c r="H429" s="7"/>
      <c r="I429" s="7"/>
      <c r="O429" s="5">
        <v>1</v>
      </c>
      <c r="S429" s="5">
        <f>SUM(bron[[#This Row],[Januari]:[December]])</f>
        <v>1</v>
      </c>
      <c r="T429" s="9">
        <v>45543</v>
      </c>
      <c r="U429" s="8" t="s">
        <v>628</v>
      </c>
      <c r="V429" s="8">
        <v>1</v>
      </c>
      <c r="W429" s="8"/>
      <c r="X429" t="s">
        <v>57</v>
      </c>
      <c r="Y429" t="s">
        <v>55</v>
      </c>
    </row>
    <row r="430" spans="1:25" x14ac:dyDescent="0.25">
      <c r="A430">
        <v>32168</v>
      </c>
      <c r="B430" t="e">
        <f>_xlfn.CONCAT([2]!bron[[#This Row],[personeelsnr]]," ",C430," ",D430)</f>
        <v>#REF!</v>
      </c>
      <c r="C430" t="str">
        <f>VLOOKUP(bron[[#This Row],[personeelsnr]],'data hastus'!$A:$C,2,0)</f>
        <v>Vranken</v>
      </c>
      <c r="D430" t="str">
        <f>VLOOKUP(bron[[#This Row],[personeelsnr]],'data hastus'!$A:$C,3,0)</f>
        <v>Zulkifly</v>
      </c>
      <c r="E430" t="str">
        <f>VLOOKUP(bron[[#This Row],[personeelsnr]],'data hastus'!A:K,11,FALSE)</f>
        <v>Kenneth De Rick</v>
      </c>
      <c r="F430" s="10"/>
      <c r="G430" s="7"/>
      <c r="H430" s="7"/>
      <c r="I430" s="7"/>
      <c r="O430" s="5">
        <v>1</v>
      </c>
      <c r="S430" s="5">
        <f>SUM(bron[[#This Row],[Januari]:[December]])</f>
        <v>1</v>
      </c>
      <c r="T430" s="9">
        <v>45543</v>
      </c>
      <c r="U430" s="8" t="s">
        <v>629</v>
      </c>
      <c r="V430" s="8">
        <v>1</v>
      </c>
      <c r="W430" s="8"/>
      <c r="X430" t="s">
        <v>57</v>
      </c>
      <c r="Y430" t="s">
        <v>19</v>
      </c>
    </row>
    <row r="431" spans="1:25" x14ac:dyDescent="0.25">
      <c r="A431">
        <v>9999</v>
      </c>
      <c r="B431" t="str">
        <f>_xlfn.CONCAT([2]!bron[[#This Row],[personeelsnr]]," ",C431," ",D431)</f>
        <v>9999 - -</v>
      </c>
      <c r="C431" t="s">
        <v>2919</v>
      </c>
      <c r="D431" t="s">
        <v>2919</v>
      </c>
      <c r="E431" t="s">
        <v>810</v>
      </c>
      <c r="F431" s="10"/>
      <c r="G431" s="7"/>
      <c r="H431" s="7"/>
      <c r="I431" s="7"/>
      <c r="O431" s="5">
        <v>1</v>
      </c>
      <c r="S431" s="5">
        <f>SUM(bron[[#This Row],[Januari]:[December]])</f>
        <v>1</v>
      </c>
      <c r="T431" s="9">
        <v>45542</v>
      </c>
      <c r="U431" s="8" t="s">
        <v>627</v>
      </c>
      <c r="V431" s="8">
        <v>1</v>
      </c>
      <c r="W431" s="8"/>
      <c r="X431" t="s">
        <v>57</v>
      </c>
      <c r="Y431" t="s">
        <v>82</v>
      </c>
    </row>
    <row r="432" spans="1:25" x14ac:dyDescent="0.25">
      <c r="A432">
        <v>39929</v>
      </c>
      <c r="B432" t="e">
        <f>_xlfn.CONCAT([2]!bron[[#This Row],[personeelsnr]]," ",C432," ",D432)</f>
        <v>#REF!</v>
      </c>
      <c r="C432" t="str">
        <f>VLOOKUP(bron[[#This Row],[personeelsnr]],'data hastus'!$A:$C,2,0)</f>
        <v>Staneva</v>
      </c>
      <c r="D432" t="str">
        <f>VLOOKUP(bron[[#This Row],[personeelsnr]],'data hastus'!$A:$C,3,0)</f>
        <v>Mariyana</v>
      </c>
      <c r="E432" t="str">
        <f>VLOOKUP(bron[[#This Row],[personeelsnr]],'data hastus'!A:K,11,FALSE)</f>
        <v>Christoff Rotty</v>
      </c>
      <c r="F432" s="10"/>
      <c r="G432" s="7"/>
      <c r="H432" s="7"/>
      <c r="I432" s="7"/>
      <c r="O432" s="5">
        <v>1</v>
      </c>
      <c r="S432" s="5">
        <f>SUM(bron[[#This Row],[Januari]:[December]])</f>
        <v>1</v>
      </c>
      <c r="T432" s="9">
        <v>45541</v>
      </c>
      <c r="U432" s="8" t="s">
        <v>623</v>
      </c>
      <c r="V432" s="8">
        <v>1</v>
      </c>
      <c r="W432" s="8"/>
      <c r="X432" t="s">
        <v>57</v>
      </c>
      <c r="Y432" t="s">
        <v>59</v>
      </c>
    </row>
    <row r="433" spans="1:25" x14ac:dyDescent="0.25">
      <c r="A433">
        <v>40266</v>
      </c>
      <c r="B433" t="e">
        <f>_xlfn.CONCAT([2]!bron[[#This Row],[personeelsnr]]," ",C433," ",D433)</f>
        <v>#REF!</v>
      </c>
      <c r="C433" t="str">
        <f>VLOOKUP(bron[[#This Row],[personeelsnr]],'data hastus'!$A:$C,2,0)</f>
        <v>Taibi</v>
      </c>
      <c r="D433" t="str">
        <f>VLOOKUP(bron[[#This Row],[personeelsnr]],'data hastus'!$A:$C,3,0)</f>
        <v>Yassine</v>
      </c>
      <c r="E433" t="str">
        <f>VLOOKUP(bron[[#This Row],[personeelsnr]],'data hastus'!A:K,11,FALSE)</f>
        <v>Christoff Rotty</v>
      </c>
      <c r="F433" s="10"/>
      <c r="G433" s="7"/>
      <c r="H433" s="7"/>
      <c r="I433" s="7"/>
      <c r="O433" s="5">
        <v>1</v>
      </c>
      <c r="S433" s="5">
        <f>SUM(bron[[#This Row],[Januari]:[December]])</f>
        <v>1</v>
      </c>
      <c r="T433" s="9">
        <v>45541</v>
      </c>
      <c r="U433" s="8" t="s">
        <v>624</v>
      </c>
      <c r="V433" s="8">
        <v>1</v>
      </c>
      <c r="W433" s="8"/>
      <c r="X433" t="s">
        <v>57</v>
      </c>
      <c r="Y433" t="s">
        <v>87</v>
      </c>
    </row>
    <row r="434" spans="1:25" x14ac:dyDescent="0.25">
      <c r="A434">
        <v>12124</v>
      </c>
      <c r="B434" t="e">
        <f>_xlfn.CONCAT([2]!bron[[#This Row],[personeelsnr]]," ",C434," ",D434)</f>
        <v>#REF!</v>
      </c>
      <c r="C434" t="str">
        <f>VLOOKUP(bron[[#This Row],[personeelsnr]],'data hastus'!$A:$C,2,0)</f>
        <v>Van Vliet</v>
      </c>
      <c r="D434" t="str">
        <f>VLOOKUP(bron[[#This Row],[personeelsnr]],'data hastus'!$A:$C,3,0)</f>
        <v>Tom</v>
      </c>
      <c r="E434" t="str">
        <f>VLOOKUP(bron[[#This Row],[personeelsnr]],'data hastus'!A:K,11,FALSE)</f>
        <v>Steven Storm</v>
      </c>
      <c r="F434" s="10"/>
      <c r="G434" s="7"/>
      <c r="H434" s="7"/>
      <c r="I434" s="7"/>
      <c r="O434" s="5">
        <v>1</v>
      </c>
      <c r="S434" s="5">
        <f>SUM(bron[[#This Row],[Januari]:[December]])</f>
        <v>1</v>
      </c>
      <c r="T434" s="9">
        <v>45541</v>
      </c>
      <c r="U434" s="8" t="s">
        <v>625</v>
      </c>
      <c r="V434" s="8"/>
      <c r="W434" s="8">
        <v>1</v>
      </c>
      <c r="X434" t="s">
        <v>58</v>
      </c>
      <c r="Y434" t="s">
        <v>147</v>
      </c>
    </row>
    <row r="435" spans="1:25" x14ac:dyDescent="0.25">
      <c r="A435">
        <v>34328</v>
      </c>
      <c r="B435" t="e">
        <f>_xlfn.CONCAT([2]!bron[[#This Row],[personeelsnr]]," ",C435," ",D435)</f>
        <v>#REF!</v>
      </c>
      <c r="C435" t="str">
        <f>VLOOKUP(bron[[#This Row],[personeelsnr]],'data hastus'!$A:$C,2,0)</f>
        <v>Kerremans</v>
      </c>
      <c r="D435" t="str">
        <f>VLOOKUP(bron[[#This Row],[personeelsnr]],'data hastus'!$A:$C,3,0)</f>
        <v>Jürgen</v>
      </c>
      <c r="E435" t="str">
        <f>VLOOKUP(bron[[#This Row],[personeelsnr]],'data hastus'!A:K,11,FALSE)</f>
        <v>Kenneth De Rick</v>
      </c>
      <c r="F435" s="10"/>
      <c r="G435" s="7"/>
      <c r="H435" s="7"/>
      <c r="I435" s="7"/>
      <c r="O435" s="5">
        <v>1</v>
      </c>
      <c r="S435" s="5">
        <f>SUM(bron[[#This Row],[Januari]:[December]])</f>
        <v>1</v>
      </c>
      <c r="T435" s="9">
        <v>45541</v>
      </c>
      <c r="U435" s="8" t="s">
        <v>626</v>
      </c>
      <c r="V435" s="8">
        <v>1</v>
      </c>
      <c r="W435" s="8"/>
      <c r="X435" t="s">
        <v>57</v>
      </c>
      <c r="Y435" t="s">
        <v>18</v>
      </c>
    </row>
    <row r="436" spans="1:25" x14ac:dyDescent="0.25">
      <c r="A436">
        <v>26331</v>
      </c>
      <c r="B436" t="e">
        <f>_xlfn.CONCAT([2]!bron[[#This Row],[personeelsnr]]," ",C436," ",D436)</f>
        <v>#REF!</v>
      </c>
      <c r="C436" t="str">
        <f>VLOOKUP(bron[[#This Row],[personeelsnr]],'data hastus'!$A:$C,2,0)</f>
        <v>Van Semmertier</v>
      </c>
      <c r="D436" t="str">
        <f>VLOOKUP(bron[[#This Row],[personeelsnr]],'data hastus'!$A:$C,3,0)</f>
        <v>Pascal</v>
      </c>
      <c r="E436" t="str">
        <f>VLOOKUP(bron[[#This Row],[personeelsnr]],'data hastus'!A:K,11,FALSE)</f>
        <v>Bart Van Der Beken</v>
      </c>
      <c r="F436" s="10"/>
      <c r="G436" s="7"/>
      <c r="H436" s="7"/>
      <c r="I436" s="7"/>
      <c r="O436" s="5">
        <v>1</v>
      </c>
      <c r="S436" s="5">
        <f>SUM(bron[[#This Row],[Januari]:[December]])</f>
        <v>1</v>
      </c>
      <c r="T436" s="9">
        <v>45540</v>
      </c>
      <c r="U436" s="8" t="s">
        <v>620</v>
      </c>
      <c r="V436" s="8">
        <v>1</v>
      </c>
      <c r="W436" s="8"/>
      <c r="X436" t="s">
        <v>57</v>
      </c>
      <c r="Y436" t="s">
        <v>51</v>
      </c>
    </row>
    <row r="437" spans="1:25" x14ac:dyDescent="0.25">
      <c r="A437">
        <v>24472</v>
      </c>
      <c r="B437" t="e">
        <f>_xlfn.CONCAT([2]!bron[[#This Row],[personeelsnr]]," ",C437," ",D437)</f>
        <v>#REF!</v>
      </c>
      <c r="C437" t="str">
        <f>VLOOKUP(bron[[#This Row],[personeelsnr]],'data hastus'!$A:$C,2,0)</f>
        <v>Gök</v>
      </c>
      <c r="D437" t="str">
        <f>VLOOKUP(bron[[#This Row],[personeelsnr]],'data hastus'!$A:$C,3,0)</f>
        <v>Davut</v>
      </c>
      <c r="E437" t="str">
        <f>VLOOKUP(bron[[#This Row],[personeelsnr]],'data hastus'!A:K,11,FALSE)</f>
        <v>Dominique De Clercq</v>
      </c>
      <c r="F437" s="10"/>
      <c r="G437" s="7"/>
      <c r="H437" s="7"/>
      <c r="I437" s="7"/>
      <c r="O437" s="5">
        <v>1</v>
      </c>
      <c r="S437" s="5">
        <f>SUM(bron[[#This Row],[Januari]:[December]])</f>
        <v>1</v>
      </c>
      <c r="T437" s="9">
        <v>45540</v>
      </c>
      <c r="U437" s="8" t="s">
        <v>621</v>
      </c>
      <c r="V437" s="8">
        <v>1</v>
      </c>
      <c r="W437" s="8"/>
      <c r="X437" t="s">
        <v>57</v>
      </c>
      <c r="Y437" t="s">
        <v>51</v>
      </c>
    </row>
    <row r="438" spans="1:25" x14ac:dyDescent="0.25">
      <c r="A438">
        <v>37662</v>
      </c>
      <c r="B438" t="e">
        <f>_xlfn.CONCAT([2]!bron[[#This Row],[personeelsnr]]," ",C438," ",D438)</f>
        <v>#REF!</v>
      </c>
      <c r="C438" t="str">
        <f>VLOOKUP(bron[[#This Row],[personeelsnr]],'data hastus'!$A:$C,2,0)</f>
        <v>Van den Meerssche</v>
      </c>
      <c r="D438" t="str">
        <f>VLOOKUP(bron[[#This Row],[personeelsnr]],'data hastus'!$A:$C,3,0)</f>
        <v>Steven</v>
      </c>
      <c r="E438" t="str">
        <f>VLOOKUP(bron[[#This Row],[personeelsnr]],'data hastus'!A:K,11,FALSE)</f>
        <v>Bart Van Der Beken</v>
      </c>
      <c r="F438" s="10"/>
      <c r="G438" s="7"/>
      <c r="H438" s="7"/>
      <c r="I438" s="7"/>
      <c r="O438" s="5">
        <v>1</v>
      </c>
      <c r="S438" s="5">
        <f>SUM(bron[[#This Row],[Januari]:[December]])</f>
        <v>1</v>
      </c>
      <c r="T438" s="9">
        <v>45540</v>
      </c>
      <c r="U438" s="8" t="s">
        <v>622</v>
      </c>
      <c r="V438" s="8">
        <v>1</v>
      </c>
      <c r="W438" s="8"/>
      <c r="X438" t="s">
        <v>57</v>
      </c>
      <c r="Y438" t="s">
        <v>43</v>
      </c>
    </row>
    <row r="439" spans="1:25" x14ac:dyDescent="0.25">
      <c r="A439">
        <v>29179</v>
      </c>
      <c r="B439" t="e">
        <f>_xlfn.CONCAT([2]!bron[[#This Row],[personeelsnr]]," ",C439," ",D439)</f>
        <v>#REF!</v>
      </c>
      <c r="C439" t="str">
        <f>VLOOKUP(bron[[#This Row],[personeelsnr]],'data hastus'!$A:$C,2,0)</f>
        <v>Verwee</v>
      </c>
      <c r="D439" t="str">
        <f>VLOOKUP(bron[[#This Row],[personeelsnr]],'data hastus'!$A:$C,3,0)</f>
        <v>Dries</v>
      </c>
      <c r="E439" t="str">
        <f>VLOOKUP(bron[[#This Row],[personeelsnr]],'data hastus'!A:K,11,FALSE)</f>
        <v>Els Dewulf</v>
      </c>
      <c r="F439" s="10"/>
      <c r="G439" s="7"/>
      <c r="H439" s="7"/>
      <c r="I439" s="7"/>
      <c r="O439" s="5">
        <v>1</v>
      </c>
      <c r="S439" s="5">
        <f>SUM(bron[[#This Row],[Januari]:[December]])</f>
        <v>1</v>
      </c>
      <c r="T439" s="9">
        <v>45539</v>
      </c>
      <c r="U439" s="8" t="s">
        <v>619</v>
      </c>
      <c r="V439" s="8">
        <v>1</v>
      </c>
      <c r="W439" s="8"/>
      <c r="X439" t="s">
        <v>57</v>
      </c>
      <c r="Y439" t="s">
        <v>34</v>
      </c>
    </row>
    <row r="440" spans="1:25" x14ac:dyDescent="0.25">
      <c r="A440">
        <v>31360</v>
      </c>
      <c r="B440" t="e">
        <f>_xlfn.CONCAT([2]!bron[[#This Row],[personeelsnr]]," ",C440," ",D440)</f>
        <v>#REF!</v>
      </c>
      <c r="C440" t="str">
        <f>VLOOKUP(bron[[#This Row],[personeelsnr]],'data hastus'!$A:$C,2,0)</f>
        <v>Simsek</v>
      </c>
      <c r="D440" t="str">
        <f>VLOOKUP(bron[[#This Row],[personeelsnr]],'data hastus'!$A:$C,3,0)</f>
        <v>Fatih</v>
      </c>
      <c r="E440" t="str">
        <f>VLOOKUP(bron[[#This Row],[personeelsnr]],'data hastus'!A:K,11,FALSE)</f>
        <v>Dominique De Clercq</v>
      </c>
      <c r="F440" s="10"/>
      <c r="G440" s="7"/>
      <c r="H440" s="7"/>
      <c r="I440" s="7"/>
      <c r="O440" s="5">
        <v>1</v>
      </c>
      <c r="S440" s="5">
        <f>SUM(bron[[#This Row],[Januari]:[December]])</f>
        <v>1</v>
      </c>
      <c r="T440" s="9">
        <v>45538</v>
      </c>
      <c r="U440" s="8" t="s">
        <v>612</v>
      </c>
      <c r="V440" s="8">
        <v>1</v>
      </c>
      <c r="W440" s="8"/>
      <c r="X440" t="s">
        <v>57</v>
      </c>
      <c r="Y440" t="s">
        <v>200</v>
      </c>
    </row>
    <row r="441" spans="1:25" x14ac:dyDescent="0.25">
      <c r="A441">
        <v>8394</v>
      </c>
      <c r="B441" t="e">
        <f>_xlfn.CONCAT([2]!bron[[#This Row],[personeelsnr]]," ",C441," ",D441)</f>
        <v>#REF!</v>
      </c>
      <c r="C441" t="str">
        <f>VLOOKUP(bron[[#This Row],[personeelsnr]],'data hastus'!$A:$C,2,0)</f>
        <v>Smet</v>
      </c>
      <c r="D441" t="str">
        <f>VLOOKUP(bron[[#This Row],[personeelsnr]],'data hastus'!$A:$C,3,0)</f>
        <v>Antoon</v>
      </c>
      <c r="E441" t="str">
        <f>VLOOKUP(bron[[#This Row],[personeelsnr]],'data hastus'!A:K,11,FALSE)</f>
        <v>Lucie Vande Velde</v>
      </c>
      <c r="F441" s="10"/>
      <c r="G441" s="7"/>
      <c r="H441" s="7"/>
      <c r="I441" s="7"/>
      <c r="O441" s="5">
        <v>1</v>
      </c>
      <c r="S441" s="5">
        <f>SUM(bron[[#This Row],[Januari]:[December]])</f>
        <v>1</v>
      </c>
      <c r="T441" s="9">
        <v>45538</v>
      </c>
      <c r="U441" s="8" t="s">
        <v>613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38633</v>
      </c>
      <c r="B442" t="e">
        <f>_xlfn.CONCAT([2]!bron[[#This Row],[personeelsnr]]," ",C442," ",D442)</f>
        <v>#REF!</v>
      </c>
      <c r="C442" t="str">
        <f>VLOOKUP(bron[[#This Row],[personeelsnr]],'data hastus'!$A:$C,2,0)</f>
        <v>Stomphorst</v>
      </c>
      <c r="D442" t="str">
        <f>VLOOKUP(bron[[#This Row],[personeelsnr]],'data hastus'!$A:$C,3,0)</f>
        <v>Mattanja</v>
      </c>
      <c r="E442" t="str">
        <f>VLOOKUP(bron[[#This Row],[personeelsnr]],'data hastus'!A:K,11,FALSE)</f>
        <v>Els Dewulf</v>
      </c>
      <c r="F442" s="10"/>
      <c r="G442" s="7"/>
      <c r="H442" s="7"/>
      <c r="I442" s="7"/>
      <c r="O442" s="5">
        <v>1</v>
      </c>
      <c r="S442" s="5">
        <f>SUM(bron[[#This Row],[Januari]:[December]])</f>
        <v>1</v>
      </c>
      <c r="T442" s="9">
        <v>45538</v>
      </c>
      <c r="U442" s="8" t="s">
        <v>614</v>
      </c>
      <c r="V442" s="8">
        <v>1</v>
      </c>
      <c r="W442" s="8"/>
      <c r="X442" t="s">
        <v>57</v>
      </c>
      <c r="Y442" t="s">
        <v>210</v>
      </c>
    </row>
    <row r="443" spans="1:25" x14ac:dyDescent="0.25">
      <c r="A443">
        <v>23790</v>
      </c>
      <c r="B443" t="e">
        <f>_xlfn.CONCAT([2]!bron[[#This Row],[personeelsnr]]," ",C443," ",D443)</f>
        <v>#REF!</v>
      </c>
      <c r="C443" t="str">
        <f>VLOOKUP(bron[[#This Row],[personeelsnr]],'data hastus'!$A:$C,2,0)</f>
        <v>Adiyil</v>
      </c>
      <c r="D443" t="str">
        <f>VLOOKUP(bron[[#This Row],[personeelsnr]],'data hastus'!$A:$C,3,0)</f>
        <v>Attila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O443" s="5">
        <v>1</v>
      </c>
      <c r="S443" s="5">
        <f>SUM(bron[[#This Row],[Januari]:[December]])</f>
        <v>1</v>
      </c>
      <c r="T443" s="9">
        <v>45538</v>
      </c>
      <c r="U443" s="8" t="s">
        <v>615</v>
      </c>
      <c r="V443" s="8">
        <v>1</v>
      </c>
      <c r="W443" s="8"/>
      <c r="X443" t="s">
        <v>57</v>
      </c>
      <c r="Y443" t="s">
        <v>18</v>
      </c>
    </row>
    <row r="444" spans="1:25" x14ac:dyDescent="0.25">
      <c r="A444">
        <v>39358</v>
      </c>
      <c r="B444" t="e">
        <f>_xlfn.CONCAT([2]!bron[[#This Row],[personeelsnr]]," ",C444," ",D444)</f>
        <v>#REF!</v>
      </c>
      <c r="C444" t="str">
        <f>VLOOKUP(bron[[#This Row],[personeelsnr]],'data hastus'!$A:$C,2,0)</f>
        <v>Weeks Aracena</v>
      </c>
      <c r="D444" t="str">
        <f>VLOOKUP(bron[[#This Row],[personeelsnr]],'data hastus'!$A:$C,3,0)</f>
        <v>Jimmy Alexander</v>
      </c>
      <c r="E444" t="str">
        <f>VLOOKUP(bron[[#This Row],[personeelsnr]],'data hastus'!A:K,11,FALSE)</f>
        <v>Christoff Rotty</v>
      </c>
      <c r="F444" s="10"/>
      <c r="G444" s="7"/>
      <c r="H444" s="7"/>
      <c r="I444" s="7"/>
      <c r="O444" s="5">
        <v>1</v>
      </c>
      <c r="S444" s="5">
        <f>SUM(bron[[#This Row],[Januari]:[December]])</f>
        <v>1</v>
      </c>
      <c r="T444" s="9">
        <v>45538</v>
      </c>
      <c r="U444" s="8" t="s">
        <v>616</v>
      </c>
      <c r="V444" s="8">
        <v>1</v>
      </c>
      <c r="W444" s="8"/>
      <c r="X444" t="s">
        <v>57</v>
      </c>
      <c r="Y444" t="s">
        <v>244</v>
      </c>
    </row>
    <row r="445" spans="1:25" x14ac:dyDescent="0.25">
      <c r="A445">
        <v>40744</v>
      </c>
      <c r="B445" t="e">
        <f>_xlfn.CONCAT([2]!bron[[#This Row],[personeelsnr]]," ",C445," ",D445)</f>
        <v>#REF!</v>
      </c>
      <c r="C445" t="str">
        <f>VLOOKUP(bron[[#This Row],[personeelsnr]],'data hastus'!$A:$C,2,0)</f>
        <v>Gözüküçük</v>
      </c>
      <c r="D445" t="str">
        <f>VLOOKUP(bron[[#This Row],[personeelsnr]],'data hastus'!$A:$C,3,0)</f>
        <v>Ugur</v>
      </c>
      <c r="E445" t="str">
        <f>VLOOKUP(bron[[#This Row],[personeelsnr]],'data hastus'!A:K,11,FALSE)</f>
        <v>Bart Van Der Beken</v>
      </c>
      <c r="F445" s="10"/>
      <c r="G445" s="7"/>
      <c r="H445" s="7"/>
      <c r="I445" s="7"/>
      <c r="O445" s="5">
        <v>1</v>
      </c>
      <c r="S445" s="5">
        <f>SUM(bron[[#This Row],[Januari]:[December]])</f>
        <v>1</v>
      </c>
      <c r="T445" s="9">
        <v>45538</v>
      </c>
      <c r="U445" s="8" t="s">
        <v>617</v>
      </c>
      <c r="V445" s="8">
        <v>1</v>
      </c>
      <c r="W445" s="8"/>
      <c r="X445" t="s">
        <v>57</v>
      </c>
      <c r="Y445" t="s">
        <v>117</v>
      </c>
    </row>
    <row r="446" spans="1:25" x14ac:dyDescent="0.25">
      <c r="A446">
        <v>9999</v>
      </c>
      <c r="B446" t="str">
        <f>_xlfn.CONCAT([2]!bron[[#This Row],[personeelsnr]]," ",C446," ",D446)</f>
        <v>9999 - -</v>
      </c>
      <c r="C446" t="s">
        <v>2919</v>
      </c>
      <c r="D446" t="s">
        <v>2919</v>
      </c>
      <c r="E446" t="s">
        <v>810</v>
      </c>
      <c r="F446" s="10"/>
      <c r="G446" s="7"/>
      <c r="H446" s="7"/>
      <c r="I446" s="7"/>
      <c r="O446" s="5">
        <v>1</v>
      </c>
      <c r="S446" s="5">
        <f>SUM(bron[[#This Row],[Januari]:[December]])</f>
        <v>1</v>
      </c>
      <c r="T446" s="9">
        <v>45538</v>
      </c>
      <c r="U446" s="8" t="s">
        <v>618</v>
      </c>
      <c r="V446" s="8">
        <v>1</v>
      </c>
      <c r="W446" s="8"/>
      <c r="X446" t="s">
        <v>57</v>
      </c>
      <c r="Y446" t="s">
        <v>18</v>
      </c>
    </row>
    <row r="447" spans="1:25" x14ac:dyDescent="0.25">
      <c r="A447">
        <v>37543</v>
      </c>
      <c r="B447" t="e">
        <f>_xlfn.CONCAT([2]!bron[[#This Row],[personeelsnr]]," ",C447," ",D447)</f>
        <v>#REF!</v>
      </c>
      <c r="C447" t="str">
        <f>VLOOKUP(bron[[#This Row],[personeelsnr]],'data hastus'!$A:$C,2,0)</f>
        <v>Öztürk</v>
      </c>
      <c r="D447" t="str">
        <f>VLOOKUP(bron[[#This Row],[personeelsnr]],'data hastus'!$A:$C,3,0)</f>
        <v>Bilgehan</v>
      </c>
      <c r="E447" t="str">
        <f>VLOOKUP(bron[[#This Row],[personeelsnr]],'data hastus'!A:K,11,FALSE)</f>
        <v>Kenneth De Rick</v>
      </c>
      <c r="F447" s="10"/>
      <c r="G447" s="7"/>
      <c r="H447" s="7"/>
      <c r="I447" s="7"/>
      <c r="S447" s="5">
        <f>SUM(bron[[#This Row],[Januari]:[December]])</f>
        <v>0</v>
      </c>
      <c r="T447" s="9">
        <v>45536</v>
      </c>
      <c r="U447" s="8" t="s">
        <v>610</v>
      </c>
      <c r="V447" s="8">
        <v>1</v>
      </c>
      <c r="W447" s="8"/>
      <c r="X447" t="s">
        <v>57</v>
      </c>
      <c r="Y447" t="s">
        <v>120</v>
      </c>
    </row>
    <row r="448" spans="1:25" x14ac:dyDescent="0.25">
      <c r="A448">
        <v>33965</v>
      </c>
      <c r="B448" t="e">
        <f>_xlfn.CONCAT([2]!bron[[#This Row],[personeelsnr]]," ",C448," ",D448)</f>
        <v>#REF!</v>
      </c>
      <c r="C448" t="str">
        <f>VLOOKUP(bron[[#This Row],[personeelsnr]],'data hastus'!$A:$C,2,0)</f>
        <v>Van de Gehuchte</v>
      </c>
      <c r="D448" t="str">
        <f>VLOOKUP(bron[[#This Row],[personeelsnr]],'data hastus'!$A:$C,3,0)</f>
        <v>Gilles</v>
      </c>
      <c r="E448" t="str">
        <f>VLOOKUP(bron[[#This Row],[personeelsnr]],'data hastus'!A:K,11,FALSE)</f>
        <v>Kenneth De Rick</v>
      </c>
      <c r="F448" s="10"/>
      <c r="G448" s="7"/>
      <c r="H448" s="7"/>
      <c r="I448" s="7"/>
      <c r="O448" s="5">
        <v>1</v>
      </c>
      <c r="S448" s="5">
        <f>SUM(bron[[#This Row],[Januari]:[December]])</f>
        <v>1</v>
      </c>
      <c r="T448" s="9">
        <v>45536</v>
      </c>
      <c r="U448" s="8" t="s">
        <v>611</v>
      </c>
      <c r="V448" s="8"/>
      <c r="W448" s="8">
        <v>1</v>
      </c>
      <c r="X448" t="s">
        <v>58</v>
      </c>
      <c r="Y448" t="s">
        <v>153</v>
      </c>
    </row>
    <row r="449" spans="1:25" x14ac:dyDescent="0.25">
      <c r="A449">
        <v>39858</v>
      </c>
      <c r="B449" t="e">
        <f>_xlfn.CONCAT([2]!bron[[#This Row],[personeelsnr]]," ",C449," ",D449)</f>
        <v>#REF!</v>
      </c>
      <c r="C449" t="str">
        <f>VLOOKUP(bron[[#This Row],[personeelsnr]],'data hastus'!$A:$C,2,0)</f>
        <v>Jacobs</v>
      </c>
      <c r="D449" t="str">
        <f>VLOOKUP(bron[[#This Row],[personeelsnr]],'data hastus'!$A:$C,3,0)</f>
        <v>Elos</v>
      </c>
      <c r="E449" t="str">
        <f>VLOOKUP(bron[[#This Row],[personeelsnr]],'data hastus'!A:K,11,FALSE)</f>
        <v>Els Dewulf</v>
      </c>
      <c r="F449" s="10"/>
      <c r="G449" s="7"/>
      <c r="H449" s="7"/>
      <c r="I449" s="7"/>
      <c r="N449" s="5">
        <v>1</v>
      </c>
      <c r="S449" s="5">
        <f>SUM(bron[[#This Row],[Januari]:[December]])</f>
        <v>1</v>
      </c>
      <c r="T449" s="9">
        <v>45535</v>
      </c>
      <c r="U449" s="8" t="s">
        <v>608</v>
      </c>
      <c r="V449" s="8">
        <v>1</v>
      </c>
      <c r="W449" s="8"/>
      <c r="X449" t="s">
        <v>57</v>
      </c>
      <c r="Y449" t="s">
        <v>49</v>
      </c>
    </row>
    <row r="450" spans="1:25" x14ac:dyDescent="0.25">
      <c r="A450">
        <v>31668</v>
      </c>
      <c r="B450" t="e">
        <f>_xlfn.CONCAT([2]!bron[[#This Row],[personeelsnr]]," ",C450," ",D450)</f>
        <v>#REF!</v>
      </c>
      <c r="C450" t="str">
        <f>VLOOKUP(bron[[#This Row],[personeelsnr]],'data hastus'!$A:$C,2,0)</f>
        <v>Weemhof</v>
      </c>
      <c r="D450" t="str">
        <f>VLOOKUP(bron[[#This Row],[personeelsnr]],'data hastus'!$A:$C,3,0)</f>
        <v>Maurice</v>
      </c>
      <c r="E450" t="str">
        <f>VLOOKUP(bron[[#This Row],[personeelsnr]],'data hastus'!A:K,11,FALSE)</f>
        <v>Dominique De Clercq</v>
      </c>
      <c r="F450" s="10"/>
      <c r="G450" s="7"/>
      <c r="H450" s="7"/>
      <c r="I450" s="7"/>
      <c r="N450" s="5">
        <v>1</v>
      </c>
      <c r="S450" s="5">
        <f>SUM(bron[[#This Row],[Januari]:[December]])</f>
        <v>1</v>
      </c>
      <c r="T450" s="9">
        <v>45535</v>
      </c>
      <c r="U450" s="8" t="s">
        <v>609</v>
      </c>
      <c r="V450" s="8">
        <v>1</v>
      </c>
      <c r="W450" s="8"/>
      <c r="X450" t="s">
        <v>57</v>
      </c>
      <c r="Y450" t="s">
        <v>18</v>
      </c>
    </row>
    <row r="451" spans="1:25" x14ac:dyDescent="0.25">
      <c r="A451">
        <v>9999</v>
      </c>
      <c r="B451" t="str">
        <f>_xlfn.CONCAT([2]!bron[[#This Row],[personeelsnr]]," ",C451," ",D451)</f>
        <v>9999 - -</v>
      </c>
      <c r="C451" t="s">
        <v>2919</v>
      </c>
      <c r="D451" t="s">
        <v>2919</v>
      </c>
      <c r="E451" t="s">
        <v>810</v>
      </c>
      <c r="F451" s="10"/>
      <c r="G451" s="7"/>
      <c r="H451" s="7"/>
      <c r="I451" s="7"/>
      <c r="N451" s="5">
        <v>1</v>
      </c>
      <c r="S451" s="5">
        <f>SUM(bron[[#This Row],[Januari]:[December]])</f>
        <v>1</v>
      </c>
      <c r="T451" s="9">
        <v>45534</v>
      </c>
      <c r="U451" s="8" t="s">
        <v>607</v>
      </c>
      <c r="V451" s="8">
        <v>1</v>
      </c>
      <c r="W451" s="8"/>
      <c r="X451" t="s">
        <v>57</v>
      </c>
      <c r="Y451" t="s">
        <v>111</v>
      </c>
    </row>
    <row r="452" spans="1:25" x14ac:dyDescent="0.25">
      <c r="A452">
        <v>40744</v>
      </c>
      <c r="B452" t="e">
        <f>_xlfn.CONCAT([2]!bron[[#This Row],[personeelsnr]]," ",C452," ",D452)</f>
        <v>#REF!</v>
      </c>
      <c r="C452" t="str">
        <f>VLOOKUP(bron[[#This Row],[personeelsnr]],'data hastus'!$A:$C,2,0)</f>
        <v>Gözüküçük</v>
      </c>
      <c r="D452" t="str">
        <f>VLOOKUP(bron[[#This Row],[personeelsnr]],'data hastus'!$A:$C,3,0)</f>
        <v>Ugur</v>
      </c>
      <c r="E452" t="str">
        <f>VLOOKUP(bron[[#This Row],[personeelsnr]],'data hastus'!A:K,11,FALSE)</f>
        <v>Bart Van Der Beken</v>
      </c>
      <c r="F452" s="10"/>
      <c r="G452" s="7"/>
      <c r="H452" s="7"/>
      <c r="I452" s="7"/>
      <c r="N452" s="5">
        <v>1</v>
      </c>
      <c r="S452" s="5">
        <f>SUM(bron[[#This Row],[Januari]:[December]])</f>
        <v>1</v>
      </c>
      <c r="T452" s="9">
        <v>45533</v>
      </c>
      <c r="U452" s="8" t="s">
        <v>606</v>
      </c>
      <c r="V452" s="8">
        <v>1</v>
      </c>
      <c r="W452" s="8"/>
      <c r="X452" t="s">
        <v>57</v>
      </c>
      <c r="Y452" t="s">
        <v>72</v>
      </c>
    </row>
    <row r="453" spans="1:25" x14ac:dyDescent="0.25">
      <c r="A453">
        <v>40521</v>
      </c>
      <c r="B453" t="e">
        <f>_xlfn.CONCAT([2]!bron[[#This Row],[personeelsnr]]," ",C453," ",D453)</f>
        <v>#REF!</v>
      </c>
      <c r="C453" t="str">
        <f>VLOOKUP(bron[[#This Row],[personeelsnr]],'data hastus'!$A:$C,2,0)</f>
        <v>Mekdad</v>
      </c>
      <c r="D453" t="str">
        <f>VLOOKUP(bron[[#This Row],[personeelsnr]],'data hastus'!$A:$C,3,0)</f>
        <v>Ali</v>
      </c>
      <c r="E453" t="str">
        <f>VLOOKUP(bron[[#This Row],[personeelsnr]],'data hastus'!A:K,11,FALSE)</f>
        <v>Lucie Vande Velde</v>
      </c>
      <c r="F453" s="10"/>
      <c r="G453" s="7"/>
      <c r="H453" s="7"/>
      <c r="I453" s="7"/>
      <c r="N453" s="5">
        <v>1</v>
      </c>
      <c r="S453" s="5">
        <f>SUM(bron[[#This Row],[Januari]:[December]])</f>
        <v>1</v>
      </c>
      <c r="T453" s="9">
        <v>45530</v>
      </c>
      <c r="U453" s="8" t="s">
        <v>604</v>
      </c>
      <c r="V453" s="8">
        <v>1</v>
      </c>
      <c r="W453" s="8"/>
      <c r="X453" t="s">
        <v>57</v>
      </c>
      <c r="Y453" t="s">
        <v>66</v>
      </c>
    </row>
    <row r="454" spans="1:25" x14ac:dyDescent="0.25">
      <c r="A454">
        <v>9999</v>
      </c>
      <c r="B454" t="str">
        <f>_xlfn.CONCAT([2]!bron[[#This Row],[personeelsnr]]," ",C454," ",D454)</f>
        <v>9999 - -</v>
      </c>
      <c r="C454" t="s">
        <v>2919</v>
      </c>
      <c r="D454" t="s">
        <v>2919</v>
      </c>
      <c r="E454" t="s">
        <v>810</v>
      </c>
      <c r="F454" s="10"/>
      <c r="G454" s="7"/>
      <c r="H454" s="7"/>
      <c r="I454" s="7"/>
      <c r="N454" s="5">
        <v>1</v>
      </c>
      <c r="S454" s="5">
        <f>SUM(bron[[#This Row],[Januari]:[December]])</f>
        <v>1</v>
      </c>
      <c r="T454" s="9">
        <v>45530</v>
      </c>
      <c r="U454" s="8" t="s">
        <v>605</v>
      </c>
      <c r="V454" s="8"/>
      <c r="W454" s="8">
        <v>1</v>
      </c>
      <c r="X454" t="s">
        <v>58</v>
      </c>
      <c r="Y454" t="s">
        <v>25</v>
      </c>
    </row>
    <row r="455" spans="1:25" x14ac:dyDescent="0.25">
      <c r="A455">
        <v>19917</v>
      </c>
      <c r="B455" t="e">
        <f>_xlfn.CONCAT([2]!bron[[#This Row],[personeelsnr]]," ",C455," ",D455)</f>
        <v>#REF!</v>
      </c>
      <c r="C455" t="str">
        <f>VLOOKUP(bron[[#This Row],[personeelsnr]],'data hastus'!$A:$C,2,0)</f>
        <v>Vandevyvere</v>
      </c>
      <c r="D455" t="str">
        <f>VLOOKUP(bron[[#This Row],[personeelsnr]],'data hastus'!$A:$C,3,0)</f>
        <v>Frank</v>
      </c>
      <c r="E455" t="str">
        <f>VLOOKUP(bron[[#This Row],[personeelsnr]],'data hastus'!A:K,11,FALSE)</f>
        <v>Bart Van Der Beken</v>
      </c>
      <c r="F455" s="10"/>
      <c r="G455" s="7"/>
      <c r="H455" s="7"/>
      <c r="I455" s="7"/>
      <c r="N455" s="5">
        <v>1</v>
      </c>
      <c r="S455" s="5">
        <f>SUM(bron[[#This Row],[Januari]:[December]])</f>
        <v>1</v>
      </c>
      <c r="T455" s="9">
        <v>45528</v>
      </c>
      <c r="U455" s="8" t="s">
        <v>602</v>
      </c>
      <c r="V455" s="8">
        <v>1</v>
      </c>
      <c r="W455" s="8"/>
      <c r="X455" t="s">
        <v>57</v>
      </c>
      <c r="Y455" t="s">
        <v>143</v>
      </c>
    </row>
    <row r="456" spans="1:25" x14ac:dyDescent="0.25">
      <c r="A456">
        <v>30389</v>
      </c>
      <c r="B456" t="e">
        <f>_xlfn.CONCAT([2]!bron[[#This Row],[personeelsnr]]," ",C456," ",D456)</f>
        <v>#REF!</v>
      </c>
      <c r="C456" t="str">
        <f>VLOOKUP(bron[[#This Row],[personeelsnr]],'data hastus'!$A:$C,2,0)</f>
        <v>De Jonge</v>
      </c>
      <c r="D456" t="str">
        <f>VLOOKUP(bron[[#This Row],[personeelsnr]],'data hastus'!$A:$C,3,0)</f>
        <v>Matthew</v>
      </c>
      <c r="E456" t="str">
        <f>VLOOKUP(bron[[#This Row],[personeelsnr]],'data hastus'!A:K,11,FALSE)</f>
        <v>Lucie Vande Velde</v>
      </c>
      <c r="F456" s="10"/>
      <c r="G456" s="7"/>
      <c r="H456" s="7"/>
      <c r="I456" s="7"/>
      <c r="N456" s="5">
        <v>1</v>
      </c>
      <c r="S456" s="5">
        <f>SUM(bron[[#This Row],[Januari]:[December]])</f>
        <v>1</v>
      </c>
      <c r="T456" s="9">
        <v>45528</v>
      </c>
      <c r="U456" s="8" t="s">
        <v>603</v>
      </c>
      <c r="V456" s="8"/>
      <c r="W456" s="8">
        <v>1</v>
      </c>
      <c r="X456" t="s">
        <v>58</v>
      </c>
      <c r="Y456" t="s">
        <v>60</v>
      </c>
    </row>
    <row r="457" spans="1:25" x14ac:dyDescent="0.25">
      <c r="A457">
        <v>37662</v>
      </c>
      <c r="B457" t="e">
        <f>_xlfn.CONCAT([2]!bron[[#This Row],[personeelsnr]]," ",C457," ",D457)</f>
        <v>#REF!</v>
      </c>
      <c r="C457" t="str">
        <f>VLOOKUP(bron[[#This Row],[personeelsnr]],'data hastus'!$A:$C,2,0)</f>
        <v>Van den Meerssche</v>
      </c>
      <c r="D457" t="str">
        <f>VLOOKUP(bron[[#This Row],[personeelsnr]],'data hastus'!$A:$C,3,0)</f>
        <v>Steven</v>
      </c>
      <c r="E457" t="str">
        <f>VLOOKUP(bron[[#This Row],[personeelsnr]],'data hastus'!A:K,11,FALSE)</f>
        <v>Bart Van Der Beken</v>
      </c>
      <c r="F457" s="10"/>
      <c r="G457" s="7"/>
      <c r="H457" s="7"/>
      <c r="I457" s="7"/>
      <c r="N457" s="5">
        <v>1</v>
      </c>
      <c r="S457" s="5">
        <f>SUM(bron[[#This Row],[Januari]:[December]])</f>
        <v>1</v>
      </c>
      <c r="T457" s="9">
        <v>45526</v>
      </c>
      <c r="U457" s="8" t="s">
        <v>601</v>
      </c>
      <c r="V457" s="8">
        <v>1</v>
      </c>
      <c r="W457" s="8"/>
      <c r="X457" t="s">
        <v>57</v>
      </c>
      <c r="Y457" t="s">
        <v>26</v>
      </c>
    </row>
    <row r="458" spans="1:25" x14ac:dyDescent="0.25">
      <c r="A458">
        <v>31231</v>
      </c>
      <c r="B458" t="e">
        <f>_xlfn.CONCAT([2]!bron[[#This Row],[personeelsnr]]," ",C458," ",D458)</f>
        <v>#REF!</v>
      </c>
      <c r="C458" t="str">
        <f>VLOOKUP(bron[[#This Row],[personeelsnr]],'data hastus'!$A:$C,2,0)</f>
        <v>Colaes</v>
      </c>
      <c r="D458" t="str">
        <f>VLOOKUP(bron[[#This Row],[personeelsnr]],'data hastus'!$A:$C,3,0)</f>
        <v>Dylan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N458" s="5">
        <v>1</v>
      </c>
      <c r="S458" s="5">
        <f>SUM(bron[[#This Row],[Januari]:[December]])</f>
        <v>1</v>
      </c>
      <c r="T458" s="9">
        <v>45525</v>
      </c>
      <c r="U458" s="8" t="s">
        <v>600</v>
      </c>
      <c r="V458" s="8">
        <v>1</v>
      </c>
      <c r="W458" s="8"/>
      <c r="X458" t="s">
        <v>57</v>
      </c>
      <c r="Y458" t="s">
        <v>30</v>
      </c>
    </row>
    <row r="459" spans="1:25" x14ac:dyDescent="0.25">
      <c r="A459">
        <v>33965</v>
      </c>
      <c r="B459" t="e">
        <f>_xlfn.CONCAT([2]!bron[[#This Row],[personeelsnr]]," ",C459," ",D459)</f>
        <v>#REF!</v>
      </c>
      <c r="C459" t="str">
        <f>VLOOKUP(bron[[#This Row],[personeelsnr]],'data hastus'!$A:$C,2,0)</f>
        <v>Van de Gehuchte</v>
      </c>
      <c r="D459" t="str">
        <f>VLOOKUP(bron[[#This Row],[personeelsnr]],'data hastus'!$A:$C,3,0)</f>
        <v>Gilles</v>
      </c>
      <c r="E459" t="str">
        <f>VLOOKUP(bron[[#This Row],[personeelsnr]],'data hastus'!A:K,11,FALSE)</f>
        <v>Kenneth De Rick</v>
      </c>
      <c r="F459" s="10"/>
      <c r="G459" s="7"/>
      <c r="H459" s="7"/>
      <c r="I459" s="7"/>
      <c r="N459" s="5">
        <v>1</v>
      </c>
      <c r="S459" s="5">
        <f>SUM(bron[[#This Row],[Januari]:[December]])</f>
        <v>1</v>
      </c>
      <c r="T459" s="9">
        <v>45524</v>
      </c>
      <c r="U459" s="8" t="s">
        <v>795</v>
      </c>
      <c r="V459" s="8"/>
      <c r="W459" s="8">
        <v>1</v>
      </c>
      <c r="X459" t="s">
        <v>58</v>
      </c>
      <c r="Y459" t="s">
        <v>113</v>
      </c>
    </row>
    <row r="460" spans="1:25" x14ac:dyDescent="0.25">
      <c r="A460">
        <v>14665</v>
      </c>
      <c r="B460" t="e">
        <f>_xlfn.CONCAT([2]!bron[[#This Row],[personeelsnr]]," ",C460," ",D460)</f>
        <v>#REF!</v>
      </c>
      <c r="C460" t="str">
        <f>VLOOKUP(bron[[#This Row],[personeelsnr]],'data hastus'!$A:$C,2,0)</f>
        <v>De Mulder</v>
      </c>
      <c r="D460" t="str">
        <f>VLOOKUP(bron[[#This Row],[personeelsnr]],'data hastus'!$A:$C,3,0)</f>
        <v>Philip</v>
      </c>
      <c r="E460" t="str">
        <f>VLOOKUP(bron[[#This Row],[personeelsnr]],'data hastus'!A:K,11,FALSE)</f>
        <v>Bart Van Der Beken</v>
      </c>
      <c r="F460" s="10"/>
      <c r="G460" s="7"/>
      <c r="H460" s="7"/>
      <c r="I460" s="7"/>
      <c r="N460" s="5">
        <v>1</v>
      </c>
      <c r="S460" s="5">
        <f>SUM(bron[[#This Row],[Januari]:[December]])</f>
        <v>1</v>
      </c>
      <c r="T460" s="9">
        <v>45523</v>
      </c>
      <c r="U460" s="8" t="s">
        <v>598</v>
      </c>
      <c r="V460" s="8">
        <v>1</v>
      </c>
      <c r="W460" s="8"/>
      <c r="X460" t="s">
        <v>57</v>
      </c>
      <c r="Y460" t="s">
        <v>19</v>
      </c>
    </row>
    <row r="461" spans="1:25" x14ac:dyDescent="0.25">
      <c r="A461">
        <v>9999</v>
      </c>
      <c r="B461" t="str">
        <f>_xlfn.CONCAT([2]!bron[[#This Row],[personeelsnr]]," ",C461," ",D461)</f>
        <v>9999 - -</v>
      </c>
      <c r="C461" t="s">
        <v>2919</v>
      </c>
      <c r="D461" t="s">
        <v>2919</v>
      </c>
      <c r="E461" t="s">
        <v>810</v>
      </c>
      <c r="F461" s="10"/>
      <c r="G461" s="7"/>
      <c r="H461" s="7"/>
      <c r="I461" s="7"/>
      <c r="N461" s="5">
        <v>1</v>
      </c>
      <c r="S461" s="5">
        <f>SUM(bron[[#This Row],[Januari]:[December]])</f>
        <v>1</v>
      </c>
      <c r="T461" s="9">
        <v>45523</v>
      </c>
      <c r="U461" s="8" t="s">
        <v>599</v>
      </c>
      <c r="V461" s="8">
        <v>1</v>
      </c>
      <c r="W461" s="8"/>
      <c r="X461" t="s">
        <v>57</v>
      </c>
      <c r="Y461" t="s">
        <v>21</v>
      </c>
    </row>
    <row r="462" spans="1:25" x14ac:dyDescent="0.25">
      <c r="A462">
        <v>31165</v>
      </c>
      <c r="B462" t="e">
        <f>_xlfn.CONCAT([2]!bron[[#This Row],[personeelsnr]]," ",C462," ",D462)</f>
        <v>#REF!</v>
      </c>
      <c r="C462" t="str">
        <f>VLOOKUP(bron[[#This Row],[personeelsnr]],'data hastus'!$A:$C,2,0)</f>
        <v>Govaerts</v>
      </c>
      <c r="D462" t="str">
        <f>VLOOKUP(bron[[#This Row],[personeelsnr]],'data hastus'!$A:$C,3,0)</f>
        <v>Sandro</v>
      </c>
      <c r="E462" t="str">
        <f>VLOOKUP(bron[[#This Row],[personeelsnr]],'data hastus'!A:K,11,FALSE)</f>
        <v>Lucie Vande Velde</v>
      </c>
      <c r="F462" s="10"/>
      <c r="G462" s="7"/>
      <c r="H462" s="7"/>
      <c r="I462" s="7"/>
      <c r="N462" s="5">
        <v>1</v>
      </c>
      <c r="S462" s="5">
        <f>SUM(bron[[#This Row],[Januari]:[December]])</f>
        <v>1</v>
      </c>
      <c r="T462" s="9">
        <v>45518</v>
      </c>
      <c r="U462" s="8" t="s">
        <v>595</v>
      </c>
      <c r="V462" s="8">
        <v>1</v>
      </c>
      <c r="W462" s="8"/>
      <c r="X462" t="s">
        <v>57</v>
      </c>
      <c r="Y462" t="s">
        <v>20</v>
      </c>
    </row>
    <row r="463" spans="1:25" x14ac:dyDescent="0.25">
      <c r="A463">
        <v>9999</v>
      </c>
      <c r="B463" t="str">
        <f>_xlfn.CONCAT([2]!bron[[#This Row],[personeelsnr]]," ",C463," ",D463)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N463" s="5">
        <v>1</v>
      </c>
      <c r="S463" s="5">
        <f>SUM(bron[[#This Row],[Januari]:[December]])</f>
        <v>1</v>
      </c>
      <c r="T463" s="9">
        <v>45518</v>
      </c>
      <c r="U463" s="8" t="s">
        <v>596</v>
      </c>
      <c r="V463" s="8">
        <v>1</v>
      </c>
      <c r="W463" s="8"/>
      <c r="X463" t="s">
        <v>57</v>
      </c>
      <c r="Y463" t="s">
        <v>89</v>
      </c>
    </row>
    <row r="464" spans="1:25" x14ac:dyDescent="0.25">
      <c r="A464">
        <v>8016</v>
      </c>
      <c r="B464" t="e">
        <f>_xlfn.CONCAT([2]!bron[[#This Row],[personeelsnr]]," ",C464," ",D464)</f>
        <v>#REF!</v>
      </c>
      <c r="C464" t="str">
        <f>VLOOKUP(bron[[#This Row],[personeelsnr]],'data hastus'!$A:$C,2,0)</f>
        <v>Vinck</v>
      </c>
      <c r="D464" t="str">
        <f>VLOOKUP(bron[[#This Row],[personeelsnr]],'data hastus'!$A:$C,3,0)</f>
        <v>Roland</v>
      </c>
      <c r="E464" t="str">
        <f>VLOOKUP(bron[[#This Row],[personeelsnr]],'data hastus'!A:K,11,FALSE)</f>
        <v>Dominique De Clercq</v>
      </c>
      <c r="F464" s="10"/>
      <c r="G464" s="7"/>
      <c r="H464" s="7"/>
      <c r="I464" s="7"/>
      <c r="N464" s="5">
        <v>1</v>
      </c>
      <c r="S464" s="5">
        <f>SUM(bron[[#This Row],[Januari]:[December]])</f>
        <v>1</v>
      </c>
      <c r="T464" s="9">
        <v>45518</v>
      </c>
      <c r="U464" s="8" t="s">
        <v>597</v>
      </c>
      <c r="V464" s="8"/>
      <c r="W464" s="8">
        <v>1</v>
      </c>
      <c r="X464" t="s">
        <v>58</v>
      </c>
      <c r="Y464" t="s">
        <v>183</v>
      </c>
    </row>
    <row r="465" spans="1:25" x14ac:dyDescent="0.25">
      <c r="A465">
        <v>29179</v>
      </c>
      <c r="B465" t="e">
        <f>_xlfn.CONCAT([2]!bron[[#This Row],[personeelsnr]]," ",C465," ",D465)</f>
        <v>#REF!</v>
      </c>
      <c r="C465" t="str">
        <f>VLOOKUP(bron[[#This Row],[personeelsnr]],'data hastus'!$A:$C,2,0)</f>
        <v>Verwee</v>
      </c>
      <c r="D465" t="str">
        <f>VLOOKUP(bron[[#This Row],[personeelsnr]],'data hastus'!$A:$C,3,0)</f>
        <v>Dries</v>
      </c>
      <c r="E465" t="str">
        <f>VLOOKUP(bron[[#This Row],[personeelsnr]],'data hastus'!A:K,11,FALSE)</f>
        <v>Els Dewulf</v>
      </c>
      <c r="F465" s="10"/>
      <c r="G465" s="7"/>
      <c r="H465" s="7"/>
      <c r="I465" s="7"/>
      <c r="N465" s="5">
        <v>1</v>
      </c>
      <c r="S465" s="5">
        <f>SUM(bron[[#This Row],[Januari]:[December]])</f>
        <v>1</v>
      </c>
      <c r="T465" s="9">
        <v>45515</v>
      </c>
      <c r="U465" s="8" t="s">
        <v>594</v>
      </c>
      <c r="V465" s="8">
        <v>1</v>
      </c>
      <c r="W465" s="8"/>
      <c r="X465" t="s">
        <v>57</v>
      </c>
      <c r="Y465" t="s">
        <v>47</v>
      </c>
    </row>
    <row r="466" spans="1:25" x14ac:dyDescent="0.25">
      <c r="A466">
        <v>17931</v>
      </c>
      <c r="B466" t="e">
        <f>_xlfn.CONCAT([2]!bron[[#This Row],[personeelsnr]]," ",C466," ",D466)</f>
        <v>#REF!</v>
      </c>
      <c r="C466" t="str">
        <f>VLOOKUP(bron[[#This Row],[personeelsnr]],'data hastus'!$A:$C,2,0)</f>
        <v>Idrisi</v>
      </c>
      <c r="D466" t="str">
        <f>VLOOKUP(bron[[#This Row],[personeelsnr]],'data hastus'!$A:$C,3,0)</f>
        <v>Hasana</v>
      </c>
      <c r="E466" t="str">
        <f>VLOOKUP(bron[[#This Row],[personeelsnr]],'data hastus'!A:K,11,FALSE)</f>
        <v>Els Dewulf</v>
      </c>
      <c r="F466" s="10"/>
      <c r="G466" s="7"/>
      <c r="H466" s="7"/>
      <c r="I466" s="7"/>
      <c r="N466" s="5">
        <v>1</v>
      </c>
      <c r="S466" s="5">
        <f>SUM(bron[[#This Row],[Januari]:[December]])</f>
        <v>1</v>
      </c>
      <c r="T466" s="9">
        <v>45513</v>
      </c>
      <c r="U466" s="8" t="s">
        <v>593</v>
      </c>
      <c r="V466" s="8"/>
      <c r="W466" s="8">
        <v>1</v>
      </c>
      <c r="X466" t="s">
        <v>58</v>
      </c>
      <c r="Y466" t="s">
        <v>68</v>
      </c>
    </row>
    <row r="467" spans="1:25" x14ac:dyDescent="0.25">
      <c r="A467">
        <v>8016</v>
      </c>
      <c r="B467" t="e">
        <f>_xlfn.CONCAT([2]!bron[[#This Row],[personeelsnr]]," ",C467," ",D467)</f>
        <v>#REF!</v>
      </c>
      <c r="C467" t="str">
        <f>VLOOKUP(bron[[#This Row],[personeelsnr]],'data hastus'!$A:$C,2,0)</f>
        <v>Vinck</v>
      </c>
      <c r="D467" t="str">
        <f>VLOOKUP(bron[[#This Row],[personeelsnr]],'data hastus'!$A:$C,3,0)</f>
        <v>Roland</v>
      </c>
      <c r="E467" t="str">
        <f>VLOOKUP(bron[[#This Row],[personeelsnr]],'data hastus'!A:K,11,FALSE)</f>
        <v>Dominique De Clercq</v>
      </c>
      <c r="F467" s="10"/>
      <c r="G467" s="7"/>
      <c r="H467" s="7"/>
      <c r="I467" s="7"/>
      <c r="N467" s="5">
        <v>1</v>
      </c>
      <c r="S467" s="5">
        <f>SUM(bron[[#This Row],[Januari]:[December]])</f>
        <v>1</v>
      </c>
      <c r="T467" s="9">
        <v>45512</v>
      </c>
      <c r="U467" s="8" t="s">
        <v>592</v>
      </c>
      <c r="V467" s="8"/>
      <c r="W467" s="8">
        <v>1</v>
      </c>
      <c r="X467" t="s">
        <v>58</v>
      </c>
      <c r="Y467" t="s">
        <v>19</v>
      </c>
    </row>
    <row r="468" spans="1:25" x14ac:dyDescent="0.25">
      <c r="A468">
        <v>39889</v>
      </c>
      <c r="B468" t="e">
        <f>_xlfn.CONCAT([2]!bron[[#This Row],[personeelsnr]]," ",C468," ",D468)</f>
        <v>#REF!</v>
      </c>
      <c r="C468" t="str">
        <f>VLOOKUP(bron[[#This Row],[personeelsnr]],'data hastus'!$A:$C,2,0)</f>
        <v>Stanikazi</v>
      </c>
      <c r="D468" t="str">
        <f>VLOOKUP(bron[[#This Row],[personeelsnr]],'data hastus'!$A:$C,3,0)</f>
        <v>Roien Sadder</v>
      </c>
      <c r="E468" t="str">
        <f>VLOOKUP(bron[[#This Row],[personeelsnr]],'data hastus'!A:K,11,FALSE)</f>
        <v>Steven Storm</v>
      </c>
      <c r="F468" s="10"/>
      <c r="G468" s="7"/>
      <c r="H468" s="7"/>
      <c r="I468" s="7"/>
      <c r="N468" s="5">
        <v>1</v>
      </c>
      <c r="S468" s="5">
        <f>SUM(bron[[#This Row],[Januari]:[December]])</f>
        <v>1</v>
      </c>
      <c r="T468" s="9">
        <v>45509</v>
      </c>
      <c r="U468" s="8" t="s">
        <v>591</v>
      </c>
      <c r="V468" s="8">
        <v>1</v>
      </c>
      <c r="W468" s="8"/>
      <c r="X468" t="s">
        <v>57</v>
      </c>
      <c r="Y468" t="s">
        <v>18</v>
      </c>
    </row>
    <row r="469" spans="1:25" x14ac:dyDescent="0.25">
      <c r="A469">
        <v>37662</v>
      </c>
      <c r="B469" t="e">
        <f>_xlfn.CONCAT([2]!bron[[#This Row],[personeelsnr]]," ",C469," ",D469)</f>
        <v>#REF!</v>
      </c>
      <c r="C469" t="str">
        <f>VLOOKUP(bron[[#This Row],[personeelsnr]],'data hastus'!$A:$C,2,0)</f>
        <v>Van den Meerssche</v>
      </c>
      <c r="D469" t="str">
        <f>VLOOKUP(bron[[#This Row],[personeelsnr]],'data hastus'!$A:$C,3,0)</f>
        <v>Steven</v>
      </c>
      <c r="E469" t="str">
        <f>VLOOKUP(bron[[#This Row],[personeelsnr]],'data hastus'!A:K,11,FALSE)</f>
        <v>Bart Van Der Beken</v>
      </c>
      <c r="F469" s="10"/>
      <c r="G469" s="7"/>
      <c r="H469" s="7"/>
      <c r="I469" s="7"/>
      <c r="N469" s="5">
        <v>1</v>
      </c>
      <c r="S469" s="5">
        <f>SUM(bron[[#This Row],[Januari]:[December]])</f>
        <v>1</v>
      </c>
      <c r="T469" s="9">
        <v>45508</v>
      </c>
      <c r="U469" s="8" t="s">
        <v>590</v>
      </c>
      <c r="V469" s="8">
        <v>1</v>
      </c>
      <c r="W469" s="8"/>
      <c r="X469" t="s">
        <v>57</v>
      </c>
      <c r="Y469" t="s">
        <v>19</v>
      </c>
    </row>
    <row r="470" spans="1:25" x14ac:dyDescent="0.25">
      <c r="A470">
        <v>36512</v>
      </c>
      <c r="B470" t="e">
        <f>_xlfn.CONCAT([2]!bron[[#This Row],[personeelsnr]]," ",C470," ",D470)</f>
        <v>#REF!</v>
      </c>
      <c r="C470" t="str">
        <f>VLOOKUP(bron[[#This Row],[personeelsnr]],'data hastus'!$A:$C,2,0)</f>
        <v>Van Herreweghe</v>
      </c>
      <c r="D470" t="str">
        <f>VLOOKUP(bron[[#This Row],[personeelsnr]],'data hastus'!$A:$C,3,0)</f>
        <v>Branco</v>
      </c>
      <c r="E470" t="str">
        <f>VLOOKUP(bron[[#This Row],[personeelsnr]],'data hastus'!A:K,11,FALSE)</f>
        <v>Steven Storm</v>
      </c>
      <c r="F470" s="10"/>
      <c r="G470" s="7"/>
      <c r="H470" s="7"/>
      <c r="I470" s="7"/>
      <c r="N470" s="5">
        <v>1</v>
      </c>
      <c r="S470" s="5">
        <f>SUM(bron[[#This Row],[Januari]:[December]])</f>
        <v>1</v>
      </c>
      <c r="T470" s="9">
        <v>45507</v>
      </c>
      <c r="U470" s="8" t="s">
        <v>588</v>
      </c>
      <c r="V470" s="8">
        <v>1</v>
      </c>
      <c r="W470" s="8"/>
      <c r="X470" t="s">
        <v>57</v>
      </c>
      <c r="Y470" t="s">
        <v>62</v>
      </c>
    </row>
    <row r="471" spans="1:25" x14ac:dyDescent="0.25">
      <c r="A471">
        <v>39929</v>
      </c>
      <c r="B471" t="e">
        <f>_xlfn.CONCAT([2]!bron[[#This Row],[personeelsnr]]," ",C471," ",D471)</f>
        <v>#REF!</v>
      </c>
      <c r="C471" t="str">
        <f>VLOOKUP(bron[[#This Row],[personeelsnr]],'data hastus'!$A:$C,2,0)</f>
        <v>Staneva</v>
      </c>
      <c r="D471" t="str">
        <f>VLOOKUP(bron[[#This Row],[personeelsnr]],'data hastus'!$A:$C,3,0)</f>
        <v>Mariyana</v>
      </c>
      <c r="E471" t="str">
        <f>VLOOKUP(bron[[#This Row],[personeelsnr]],'data hastus'!A:K,11,FALSE)</f>
        <v>Christoff Rotty</v>
      </c>
      <c r="F471" s="10"/>
      <c r="G471" s="7"/>
      <c r="H471" s="7"/>
      <c r="I471" s="7"/>
      <c r="N471" s="5">
        <v>1</v>
      </c>
      <c r="S471" s="5">
        <f>SUM(bron[[#This Row],[Januari]:[December]])</f>
        <v>1</v>
      </c>
      <c r="T471" s="9">
        <v>45507</v>
      </c>
      <c r="U471" s="8" t="s">
        <v>589</v>
      </c>
      <c r="V471" s="8">
        <v>1</v>
      </c>
      <c r="W471" s="8"/>
      <c r="X471" t="s">
        <v>57</v>
      </c>
      <c r="Y471" t="s">
        <v>72</v>
      </c>
    </row>
    <row r="472" spans="1:25" x14ac:dyDescent="0.25">
      <c r="A472">
        <v>9999</v>
      </c>
      <c r="B472" t="str">
        <f>_xlfn.CONCAT([2]!bron[[#This Row],[personeelsnr]]," ",C472," ",D472)</f>
        <v>9999 - -</v>
      </c>
      <c r="C472" t="s">
        <v>2919</v>
      </c>
      <c r="D472" t="s">
        <v>2919</v>
      </c>
      <c r="E472" t="s">
        <v>810</v>
      </c>
      <c r="F472" s="10"/>
      <c r="G472" s="7"/>
      <c r="H472" s="7"/>
      <c r="I472" s="7"/>
      <c r="N472" s="5">
        <v>1</v>
      </c>
      <c r="S472" s="5">
        <f>SUM(bron[[#This Row],[Januari]:[December]])</f>
        <v>1</v>
      </c>
      <c r="T472" s="9">
        <v>45506</v>
      </c>
      <c r="U472" s="8" t="s">
        <v>586</v>
      </c>
      <c r="V472" s="8">
        <v>1</v>
      </c>
      <c r="W472" s="8"/>
      <c r="X472" t="s">
        <v>57</v>
      </c>
      <c r="Y472" t="s">
        <v>29</v>
      </c>
    </row>
    <row r="473" spans="1:25" x14ac:dyDescent="0.25">
      <c r="A473">
        <v>9999</v>
      </c>
      <c r="B473" t="str">
        <f>_xlfn.CONCAT([2]!bron[[#This Row],[personeelsnr]]," ",C473," ",D473)</f>
        <v>9999 - -</v>
      </c>
      <c r="C473" t="s">
        <v>2919</v>
      </c>
      <c r="D473" t="s">
        <v>2919</v>
      </c>
      <c r="E473" t="s">
        <v>810</v>
      </c>
      <c r="F473" s="10"/>
      <c r="G473" s="7"/>
      <c r="H473" s="7"/>
      <c r="I473" s="7"/>
      <c r="N473" s="5">
        <v>1</v>
      </c>
      <c r="S473" s="5">
        <f>SUM(bron[[#This Row],[Januari]:[December]])</f>
        <v>1</v>
      </c>
      <c r="T473" s="9">
        <v>45506</v>
      </c>
      <c r="U473" s="8" t="s">
        <v>587</v>
      </c>
      <c r="V473" s="8">
        <v>1</v>
      </c>
      <c r="W473" s="8"/>
      <c r="X473" t="s">
        <v>57</v>
      </c>
      <c r="Y473" t="s">
        <v>389</v>
      </c>
    </row>
    <row r="474" spans="1:25" x14ac:dyDescent="0.25">
      <c r="A474">
        <v>36428</v>
      </c>
      <c r="B474" t="e">
        <f>_xlfn.CONCAT([2]!bron[[#This Row],[personeelsnr]]," ",C474," ",D474)</f>
        <v>#REF!</v>
      </c>
      <c r="C474" t="str">
        <f>VLOOKUP(bron[[#This Row],[personeelsnr]],'data hastus'!$A:$C,2,0)</f>
        <v>Abdi Shaiye</v>
      </c>
      <c r="D474" t="str">
        <f>VLOOKUP(bron[[#This Row],[personeelsnr]],'data hastus'!$A:$C,3,0)</f>
        <v>Rashid</v>
      </c>
      <c r="E474" t="str">
        <f>VLOOKUP(bron[[#This Row],[personeelsnr]],'data hastus'!A:K,11,FALSE)</f>
        <v>Lucie Vande Velde</v>
      </c>
      <c r="F474" s="10"/>
      <c r="G474" s="7"/>
      <c r="H474" s="7"/>
      <c r="I474" s="7"/>
      <c r="N474" s="5">
        <v>1</v>
      </c>
      <c r="S474" s="5">
        <f>SUM(bron[[#This Row],[Januari]:[December]])</f>
        <v>1</v>
      </c>
      <c r="T474" s="9">
        <v>45505</v>
      </c>
      <c r="U474" s="8" t="s">
        <v>585</v>
      </c>
      <c r="V474" s="8">
        <v>1</v>
      </c>
      <c r="W474" s="8"/>
      <c r="X474" t="s">
        <v>57</v>
      </c>
      <c r="Y474" t="s">
        <v>18</v>
      </c>
    </row>
    <row r="475" spans="1:25" x14ac:dyDescent="0.25">
      <c r="A475">
        <v>40403</v>
      </c>
      <c r="B475" t="e">
        <f>_xlfn.CONCAT([2]!bron[[#This Row],[personeelsnr]]," ",C475," ",D475)</f>
        <v>#REF!</v>
      </c>
      <c r="C475" t="str">
        <f>VLOOKUP(bron[[#This Row],[personeelsnr]],'data hastus'!$A:$C,2,0)</f>
        <v>Prové</v>
      </c>
      <c r="D475" t="str">
        <f>VLOOKUP(bron[[#This Row],[personeelsnr]],'data hastus'!$A:$C,3,0)</f>
        <v>Michaël</v>
      </c>
      <c r="E475" t="str">
        <f>VLOOKUP(bron[[#This Row],[personeelsnr]],'data hastus'!A:K,11,FALSE)</f>
        <v>Dominique De Clercq</v>
      </c>
      <c r="F475" s="10"/>
      <c r="G475" s="7"/>
      <c r="H475" s="7"/>
      <c r="I475" s="7"/>
      <c r="M475" s="5">
        <v>1</v>
      </c>
      <c r="S475" s="5">
        <f>SUM(bron[[#This Row],[Januari]:[December]])</f>
        <v>1</v>
      </c>
      <c r="T475" s="9">
        <v>45503</v>
      </c>
      <c r="U475" s="8" t="s">
        <v>583</v>
      </c>
      <c r="V475" s="8">
        <v>1</v>
      </c>
      <c r="W475" s="8"/>
      <c r="X475" t="s">
        <v>57</v>
      </c>
      <c r="Y475" t="s">
        <v>53</v>
      </c>
    </row>
    <row r="476" spans="1:25" x14ac:dyDescent="0.25">
      <c r="A476">
        <v>26137</v>
      </c>
      <c r="B476" t="e">
        <f>_xlfn.CONCAT([2]!bron[[#This Row],[personeelsnr]]," ",C476," ",D476)</f>
        <v>#REF!</v>
      </c>
      <c r="C476" t="str">
        <f>VLOOKUP(bron[[#This Row],[personeelsnr]],'data hastus'!$A:$C,2,0)</f>
        <v>Hublau</v>
      </c>
      <c r="D476" t="str">
        <f>VLOOKUP(bron[[#This Row],[personeelsnr]],'data hastus'!$A:$C,3,0)</f>
        <v>Roland</v>
      </c>
      <c r="E476" t="str">
        <f>VLOOKUP(bron[[#This Row],[personeelsnr]],'data hastus'!A:K,11,FALSE)</f>
        <v>Steven Storm</v>
      </c>
      <c r="F476" s="10"/>
      <c r="G476" s="7"/>
      <c r="H476" s="7"/>
      <c r="I476" s="7"/>
      <c r="M476" s="5">
        <v>1</v>
      </c>
      <c r="S476" s="5">
        <f>SUM(bron[[#This Row],[Januari]:[December]])</f>
        <v>1</v>
      </c>
      <c r="T476" s="9">
        <v>45503</v>
      </c>
      <c r="U476" s="8" t="s">
        <v>584</v>
      </c>
      <c r="V476" s="8"/>
      <c r="W476" s="8">
        <v>1</v>
      </c>
      <c r="X476" t="s">
        <v>58</v>
      </c>
      <c r="Y476" t="s">
        <v>19</v>
      </c>
    </row>
    <row r="477" spans="1:25" x14ac:dyDescent="0.25">
      <c r="A477">
        <v>26198</v>
      </c>
      <c r="B477" t="e">
        <f>_xlfn.CONCAT([2]!bron[[#This Row],[personeelsnr]]," ",C477," ",D477)</f>
        <v>#REF!</v>
      </c>
      <c r="C477" t="str">
        <f>VLOOKUP(bron[[#This Row],[personeelsnr]],'data hastus'!$A:$C,2,0)</f>
        <v>Justé</v>
      </c>
      <c r="D477" t="str">
        <f>VLOOKUP(bron[[#This Row],[personeelsnr]],'data hastus'!$A:$C,3,0)</f>
        <v>Steven</v>
      </c>
      <c r="E477" t="str">
        <f>VLOOKUP(bron[[#This Row],[personeelsnr]],'data hastus'!A:K,11,FALSE)</f>
        <v>Kenneth De Rick</v>
      </c>
      <c r="F477" s="10"/>
      <c r="G477" s="7"/>
      <c r="H477" s="7"/>
      <c r="I477" s="7"/>
      <c r="M477" s="5">
        <v>1</v>
      </c>
      <c r="S477" s="5">
        <f>SUM(bron[[#This Row],[Januari]:[December]])</f>
        <v>1</v>
      </c>
      <c r="T477" s="9">
        <v>45502</v>
      </c>
      <c r="U477" s="8" t="s">
        <v>579</v>
      </c>
      <c r="V477" s="8">
        <v>1</v>
      </c>
      <c r="W477" s="8"/>
      <c r="X477" t="s">
        <v>57</v>
      </c>
      <c r="Y477" t="s">
        <v>23</v>
      </c>
    </row>
    <row r="478" spans="1:25" x14ac:dyDescent="0.25">
      <c r="A478">
        <v>36337</v>
      </c>
      <c r="B478" t="e">
        <f>_xlfn.CONCAT([2]!bron[[#This Row],[personeelsnr]]," ",C478," ",D478)</f>
        <v>#REF!</v>
      </c>
      <c r="C478" t="str">
        <f>VLOOKUP(bron[[#This Row],[personeelsnr]],'data hastus'!$A:$C,2,0)</f>
        <v>Desmadryl</v>
      </c>
      <c r="D478" t="str">
        <f>VLOOKUP(bron[[#This Row],[personeelsnr]],'data hastus'!$A:$C,3,0)</f>
        <v>Daniel</v>
      </c>
      <c r="E478" t="str">
        <f>VLOOKUP(bron[[#This Row],[personeelsnr]],'data hastus'!A:K,11,FALSE)</f>
        <v>Kenneth De Rick</v>
      </c>
      <c r="F478" s="10"/>
      <c r="G478" s="7"/>
      <c r="H478" s="7"/>
      <c r="I478" s="7"/>
      <c r="M478" s="5">
        <v>1</v>
      </c>
      <c r="S478" s="5">
        <f>SUM(bron[[#This Row],[Januari]:[December]])</f>
        <v>1</v>
      </c>
      <c r="T478" s="9">
        <v>45502</v>
      </c>
      <c r="U478" s="8" t="s">
        <v>580</v>
      </c>
      <c r="V478" s="8"/>
      <c r="W478" s="8">
        <v>1</v>
      </c>
      <c r="X478" t="s">
        <v>58</v>
      </c>
      <c r="Y478" t="s">
        <v>18</v>
      </c>
    </row>
    <row r="479" spans="1:25" x14ac:dyDescent="0.25">
      <c r="A479">
        <v>20375</v>
      </c>
      <c r="B479" t="e">
        <f>_xlfn.CONCAT([2]!bron[[#This Row],[personeelsnr]]," ",C479," ",D479)</f>
        <v>#REF!</v>
      </c>
      <c r="C479" t="str">
        <f>VLOOKUP(bron[[#This Row],[personeelsnr]],'data hastus'!$A:$C,2,0)</f>
        <v>Verlaeckt</v>
      </c>
      <c r="D479" t="str">
        <f>VLOOKUP(bron[[#This Row],[personeelsnr]],'data hastus'!$A:$C,3,0)</f>
        <v>Lincey</v>
      </c>
      <c r="E479" t="str">
        <f>VLOOKUP(bron[[#This Row],[personeelsnr]],'data hastus'!A:K,11,FALSE)</f>
        <v>Dominique De Clercq</v>
      </c>
      <c r="F479" s="10"/>
      <c r="G479" s="7"/>
      <c r="H479" s="7"/>
      <c r="I479" s="7"/>
      <c r="M479" s="5">
        <v>1</v>
      </c>
      <c r="S479" s="5">
        <f>SUM(bron[[#This Row],[Januari]:[December]])</f>
        <v>1</v>
      </c>
      <c r="T479" s="9">
        <v>45502</v>
      </c>
      <c r="U479" s="8" t="s">
        <v>581</v>
      </c>
      <c r="V479" s="8"/>
      <c r="W479" s="8">
        <v>1</v>
      </c>
      <c r="X479" t="s">
        <v>58</v>
      </c>
      <c r="Y479" t="s">
        <v>100</v>
      </c>
    </row>
    <row r="480" spans="1:25" x14ac:dyDescent="0.25">
      <c r="A480">
        <v>13020</v>
      </c>
      <c r="B480" t="e">
        <f>_xlfn.CONCAT([2]!bron[[#This Row],[personeelsnr]]," ",C480," ",D480)</f>
        <v>#REF!</v>
      </c>
      <c r="C480" t="str">
        <f>VLOOKUP(bron[[#This Row],[personeelsnr]],'data hastus'!$A:$C,2,0)</f>
        <v>Boutiebi</v>
      </c>
      <c r="D480" t="str">
        <f>VLOOKUP(bron[[#This Row],[personeelsnr]],'data hastus'!$A:$C,3,0)</f>
        <v>Ahmed</v>
      </c>
      <c r="E480" t="str">
        <f>VLOOKUP(bron[[#This Row],[personeelsnr]],'data hastus'!A:K,11,FALSE)</f>
        <v>Lucie Vande Velde</v>
      </c>
      <c r="F480" s="10"/>
      <c r="G480" s="7"/>
      <c r="H480" s="7"/>
      <c r="I480" s="7"/>
      <c r="M480" s="5">
        <v>1</v>
      </c>
      <c r="S480" s="5">
        <f>SUM(bron[[#This Row],[Januari]:[December]])</f>
        <v>1</v>
      </c>
      <c r="T480" s="9">
        <v>45502</v>
      </c>
      <c r="U480" s="8" t="s">
        <v>582</v>
      </c>
      <c r="V480" s="8"/>
      <c r="W480" s="8">
        <v>1</v>
      </c>
      <c r="X480" t="s">
        <v>58</v>
      </c>
      <c r="Y480" t="s">
        <v>19</v>
      </c>
    </row>
    <row r="481" spans="1:25" x14ac:dyDescent="0.25">
      <c r="A481">
        <v>37950</v>
      </c>
      <c r="B481" t="e">
        <f>_xlfn.CONCAT([2]!bron[[#This Row],[personeelsnr]]," ",C481," ",D481)</f>
        <v>#REF!</v>
      </c>
      <c r="C481" t="str">
        <f>VLOOKUP(bron[[#This Row],[personeelsnr]],'data hastus'!$A:$C,2,0)</f>
        <v>De Naegel</v>
      </c>
      <c r="D481" t="str">
        <f>VLOOKUP(bron[[#This Row],[personeelsnr]],'data hastus'!$A:$C,3,0)</f>
        <v>Bruno</v>
      </c>
      <c r="E481" t="str">
        <f>VLOOKUP(bron[[#This Row],[personeelsnr]],'data hastus'!A:K,11,FALSE)</f>
        <v>Dominique De Clercq</v>
      </c>
      <c r="F481" s="10"/>
      <c r="G481" s="7"/>
      <c r="H481" s="7"/>
      <c r="I481" s="7"/>
      <c r="M481" s="5">
        <v>1</v>
      </c>
      <c r="S481" s="5">
        <f>SUM(bron[[#This Row],[Januari]:[December]])</f>
        <v>1</v>
      </c>
      <c r="T481" s="9">
        <v>45500</v>
      </c>
      <c r="U481" s="8" t="s">
        <v>578</v>
      </c>
      <c r="V481" s="8">
        <v>1</v>
      </c>
      <c r="W481" s="8"/>
      <c r="X481" t="s">
        <v>57</v>
      </c>
      <c r="Y481" t="s">
        <v>128</v>
      </c>
    </row>
    <row r="482" spans="1:25" x14ac:dyDescent="0.25">
      <c r="A482">
        <v>38808</v>
      </c>
      <c r="B482" t="e">
        <f>_xlfn.CONCAT([2]!bron[[#This Row],[personeelsnr]]," ",C482," ",D482)</f>
        <v>#REF!</v>
      </c>
      <c r="C482" t="str">
        <f>VLOOKUP(bron[[#This Row],[personeelsnr]],'data hastus'!$A:$C,2,0)</f>
        <v>Wasen</v>
      </c>
      <c r="D482" t="str">
        <f>VLOOKUP(bron[[#This Row],[personeelsnr]],'data hastus'!$A:$C,3,0)</f>
        <v>Jens</v>
      </c>
      <c r="E482" t="str">
        <f>VLOOKUP(bron[[#This Row],[personeelsnr]],'data hastus'!A:K,11,FALSE)</f>
        <v>Els Dewulf</v>
      </c>
      <c r="F482" s="10"/>
      <c r="G482" s="7"/>
      <c r="H482" s="7"/>
      <c r="I482" s="7"/>
      <c r="M482" s="5">
        <v>1</v>
      </c>
      <c r="S482" s="5">
        <f>SUM(bron[[#This Row],[Januari]:[December]])</f>
        <v>1</v>
      </c>
      <c r="T482" s="9">
        <v>45498</v>
      </c>
      <c r="U482" s="8" t="s">
        <v>575</v>
      </c>
      <c r="V482" s="8">
        <v>1</v>
      </c>
      <c r="W482" s="8"/>
      <c r="X482" t="s">
        <v>57</v>
      </c>
      <c r="Y482" t="s">
        <v>18</v>
      </c>
    </row>
    <row r="483" spans="1:25" x14ac:dyDescent="0.25">
      <c r="A483">
        <v>40478</v>
      </c>
      <c r="B483" t="e">
        <f>_xlfn.CONCAT([2]!bron[[#This Row],[personeelsnr]]," ",C483," ",D483)</f>
        <v>#REF!</v>
      </c>
      <c r="C483" t="str">
        <f>VLOOKUP(bron[[#This Row],[personeelsnr]],'data hastus'!$A:$C,2,0)</f>
        <v>Hashimi</v>
      </c>
      <c r="D483" t="str">
        <f>VLOOKUP(bron[[#This Row],[personeelsnr]],'data hastus'!$A:$C,3,0)</f>
        <v>Ali Mir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M483" s="5">
        <v>1</v>
      </c>
      <c r="S483" s="5">
        <f>SUM(bron[[#This Row],[Januari]:[December]])</f>
        <v>1</v>
      </c>
      <c r="T483" s="9">
        <v>45498</v>
      </c>
      <c r="U483" s="8" t="s">
        <v>576</v>
      </c>
      <c r="V483" s="8">
        <v>1</v>
      </c>
      <c r="W483" s="8"/>
      <c r="X483" t="s">
        <v>57</v>
      </c>
      <c r="Y483" t="s">
        <v>389</v>
      </c>
    </row>
    <row r="484" spans="1:25" x14ac:dyDescent="0.25">
      <c r="A484">
        <v>32387</v>
      </c>
      <c r="B484" t="e">
        <f>_xlfn.CONCAT([2]!bron[[#This Row],[personeelsnr]]," ",C484," ",D484)</f>
        <v>#REF!</v>
      </c>
      <c r="C484" t="str">
        <f>VLOOKUP(bron[[#This Row],[personeelsnr]],'data hastus'!$A:$C,2,0)</f>
        <v>Meersman</v>
      </c>
      <c r="D484" t="str">
        <f>VLOOKUP(bron[[#This Row],[personeelsnr]],'data hastus'!$A:$C,3,0)</f>
        <v>Herman</v>
      </c>
      <c r="E484" t="str">
        <f>VLOOKUP(bron[[#This Row],[personeelsnr]],'data hastus'!A:K,11,FALSE)</f>
        <v>Steven Storm</v>
      </c>
      <c r="F484" s="10"/>
      <c r="G484" s="7"/>
      <c r="H484" s="7"/>
      <c r="I484" s="7"/>
      <c r="M484" s="5">
        <v>1</v>
      </c>
      <c r="S484" s="5">
        <f>SUM(bron[[#This Row],[Januari]:[December]])</f>
        <v>1</v>
      </c>
      <c r="T484" s="9">
        <v>45498</v>
      </c>
      <c r="U484" s="8" t="s">
        <v>577</v>
      </c>
      <c r="V484" s="8"/>
      <c r="W484" s="8">
        <v>1</v>
      </c>
      <c r="X484" t="s">
        <v>58</v>
      </c>
      <c r="Y484" t="s">
        <v>18</v>
      </c>
    </row>
    <row r="485" spans="1:25" x14ac:dyDescent="0.25">
      <c r="A485">
        <v>39610</v>
      </c>
      <c r="B485" t="e">
        <f>_xlfn.CONCAT([2]!bron[[#This Row],[personeelsnr]]," ",C485," ",D485)</f>
        <v>#REF!</v>
      </c>
      <c r="C485" t="str">
        <f>VLOOKUP(bron[[#This Row],[personeelsnr]],'data hastus'!$A:$C,2,0)</f>
        <v>Sayin</v>
      </c>
      <c r="D485" t="str">
        <f>VLOOKUP(bron[[#This Row],[personeelsnr]],'data hastus'!$A:$C,3,0)</f>
        <v>Batuhan</v>
      </c>
      <c r="E485" t="str">
        <f>VLOOKUP(bron[[#This Row],[personeelsnr]],'data hastus'!A:K,11,FALSE)</f>
        <v>Bart Van Der Beken</v>
      </c>
      <c r="F485" s="10"/>
      <c r="G485" s="7"/>
      <c r="H485" s="7"/>
      <c r="I485" s="7"/>
      <c r="M485" s="5">
        <v>1</v>
      </c>
      <c r="S485" s="5">
        <f>SUM(bron[[#This Row],[Januari]:[December]])</f>
        <v>1</v>
      </c>
      <c r="T485" s="9">
        <v>45497</v>
      </c>
      <c r="U485" s="8" t="s">
        <v>572</v>
      </c>
      <c r="V485" s="8">
        <v>1</v>
      </c>
      <c r="W485" s="8"/>
      <c r="X485" t="s">
        <v>57</v>
      </c>
      <c r="Y485" t="s">
        <v>18</v>
      </c>
    </row>
    <row r="486" spans="1:25" x14ac:dyDescent="0.25">
      <c r="A486">
        <v>37131</v>
      </c>
      <c r="B486" t="e">
        <f>_xlfn.CONCAT([2]!bron[[#This Row],[personeelsnr]]," ",C486," ",D486)</f>
        <v>#REF!</v>
      </c>
      <c r="C486" t="str">
        <f>VLOOKUP(bron[[#This Row],[personeelsnr]],'data hastus'!$A:$C,2,0)</f>
        <v>Saritag</v>
      </c>
      <c r="D486" t="str">
        <f>VLOOKUP(bron[[#This Row],[personeelsnr]],'data hastus'!$A:$C,3,0)</f>
        <v>Mehmed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M486" s="5">
        <v>1</v>
      </c>
      <c r="S486" s="5">
        <f>SUM(bron[[#This Row],[Januari]:[December]])</f>
        <v>1</v>
      </c>
      <c r="T486" s="9">
        <v>45497</v>
      </c>
      <c r="U486" s="8" t="s">
        <v>573</v>
      </c>
      <c r="V486" s="8">
        <v>1</v>
      </c>
      <c r="W486" s="8"/>
      <c r="X486" t="s">
        <v>57</v>
      </c>
      <c r="Y486" t="s">
        <v>18</v>
      </c>
    </row>
    <row r="487" spans="1:25" x14ac:dyDescent="0.25">
      <c r="A487">
        <v>28794</v>
      </c>
      <c r="B487" t="e">
        <f>_xlfn.CONCAT([2]!bron[[#This Row],[personeelsnr]]," ",C487," ",D487)</f>
        <v>#REF!</v>
      </c>
      <c r="C487" t="str">
        <f>VLOOKUP(bron[[#This Row],[personeelsnr]],'data hastus'!$A:$C,2,0)</f>
        <v>Van Malderghem</v>
      </c>
      <c r="D487" t="str">
        <f>VLOOKUP(bron[[#This Row],[personeelsnr]],'data hastus'!$A:$C,3,0)</f>
        <v>Niels</v>
      </c>
      <c r="E487" t="str">
        <f>VLOOKUP(bron[[#This Row],[personeelsnr]],'data hastus'!A:K,11,FALSE)</f>
        <v>Lucie Vande Velde</v>
      </c>
      <c r="F487" s="10"/>
      <c r="G487" s="7"/>
      <c r="H487" s="7"/>
      <c r="I487" s="7"/>
      <c r="M487" s="5">
        <v>1</v>
      </c>
      <c r="S487" s="5">
        <f>SUM(bron[[#This Row],[Januari]:[December]])</f>
        <v>1</v>
      </c>
      <c r="T487" s="9">
        <v>45497</v>
      </c>
      <c r="U487" s="8" t="s">
        <v>574</v>
      </c>
      <c r="V487" s="8">
        <v>1</v>
      </c>
      <c r="W487" s="8"/>
      <c r="X487" t="s">
        <v>57</v>
      </c>
      <c r="Y487" t="s">
        <v>62</v>
      </c>
    </row>
    <row r="488" spans="1:25" x14ac:dyDescent="0.25">
      <c r="A488">
        <v>28830</v>
      </c>
      <c r="B488" t="e">
        <f>_xlfn.CONCAT([2]!bron[[#This Row],[personeelsnr]]," ",C488," ",D488)</f>
        <v>#REF!</v>
      </c>
      <c r="C488" t="str">
        <f>VLOOKUP(bron[[#This Row],[personeelsnr]],'data hastus'!$A:$C,2,0)</f>
        <v>Isiklar</v>
      </c>
      <c r="D488" t="str">
        <f>VLOOKUP(bron[[#This Row],[personeelsnr]],'data hastus'!$A:$C,3,0)</f>
        <v>Okan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M488" s="5">
        <v>1</v>
      </c>
      <c r="S488" s="5">
        <f>SUM(bron[[#This Row],[Januari]:[December]])</f>
        <v>1</v>
      </c>
      <c r="T488" s="9">
        <v>45496</v>
      </c>
      <c r="U488" s="8" t="s">
        <v>571</v>
      </c>
      <c r="V488" s="8">
        <v>1</v>
      </c>
      <c r="W488" s="8"/>
      <c r="X488" t="s">
        <v>57</v>
      </c>
      <c r="Y488" t="s">
        <v>26</v>
      </c>
    </row>
    <row r="489" spans="1:25" x14ac:dyDescent="0.25">
      <c r="A489">
        <v>9999</v>
      </c>
      <c r="B489" t="str">
        <f>_xlfn.CONCAT([2]!bron[[#This Row],[personeelsnr]]," ",C489," ",D489)</f>
        <v>9999 - -</v>
      </c>
      <c r="C489" t="s">
        <v>2919</v>
      </c>
      <c r="D489" t="s">
        <v>2919</v>
      </c>
      <c r="E489" t="s">
        <v>810</v>
      </c>
      <c r="F489" s="10"/>
      <c r="G489" s="7"/>
      <c r="H489" s="7"/>
      <c r="I489" s="7"/>
      <c r="M489" s="5">
        <v>1</v>
      </c>
      <c r="S489" s="5">
        <f>SUM(bron[[#This Row],[Januari]:[December]])</f>
        <v>1</v>
      </c>
      <c r="T489" s="9">
        <v>45493</v>
      </c>
      <c r="U489" s="8" t="s">
        <v>570</v>
      </c>
      <c r="V489" s="8">
        <v>1</v>
      </c>
      <c r="W489" s="8"/>
      <c r="X489" t="s">
        <v>57</v>
      </c>
      <c r="Y489" t="s">
        <v>29</v>
      </c>
    </row>
    <row r="490" spans="1:25" x14ac:dyDescent="0.25">
      <c r="A490">
        <v>12124</v>
      </c>
      <c r="B490" t="e">
        <f>_xlfn.CONCAT([2]!bron[[#This Row],[personeelsnr]]," ",C490," ",D490)</f>
        <v>#REF!</v>
      </c>
      <c r="C490" t="str">
        <f>VLOOKUP(bron[[#This Row],[personeelsnr]],'data hastus'!$A:$C,2,0)</f>
        <v>Van Vliet</v>
      </c>
      <c r="D490" t="str">
        <f>VLOOKUP(bron[[#This Row],[personeelsnr]],'data hastus'!$A:$C,3,0)</f>
        <v>Tom</v>
      </c>
      <c r="E490" t="str">
        <f>VLOOKUP(bron[[#This Row],[personeelsnr]],'data hastus'!A:K,11,FALSE)</f>
        <v>Steven Storm</v>
      </c>
      <c r="F490" s="10"/>
      <c r="G490" s="7"/>
      <c r="H490" s="7"/>
      <c r="I490" s="7"/>
      <c r="M490" s="5">
        <v>1</v>
      </c>
      <c r="S490" s="5">
        <f>SUM(bron[[#This Row],[Januari]:[December]])</f>
        <v>1</v>
      </c>
      <c r="T490" s="9">
        <v>45492</v>
      </c>
      <c r="U490" s="8" t="s">
        <v>569</v>
      </c>
      <c r="V490" s="8"/>
      <c r="W490" s="8">
        <v>1</v>
      </c>
      <c r="X490" t="s">
        <v>58</v>
      </c>
      <c r="Y490" t="s">
        <v>34</v>
      </c>
    </row>
    <row r="491" spans="1:25" x14ac:dyDescent="0.25">
      <c r="A491">
        <v>21121</v>
      </c>
      <c r="B491" t="e">
        <f>_xlfn.CONCAT([2]!bron[[#This Row],[personeelsnr]]," ",C491," ",D491)</f>
        <v>#REF!</v>
      </c>
      <c r="C491" t="str">
        <f>VLOOKUP(bron[[#This Row],[personeelsnr]],'data hastus'!$A:$C,2,0)</f>
        <v>Laforce</v>
      </c>
      <c r="D491" t="str">
        <f>VLOOKUP(bron[[#This Row],[personeelsnr]],'data hastus'!$A:$C,3,0)</f>
        <v>Mike</v>
      </c>
      <c r="E491" t="str">
        <f>VLOOKUP(bron[[#This Row],[personeelsnr]],'data hastus'!A:K,11,FALSE)</f>
        <v>Kenneth De Rick</v>
      </c>
      <c r="F491" s="10"/>
      <c r="G491" s="7"/>
      <c r="H491" s="7"/>
      <c r="I491" s="7"/>
      <c r="M491" s="5">
        <v>1</v>
      </c>
      <c r="S491" s="5">
        <f>SUM(bron[[#This Row],[Januari]:[December]])</f>
        <v>1</v>
      </c>
      <c r="T491" s="9">
        <v>45491</v>
      </c>
      <c r="U491" s="8" t="s">
        <v>566</v>
      </c>
      <c r="V491" s="8"/>
      <c r="W491" s="8">
        <v>1</v>
      </c>
      <c r="X491" t="s">
        <v>58</v>
      </c>
      <c r="Y491" t="s">
        <v>100</v>
      </c>
    </row>
    <row r="492" spans="1:25" x14ac:dyDescent="0.25">
      <c r="A492">
        <v>29478</v>
      </c>
      <c r="B492" t="e">
        <f>_xlfn.CONCAT([2]!bron[[#This Row],[personeelsnr]]," ",C492," ",D492)</f>
        <v>#REF!</v>
      </c>
      <c r="C492" t="str">
        <f>VLOOKUP(bron[[#This Row],[personeelsnr]],'data hastus'!$A:$C,2,0)</f>
        <v>Priwall</v>
      </c>
      <c r="D492" t="str">
        <f>VLOOKUP(bron[[#This Row],[personeelsnr]],'data hastus'!$A:$C,3,0)</f>
        <v>Heike</v>
      </c>
      <c r="E492" t="str">
        <f>VLOOKUP(bron[[#This Row],[personeelsnr]],'data hastus'!A:K,11,FALSE)</f>
        <v>Els Dewulf</v>
      </c>
      <c r="F492" s="10"/>
      <c r="G492" s="7"/>
      <c r="H492" s="7"/>
      <c r="I492" s="7"/>
      <c r="M492" s="5">
        <v>1</v>
      </c>
      <c r="S492" s="5">
        <f>SUM(bron[[#This Row],[Januari]:[December]])</f>
        <v>1</v>
      </c>
      <c r="T492" s="9">
        <v>45491</v>
      </c>
      <c r="U492" s="8" t="s">
        <v>567</v>
      </c>
      <c r="V492" s="8"/>
      <c r="W492" s="8">
        <v>1</v>
      </c>
      <c r="X492" t="s">
        <v>58</v>
      </c>
      <c r="Y492" t="s">
        <v>74</v>
      </c>
    </row>
    <row r="493" spans="1:25" x14ac:dyDescent="0.25">
      <c r="A493">
        <v>29179</v>
      </c>
      <c r="B493" t="e">
        <f>_xlfn.CONCAT([2]!bron[[#This Row],[personeelsnr]]," ",C493," ",D493)</f>
        <v>#REF!</v>
      </c>
      <c r="C493" t="str">
        <f>VLOOKUP(bron[[#This Row],[personeelsnr]],'data hastus'!$A:$C,2,0)</f>
        <v>Verwee</v>
      </c>
      <c r="D493" t="str">
        <f>VLOOKUP(bron[[#This Row],[personeelsnr]],'data hastus'!$A:$C,3,0)</f>
        <v>Dries</v>
      </c>
      <c r="E493" t="str">
        <f>VLOOKUP(bron[[#This Row],[personeelsnr]],'data hastus'!A:K,11,FALSE)</f>
        <v>Els Dewulf</v>
      </c>
      <c r="F493" s="10"/>
      <c r="G493" s="7"/>
      <c r="H493" s="7"/>
      <c r="I493" s="7"/>
      <c r="M493" s="5">
        <v>1</v>
      </c>
      <c r="S493" s="5">
        <f>SUM(bron[[#This Row],[Januari]:[December]])</f>
        <v>1</v>
      </c>
      <c r="T493" s="9">
        <v>45491</v>
      </c>
      <c r="U493" s="8" t="s">
        <v>568</v>
      </c>
      <c r="V493" s="8"/>
      <c r="W493" s="8">
        <v>1</v>
      </c>
      <c r="X493" t="s">
        <v>58</v>
      </c>
      <c r="Y493" t="s">
        <v>27</v>
      </c>
    </row>
    <row r="494" spans="1:25" x14ac:dyDescent="0.25">
      <c r="A494">
        <v>39532</v>
      </c>
      <c r="B494" t="e">
        <f>_xlfn.CONCAT([2]!bron[[#This Row],[personeelsnr]]," ",C494," ",D494)</f>
        <v>#REF!</v>
      </c>
      <c r="C494" t="str">
        <f>VLOOKUP(bron[[#This Row],[personeelsnr]],'data hastus'!$A:$C,2,0)</f>
        <v>Sahin</v>
      </c>
      <c r="D494" t="str">
        <f>VLOOKUP(bron[[#This Row],[personeelsnr]],'data hastus'!$A:$C,3,0)</f>
        <v>Orhan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M494" s="5">
        <v>1</v>
      </c>
      <c r="S494" s="5">
        <f>SUM(bron[[#This Row],[Januari]:[December]])</f>
        <v>1</v>
      </c>
      <c r="T494" s="9">
        <v>45490</v>
      </c>
      <c r="U494" s="8" t="s">
        <v>564</v>
      </c>
      <c r="V494" s="8">
        <v>1</v>
      </c>
      <c r="W494" s="8"/>
      <c r="X494" t="s">
        <v>57</v>
      </c>
      <c r="Y494" t="s">
        <v>230</v>
      </c>
    </row>
    <row r="495" spans="1:25" x14ac:dyDescent="0.25">
      <c r="A495">
        <v>39859</v>
      </c>
      <c r="B495" t="e">
        <f>_xlfn.CONCAT([2]!bron[[#This Row],[personeelsnr]]," ",C495," ",D495)</f>
        <v>#REF!</v>
      </c>
      <c r="C495" t="str">
        <f>VLOOKUP(bron[[#This Row],[personeelsnr]],'data hastus'!$A:$C,2,0)</f>
        <v>Costers</v>
      </c>
      <c r="D495" t="str">
        <f>VLOOKUP(bron[[#This Row],[personeelsnr]],'data hastus'!$A:$C,3,0)</f>
        <v>Kelly</v>
      </c>
      <c r="E495" t="str">
        <f>VLOOKUP(bron[[#This Row],[personeelsnr]],'data hastus'!A:K,11,FALSE)</f>
        <v>Bart Van Der Beken</v>
      </c>
      <c r="F495" s="10"/>
      <c r="G495" s="7"/>
      <c r="H495" s="7"/>
      <c r="I495" s="7"/>
      <c r="M495" s="5">
        <v>1</v>
      </c>
      <c r="S495" s="5">
        <f>SUM(bron[[#This Row],[Januari]:[December]])</f>
        <v>1</v>
      </c>
      <c r="T495" s="9">
        <v>45490</v>
      </c>
      <c r="U495" s="8" t="s">
        <v>565</v>
      </c>
      <c r="V495" s="8">
        <v>1</v>
      </c>
      <c r="W495" s="8"/>
      <c r="X495" t="s">
        <v>57</v>
      </c>
      <c r="Y495" t="s">
        <v>33</v>
      </c>
    </row>
    <row r="496" spans="1:25" x14ac:dyDescent="0.25">
      <c r="A496">
        <v>37179</v>
      </c>
      <c r="B496" t="e">
        <f>_xlfn.CONCAT([2]!bron[[#This Row],[personeelsnr]]," ",C496," ",D496)</f>
        <v>#REF!</v>
      </c>
      <c r="C496" t="str">
        <f>VLOOKUP(bron[[#This Row],[personeelsnr]],'data hastus'!$A:$C,2,0)</f>
        <v>Bashir</v>
      </c>
      <c r="D496" t="str">
        <f>VLOOKUP(bron[[#This Row],[personeelsnr]],'data hastus'!$A:$C,3,0)</f>
        <v>Muhammad Salman</v>
      </c>
      <c r="E496" t="str">
        <f>VLOOKUP(bron[[#This Row],[personeelsnr]],'data hastus'!A:K,11,FALSE)</f>
        <v>Bart Van Der Beken</v>
      </c>
      <c r="F496" s="10"/>
      <c r="G496" s="7"/>
      <c r="H496" s="7"/>
      <c r="I496" s="7"/>
      <c r="M496" s="5">
        <v>1</v>
      </c>
      <c r="S496" s="5">
        <f>SUM(bron[[#This Row],[Januari]:[December]])</f>
        <v>1</v>
      </c>
      <c r="T496" s="9">
        <v>45489</v>
      </c>
      <c r="U496" s="8" t="s">
        <v>563</v>
      </c>
      <c r="V496" s="8"/>
      <c r="W496" s="8">
        <v>1</v>
      </c>
      <c r="X496" t="s">
        <v>58</v>
      </c>
      <c r="Y496" t="s">
        <v>18</v>
      </c>
    </row>
    <row r="497" spans="1:25" x14ac:dyDescent="0.25">
      <c r="A497">
        <v>21581</v>
      </c>
      <c r="B497" t="e">
        <f>_xlfn.CONCAT([2]!bron[[#This Row],[personeelsnr]]," ",C497," ",D497)</f>
        <v>#REF!</v>
      </c>
      <c r="C497" t="str">
        <f>VLOOKUP(bron[[#This Row],[personeelsnr]],'data hastus'!$A:$C,2,0)</f>
        <v>Vanderstraeten</v>
      </c>
      <c r="D497" t="str">
        <f>VLOOKUP(bron[[#This Row],[personeelsnr]],'data hastus'!$A:$C,3,0)</f>
        <v>Franky</v>
      </c>
      <c r="E497" t="str">
        <f>VLOOKUP(bron[[#This Row],[personeelsnr]],'data hastus'!A:K,11,FALSE)</f>
        <v>Lucie Vande Velde</v>
      </c>
      <c r="F497" s="10"/>
      <c r="G497" s="7"/>
      <c r="H497" s="7"/>
      <c r="I497" s="7"/>
      <c r="M497" s="5">
        <v>1</v>
      </c>
      <c r="S497" s="5">
        <f>SUM(bron[[#This Row],[Januari]:[December]])</f>
        <v>1</v>
      </c>
      <c r="T497" s="9">
        <v>45486</v>
      </c>
      <c r="U497" s="8" t="s">
        <v>562</v>
      </c>
      <c r="V497" s="8">
        <v>1</v>
      </c>
      <c r="W497" s="8"/>
      <c r="X497" t="s">
        <v>57</v>
      </c>
      <c r="Y497" t="s">
        <v>18</v>
      </c>
    </row>
    <row r="498" spans="1:25" x14ac:dyDescent="0.25">
      <c r="A498">
        <v>37261</v>
      </c>
      <c r="B498" t="e">
        <f>_xlfn.CONCAT([2]!bron[[#This Row],[personeelsnr]]," ",C498," ",D498)</f>
        <v>#REF!</v>
      </c>
      <c r="C498" t="str">
        <f>VLOOKUP(bron[[#This Row],[personeelsnr]],'data hastus'!$A:$C,2,0)</f>
        <v>Van Wayenbergh</v>
      </c>
      <c r="D498" t="str">
        <f>VLOOKUP(bron[[#This Row],[personeelsnr]],'data hastus'!$A:$C,3,0)</f>
        <v>Yordi</v>
      </c>
      <c r="E498" t="str">
        <f>VLOOKUP(bron[[#This Row],[personeelsnr]],'data hastus'!A:K,11,FALSE)</f>
        <v>Dominique De Clercq</v>
      </c>
      <c r="F498" s="10"/>
      <c r="G498" s="7"/>
      <c r="H498" s="7"/>
      <c r="I498" s="7"/>
      <c r="M498" s="5">
        <v>1</v>
      </c>
      <c r="S498" s="5">
        <f>SUM(bron[[#This Row],[Januari]:[December]])</f>
        <v>1</v>
      </c>
      <c r="T498" s="9">
        <v>45485</v>
      </c>
      <c r="U498" s="8" t="s">
        <v>561</v>
      </c>
      <c r="V498" s="8">
        <v>1</v>
      </c>
      <c r="W498" s="8"/>
      <c r="X498" t="s">
        <v>57</v>
      </c>
      <c r="Y498" t="s">
        <v>86</v>
      </c>
    </row>
    <row r="499" spans="1:25" x14ac:dyDescent="0.25">
      <c r="A499">
        <v>40110</v>
      </c>
      <c r="B499" t="e">
        <f>_xlfn.CONCAT([2]!bron[[#This Row],[personeelsnr]]," ",C499," ",D499)</f>
        <v>#REF!</v>
      </c>
      <c r="C499" t="str">
        <f>VLOOKUP(bron[[#This Row],[personeelsnr]],'data hastus'!$A:$C,2,0)</f>
        <v>Vanlerberghe</v>
      </c>
      <c r="D499" t="str">
        <f>VLOOKUP(bron[[#This Row],[personeelsnr]],'data hastus'!$A:$C,3,0)</f>
        <v>Sandra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M499" s="5">
        <v>1</v>
      </c>
      <c r="S499" s="5">
        <f>SUM(bron[[#This Row],[Januari]:[December]])</f>
        <v>1</v>
      </c>
      <c r="T499" s="9">
        <v>45484</v>
      </c>
      <c r="U499" s="8" t="s">
        <v>559</v>
      </c>
      <c r="V499" s="8">
        <v>1</v>
      </c>
      <c r="W499" s="8"/>
      <c r="X499" t="s">
        <v>57</v>
      </c>
      <c r="Y499" t="s">
        <v>37</v>
      </c>
    </row>
    <row r="500" spans="1:25" x14ac:dyDescent="0.25">
      <c r="A500">
        <v>21509</v>
      </c>
      <c r="B500" t="e">
        <f>_xlfn.CONCAT([2]!bron[[#This Row],[personeelsnr]]," ",C500," ",D500)</f>
        <v>#REF!</v>
      </c>
      <c r="C500" t="str">
        <f>VLOOKUP(bron[[#This Row],[personeelsnr]],'data hastus'!$A:$C,2,0)</f>
        <v>De Craemer</v>
      </c>
      <c r="D500" t="str">
        <f>VLOOKUP(bron[[#This Row],[personeelsnr]],'data hastus'!$A:$C,3,0)</f>
        <v>Kris</v>
      </c>
      <c r="E500" t="str">
        <f>VLOOKUP(bron[[#This Row],[personeelsnr]],'data hastus'!A:K,11,FALSE)</f>
        <v>Dominique De Clercq</v>
      </c>
      <c r="F500" s="10"/>
      <c r="G500" s="7"/>
      <c r="H500" s="7"/>
      <c r="I500" s="7"/>
      <c r="M500" s="5">
        <v>1</v>
      </c>
      <c r="S500" s="5">
        <f>SUM(bron[[#This Row],[Januari]:[December]])</f>
        <v>1</v>
      </c>
      <c r="T500" s="9">
        <v>45484</v>
      </c>
      <c r="U500" s="8" t="s">
        <v>560</v>
      </c>
      <c r="V500" s="8"/>
      <c r="W500" s="8">
        <v>1</v>
      </c>
      <c r="X500" t="s">
        <v>58</v>
      </c>
      <c r="Y500" t="s">
        <v>102</v>
      </c>
    </row>
    <row r="501" spans="1:25" x14ac:dyDescent="0.25">
      <c r="A501">
        <v>37542</v>
      </c>
      <c r="B501" t="e">
        <f>_xlfn.CONCAT([2]!bron[[#This Row],[personeelsnr]]," ",C501," ",D501)</f>
        <v>#REF!</v>
      </c>
      <c r="C501" t="str">
        <f>VLOOKUP(bron[[#This Row],[personeelsnr]],'data hastus'!$A:$C,2,0)</f>
        <v>De Tandt</v>
      </c>
      <c r="D501" t="str">
        <f>VLOOKUP(bron[[#This Row],[personeelsnr]],'data hastus'!$A:$C,3,0)</f>
        <v>Hans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M501" s="5">
        <v>1</v>
      </c>
      <c r="S501" s="5">
        <f>SUM(bron[[#This Row],[Januari]:[December]])</f>
        <v>1</v>
      </c>
      <c r="T501" s="9">
        <v>45483</v>
      </c>
      <c r="U501" s="8" t="s">
        <v>555</v>
      </c>
      <c r="V501" s="8">
        <v>1</v>
      </c>
      <c r="W501" s="8"/>
      <c r="X501" t="s">
        <v>57</v>
      </c>
      <c r="Y501" t="s">
        <v>47</v>
      </c>
    </row>
    <row r="502" spans="1:25" x14ac:dyDescent="0.25">
      <c r="A502">
        <v>14261</v>
      </c>
      <c r="B502" t="e">
        <f>_xlfn.CONCAT([2]!bron[[#This Row],[personeelsnr]]," ",C502," ",D502)</f>
        <v>#REF!</v>
      </c>
      <c r="C502" t="str">
        <f>VLOOKUP(bron[[#This Row],[personeelsnr]],'data hastus'!$A:$C,2,0)</f>
        <v>Vandaele</v>
      </c>
      <c r="D502" t="str">
        <f>VLOOKUP(bron[[#This Row],[personeelsnr]],'data hastus'!$A:$C,3,0)</f>
        <v>Sofie</v>
      </c>
      <c r="E502" t="str">
        <f>VLOOKUP(bron[[#This Row],[personeelsnr]],'data hastus'!A:K,11,FALSE)</f>
        <v>Els Vanhoe</v>
      </c>
      <c r="F502" s="10"/>
      <c r="G502" s="7"/>
      <c r="H502" s="7"/>
      <c r="I502" s="7"/>
      <c r="M502" s="5">
        <v>1</v>
      </c>
      <c r="S502" s="5">
        <f>SUM(bron[[#This Row],[Januari]:[December]])</f>
        <v>1</v>
      </c>
      <c r="T502" s="9">
        <v>45483</v>
      </c>
      <c r="U502" s="8" t="s">
        <v>556</v>
      </c>
      <c r="V502" s="8"/>
      <c r="W502" s="8">
        <v>1</v>
      </c>
      <c r="X502" t="s">
        <v>58</v>
      </c>
      <c r="Y502" t="s">
        <v>19</v>
      </c>
    </row>
    <row r="503" spans="1:25" x14ac:dyDescent="0.25">
      <c r="A503">
        <v>37261</v>
      </c>
      <c r="B503" t="e">
        <f>_xlfn.CONCAT([2]!bron[[#This Row],[personeelsnr]]," ",C503," ",D503)</f>
        <v>#REF!</v>
      </c>
      <c r="C503" t="str">
        <f>VLOOKUP(bron[[#This Row],[personeelsnr]],'data hastus'!$A:$C,2,0)</f>
        <v>Van Wayenbergh</v>
      </c>
      <c r="D503" t="str">
        <f>VLOOKUP(bron[[#This Row],[personeelsnr]],'data hastus'!$A:$C,3,0)</f>
        <v>Yordi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M503" s="5">
        <v>1</v>
      </c>
      <c r="S503" s="5">
        <f>SUM(bron[[#This Row],[Januari]:[December]])</f>
        <v>1</v>
      </c>
      <c r="T503" s="9">
        <v>45483</v>
      </c>
      <c r="U503" s="8" t="s">
        <v>557</v>
      </c>
      <c r="V503" s="8"/>
      <c r="W503" s="8">
        <v>1</v>
      </c>
      <c r="X503" t="s">
        <v>58</v>
      </c>
      <c r="Y503" t="s">
        <v>123</v>
      </c>
    </row>
    <row r="504" spans="1:25" x14ac:dyDescent="0.25">
      <c r="A504">
        <v>39532</v>
      </c>
      <c r="B504" t="e">
        <f>_xlfn.CONCAT([2]!bron[[#This Row],[personeelsnr]]," ",C504," ",D504)</f>
        <v>#REF!</v>
      </c>
      <c r="C504" t="str">
        <f>VLOOKUP(bron[[#This Row],[personeelsnr]],'data hastus'!$A:$C,2,0)</f>
        <v>Sahin</v>
      </c>
      <c r="D504" t="str">
        <f>VLOOKUP(bron[[#This Row],[personeelsnr]],'data hastus'!$A:$C,3,0)</f>
        <v>Orhan</v>
      </c>
      <c r="E504" t="str">
        <f>VLOOKUP(bron[[#This Row],[personeelsnr]],'data hastus'!A:K,11,FALSE)</f>
        <v>Christoff Rotty</v>
      </c>
      <c r="F504" s="10"/>
      <c r="G504" s="7"/>
      <c r="H504" s="7"/>
      <c r="I504" s="7"/>
      <c r="M504" s="5">
        <v>1</v>
      </c>
      <c r="S504" s="5">
        <f>SUM(bron[[#This Row],[Januari]:[December]])</f>
        <v>1</v>
      </c>
      <c r="T504" s="9">
        <v>45483</v>
      </c>
      <c r="U504" s="8" t="s">
        <v>558</v>
      </c>
      <c r="V504" s="8">
        <v>1</v>
      </c>
      <c r="W504" s="8"/>
      <c r="X504" t="s">
        <v>57</v>
      </c>
      <c r="Y504" t="s">
        <v>22</v>
      </c>
    </row>
    <row r="505" spans="1:25" x14ac:dyDescent="0.25">
      <c r="A505">
        <v>9999</v>
      </c>
      <c r="B505" t="str">
        <f>_xlfn.CONCAT([2]!bron[[#This Row],[personeelsnr]]," ",C505," ",D505)</f>
        <v>9999 - -</v>
      </c>
      <c r="C505" t="s">
        <v>2919</v>
      </c>
      <c r="D505" t="s">
        <v>2919</v>
      </c>
      <c r="E505" t="s">
        <v>810</v>
      </c>
      <c r="F505" s="10"/>
      <c r="G505" s="7"/>
      <c r="H505" s="7"/>
      <c r="I505" s="7"/>
      <c r="M505" s="5">
        <v>1</v>
      </c>
      <c r="S505" s="5">
        <f>SUM(bron[[#This Row],[Januari]:[December]])</f>
        <v>1</v>
      </c>
      <c r="T505" s="9">
        <v>45481</v>
      </c>
      <c r="U505" s="8" t="s">
        <v>554</v>
      </c>
      <c r="V505" s="8">
        <v>1</v>
      </c>
      <c r="W505" s="8"/>
      <c r="X505" t="s">
        <v>57</v>
      </c>
      <c r="Y505" t="s">
        <v>51</v>
      </c>
    </row>
    <row r="506" spans="1:25" x14ac:dyDescent="0.25">
      <c r="A506">
        <v>9999</v>
      </c>
      <c r="B506" t="str">
        <f>_xlfn.CONCAT([2]!bron[[#This Row],[personeelsnr]]," ",C506," ",D506)</f>
        <v>9999 - -</v>
      </c>
      <c r="C506" t="s">
        <v>2919</v>
      </c>
      <c r="D506" t="s">
        <v>2919</v>
      </c>
      <c r="E506" t="s">
        <v>810</v>
      </c>
      <c r="F506" s="10"/>
      <c r="G506" s="7"/>
      <c r="H506" s="7"/>
      <c r="I506" s="7"/>
      <c r="M506" s="5">
        <v>1</v>
      </c>
      <c r="S506" s="5">
        <f>SUM(bron[[#This Row],[Januari]:[December]])</f>
        <v>1</v>
      </c>
      <c r="T506" s="9">
        <v>45480</v>
      </c>
      <c r="U506" s="8" t="s">
        <v>553</v>
      </c>
      <c r="V506" s="8">
        <v>1</v>
      </c>
      <c r="W506" s="8"/>
      <c r="X506" t="s">
        <v>57</v>
      </c>
      <c r="Y506" t="s">
        <v>175</v>
      </c>
    </row>
    <row r="507" spans="1:25" x14ac:dyDescent="0.25">
      <c r="A507">
        <v>36569</v>
      </c>
      <c r="B507" t="e">
        <f>_xlfn.CONCAT([2]!bron[[#This Row],[personeelsnr]]," ",C507," ",D507)</f>
        <v>#REF!</v>
      </c>
      <c r="C507" t="str">
        <f>VLOOKUP(bron[[#This Row],[personeelsnr]],'data hastus'!$A:$C,2,0)</f>
        <v>Stroobandt</v>
      </c>
      <c r="D507" t="str">
        <f>VLOOKUP(bron[[#This Row],[personeelsnr]],'data hastus'!$A:$C,3,0)</f>
        <v>Jonas</v>
      </c>
      <c r="E507" t="str">
        <f>VLOOKUP(bron[[#This Row],[personeelsnr]],'data hastus'!A:K,11,FALSE)</f>
        <v>Els Vanhoe</v>
      </c>
      <c r="F507" s="10"/>
      <c r="G507" s="7"/>
      <c r="H507" s="7"/>
      <c r="I507" s="7"/>
      <c r="M507" s="5">
        <v>1</v>
      </c>
      <c r="S507" s="5">
        <f>SUM(bron[[#This Row],[Januari]:[December]])</f>
        <v>1</v>
      </c>
      <c r="T507" s="9">
        <v>45479</v>
      </c>
      <c r="U507" s="8" t="s">
        <v>551</v>
      </c>
      <c r="V507" s="8">
        <v>1</v>
      </c>
      <c r="W507" s="8"/>
      <c r="X507" t="s">
        <v>57</v>
      </c>
      <c r="Y507" t="s">
        <v>115</v>
      </c>
    </row>
    <row r="508" spans="1:25" x14ac:dyDescent="0.25">
      <c r="A508">
        <v>9999</v>
      </c>
      <c r="B508" t="str">
        <f>_xlfn.CONCAT([2]!bron[[#This Row],[personeelsnr]]," ",C508," ",D508)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M508" s="5">
        <v>1</v>
      </c>
      <c r="S508" s="5">
        <f>SUM(bron[[#This Row],[Januari]:[December]])</f>
        <v>1</v>
      </c>
      <c r="T508" s="9">
        <v>45479</v>
      </c>
      <c r="U508" s="8" t="s">
        <v>552</v>
      </c>
      <c r="V508" s="8">
        <v>1</v>
      </c>
      <c r="W508" s="8"/>
      <c r="X508" t="s">
        <v>57</v>
      </c>
      <c r="Y508" t="s">
        <v>146</v>
      </c>
    </row>
    <row r="509" spans="1:25" x14ac:dyDescent="0.25">
      <c r="A509">
        <v>39529</v>
      </c>
      <c r="B509" t="e">
        <f>_xlfn.CONCAT([2]!bron[[#This Row],[personeelsnr]]," ",C509," ",D509)</f>
        <v>#REF!</v>
      </c>
      <c r="C509" t="str">
        <f>VLOOKUP(bron[[#This Row],[personeelsnr]],'data hastus'!$A:$C,2,0)</f>
        <v>Desmet</v>
      </c>
      <c r="D509" t="str">
        <f>VLOOKUP(bron[[#This Row],[personeelsnr]],'data hastus'!$A:$C,3,0)</f>
        <v>Patricia</v>
      </c>
      <c r="E509" t="str">
        <f>VLOOKUP(bron[[#This Row],[personeelsnr]],'data hastus'!A:K,11,FALSE)</f>
        <v>Christoff Rotty</v>
      </c>
      <c r="F509" s="10"/>
      <c r="G509" s="7"/>
      <c r="H509" s="7"/>
      <c r="I509" s="7"/>
      <c r="M509" s="5">
        <v>1</v>
      </c>
      <c r="S509" s="5">
        <f>SUM(bron[[#This Row],[Januari]:[December]])</f>
        <v>1</v>
      </c>
      <c r="T509" s="9">
        <v>45478</v>
      </c>
      <c r="U509" s="8" t="s">
        <v>548</v>
      </c>
      <c r="V509" s="8">
        <v>1</v>
      </c>
      <c r="W509" s="8"/>
      <c r="X509" t="s">
        <v>57</v>
      </c>
      <c r="Y509" t="s">
        <v>19</v>
      </c>
    </row>
    <row r="510" spans="1:25" x14ac:dyDescent="0.25">
      <c r="A510">
        <v>39379</v>
      </c>
      <c r="B510" t="e">
        <f>_xlfn.CONCAT([2]!bron[[#This Row],[personeelsnr]]," ",C510," ",D510)</f>
        <v>#REF!</v>
      </c>
      <c r="C510" t="str">
        <f>VLOOKUP(bron[[#This Row],[personeelsnr]],'data hastus'!$A:$C,2,0)</f>
        <v>Bensalah</v>
      </c>
      <c r="D510" t="str">
        <f>VLOOKUP(bron[[#This Row],[personeelsnr]],'data hastus'!$A:$C,3,0)</f>
        <v>Mohammed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M510" s="5">
        <v>1</v>
      </c>
      <c r="S510" s="5">
        <f>SUM(bron[[#This Row],[Januari]:[December]])</f>
        <v>1</v>
      </c>
      <c r="T510" s="9">
        <v>45478</v>
      </c>
      <c r="U510" s="8" t="s">
        <v>549</v>
      </c>
      <c r="V510" s="8">
        <v>1</v>
      </c>
      <c r="W510" s="8"/>
      <c r="X510" t="s">
        <v>57</v>
      </c>
      <c r="Y510" t="s">
        <v>30</v>
      </c>
    </row>
    <row r="511" spans="1:25" x14ac:dyDescent="0.25">
      <c r="A511">
        <v>34044</v>
      </c>
      <c r="B511" t="e">
        <f>_xlfn.CONCAT([2]!bron[[#This Row],[personeelsnr]]," ",C511," ",D511)</f>
        <v>#REF!</v>
      </c>
      <c r="C511" t="str">
        <f>VLOOKUP(bron[[#This Row],[personeelsnr]],'data hastus'!$A:$C,2,0)</f>
        <v>Wieme</v>
      </c>
      <c r="D511" t="str">
        <f>VLOOKUP(bron[[#This Row],[personeelsnr]],'data hastus'!$A:$C,3,0)</f>
        <v>Kevin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M511" s="5">
        <v>1</v>
      </c>
      <c r="S511" s="5">
        <f>SUM(bron[[#This Row],[Januari]:[December]])</f>
        <v>1</v>
      </c>
      <c r="T511" s="9">
        <v>45478</v>
      </c>
      <c r="U511" s="8" t="s">
        <v>550</v>
      </c>
      <c r="V511" s="8"/>
      <c r="W511" s="8">
        <v>1</v>
      </c>
      <c r="X511" t="s">
        <v>58</v>
      </c>
      <c r="Y511" t="s">
        <v>185</v>
      </c>
    </row>
    <row r="512" spans="1:25" x14ac:dyDescent="0.25">
      <c r="A512">
        <v>38346</v>
      </c>
      <c r="B512" t="e">
        <f>_xlfn.CONCAT([2]!bron[[#This Row],[personeelsnr]]," ",C512," ",D512)</f>
        <v>#REF!</v>
      </c>
      <c r="C512" t="str">
        <f>VLOOKUP(bron[[#This Row],[personeelsnr]],'data hastus'!$A:$C,2,0)</f>
        <v>Van Cleemputte</v>
      </c>
      <c r="D512" t="str">
        <f>VLOOKUP(bron[[#This Row],[personeelsnr]],'data hastus'!$A:$C,3,0)</f>
        <v>Thibeaux</v>
      </c>
      <c r="E512" t="str">
        <f>VLOOKUP(bron[[#This Row],[personeelsnr]],'data hastus'!A:K,11,FALSE)</f>
        <v>Els Vanhoe</v>
      </c>
      <c r="F512" s="10"/>
      <c r="G512" s="7"/>
      <c r="H512" s="7"/>
      <c r="I512" s="7"/>
      <c r="M512" s="5">
        <v>1</v>
      </c>
      <c r="S512" s="5">
        <f>SUM(bron[[#This Row],[Januari]:[December]])</f>
        <v>1</v>
      </c>
      <c r="T512" s="9">
        <v>45477</v>
      </c>
      <c r="U512" s="8" t="s">
        <v>546</v>
      </c>
      <c r="V512" s="8">
        <v>1</v>
      </c>
      <c r="W512" s="8"/>
      <c r="X512" t="s">
        <v>57</v>
      </c>
      <c r="Y512" t="s">
        <v>28</v>
      </c>
    </row>
    <row r="513" spans="1:25" x14ac:dyDescent="0.25">
      <c r="A513">
        <v>39532</v>
      </c>
      <c r="B513" t="e">
        <f>_xlfn.CONCAT([2]!bron[[#This Row],[personeelsnr]]," ",C513," ",D513)</f>
        <v>#REF!</v>
      </c>
      <c r="C513" t="str">
        <f>VLOOKUP(bron[[#This Row],[personeelsnr]],'data hastus'!$A:$C,2,0)</f>
        <v>Sahin</v>
      </c>
      <c r="D513" t="str">
        <f>VLOOKUP(bron[[#This Row],[personeelsnr]],'data hastus'!$A:$C,3,0)</f>
        <v>Orhan</v>
      </c>
      <c r="E513" t="str">
        <f>VLOOKUP(bron[[#This Row],[personeelsnr]],'data hastus'!A:K,11,FALSE)</f>
        <v>Christoff Rotty</v>
      </c>
      <c r="F513" s="10"/>
      <c r="G513" s="7"/>
      <c r="H513" s="7"/>
      <c r="I513" s="7"/>
      <c r="M513" s="5">
        <v>1</v>
      </c>
      <c r="S513" s="5">
        <f>SUM(bron[[#This Row],[Januari]:[December]])</f>
        <v>1</v>
      </c>
      <c r="T513" s="9">
        <v>45477</v>
      </c>
      <c r="U513" s="8" t="s">
        <v>547</v>
      </c>
      <c r="V513" s="8">
        <v>1</v>
      </c>
      <c r="W513" s="8"/>
      <c r="X513" t="s">
        <v>57</v>
      </c>
      <c r="Y513" t="s">
        <v>132</v>
      </c>
    </row>
    <row r="514" spans="1:25" x14ac:dyDescent="0.25">
      <c r="A514">
        <v>9999</v>
      </c>
      <c r="B514" t="str">
        <f>_xlfn.CONCAT([2]!bron[[#This Row],[personeelsnr]]," ",C514," ",D514)</f>
        <v>9999 - -</v>
      </c>
      <c r="C514" t="s">
        <v>2919</v>
      </c>
      <c r="D514" t="s">
        <v>2919</v>
      </c>
      <c r="E514" t="s">
        <v>810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45475</v>
      </c>
      <c r="U514" s="8" t="s">
        <v>544</v>
      </c>
      <c r="V514" s="8">
        <v>1</v>
      </c>
      <c r="W514" s="8"/>
      <c r="X514" t="s">
        <v>57</v>
      </c>
      <c r="Y514" t="s">
        <v>232</v>
      </c>
    </row>
    <row r="515" spans="1:25" x14ac:dyDescent="0.25">
      <c r="A515">
        <v>33986</v>
      </c>
      <c r="B515" t="e">
        <f>_xlfn.CONCAT([2]!bron[[#This Row],[personeelsnr]]," ",C515," ",D515)</f>
        <v>#REF!</v>
      </c>
      <c r="C515" t="str">
        <f>VLOOKUP(bron[[#This Row],[personeelsnr]],'data hastus'!$A:$C,2,0)</f>
        <v>Göktas</v>
      </c>
      <c r="D515" t="str">
        <f>VLOOKUP(bron[[#This Row],[personeelsnr]],'data hastus'!$A:$C,3,0)</f>
        <v>Muharrem</v>
      </c>
      <c r="E515" t="str">
        <f>VLOOKUP(bron[[#This Row],[personeelsnr]],'data hastus'!A:K,11,FALSE)</f>
        <v>Kenneth De Rick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45475</v>
      </c>
      <c r="U515" s="8" t="s">
        <v>545</v>
      </c>
      <c r="V515" s="8">
        <v>1</v>
      </c>
      <c r="W515" s="8"/>
      <c r="X515" t="s">
        <v>57</v>
      </c>
      <c r="Y515" t="s">
        <v>99</v>
      </c>
    </row>
    <row r="516" spans="1:25" x14ac:dyDescent="0.25">
      <c r="A516">
        <v>9999</v>
      </c>
      <c r="B516" t="str">
        <f>_xlfn.CONCAT([2]!bron[[#This Row],[personeelsnr]]," ",C516," ",D516)</f>
        <v>9999 - -</v>
      </c>
      <c r="C516" t="s">
        <v>2919</v>
      </c>
      <c r="D516" t="s">
        <v>2919</v>
      </c>
      <c r="E516" t="s">
        <v>810</v>
      </c>
      <c r="F516" s="10"/>
      <c r="G516" s="7"/>
      <c r="H516" s="7"/>
      <c r="I516" s="7"/>
      <c r="M516" s="5">
        <v>1</v>
      </c>
      <c r="S516" s="5">
        <f>SUM(bron[[#This Row],[Januari]:[December]])</f>
        <v>1</v>
      </c>
      <c r="T516" s="9">
        <v>45474</v>
      </c>
      <c r="U516" s="8" t="s">
        <v>542</v>
      </c>
      <c r="V516" s="8">
        <v>1</v>
      </c>
      <c r="W516" s="8"/>
      <c r="X516" t="s">
        <v>57</v>
      </c>
      <c r="Y516" t="s">
        <v>66</v>
      </c>
    </row>
    <row r="517" spans="1:25" x14ac:dyDescent="0.25">
      <c r="A517">
        <v>39859</v>
      </c>
      <c r="B517" t="e">
        <f>_xlfn.CONCAT([2]!bron[[#This Row],[personeelsnr]]," ",C517," ",D517)</f>
        <v>#REF!</v>
      </c>
      <c r="C517" t="str">
        <f>VLOOKUP(bron[[#This Row],[personeelsnr]],'data hastus'!$A:$C,2,0)</f>
        <v>Costers</v>
      </c>
      <c r="D517" t="str">
        <f>VLOOKUP(bron[[#This Row],[personeelsnr]],'data hastus'!$A:$C,3,0)</f>
        <v>Kelly</v>
      </c>
      <c r="E517" t="str">
        <f>VLOOKUP(bron[[#This Row],[personeelsnr]],'data hastus'!A:K,11,FALSE)</f>
        <v>Bart Van Der Beken</v>
      </c>
      <c r="F517" s="10"/>
      <c r="G517" s="7"/>
      <c r="H517" s="7"/>
      <c r="I517" s="7"/>
      <c r="M517" s="5">
        <v>1</v>
      </c>
      <c r="S517" s="5">
        <f>SUM(bron[[#This Row],[Januari]:[December]])</f>
        <v>1</v>
      </c>
      <c r="T517" s="9">
        <v>45474</v>
      </c>
      <c r="U517" s="8" t="s">
        <v>543</v>
      </c>
      <c r="V517" s="8">
        <v>1</v>
      </c>
      <c r="W517" s="8"/>
      <c r="X517" t="s">
        <v>57</v>
      </c>
      <c r="Y517" t="s">
        <v>20</v>
      </c>
    </row>
    <row r="518" spans="1:25" x14ac:dyDescent="0.25">
      <c r="A518">
        <v>35006</v>
      </c>
      <c r="B518" t="e">
        <f>_xlfn.CONCAT([2]!bron[[#This Row],[personeelsnr]]," ",C518," ",D518)</f>
        <v>#REF!</v>
      </c>
      <c r="C518" t="str">
        <f>VLOOKUP(bron[[#This Row],[personeelsnr]],'data hastus'!$A:$C,2,0)</f>
        <v>Van Hoe</v>
      </c>
      <c r="D518" t="str">
        <f>VLOOKUP(bron[[#This Row],[personeelsnr]],'data hastus'!$A:$C,3,0)</f>
        <v>Youri</v>
      </c>
      <c r="E518" t="str">
        <f>VLOOKUP(bron[[#This Row],[personeelsnr]],'data hastus'!A:K,11,FALSE)</f>
        <v>Kenneth De Rick</v>
      </c>
      <c r="F518" s="10"/>
      <c r="G518" s="7"/>
      <c r="H518" s="7"/>
      <c r="I518" s="7"/>
      <c r="S518" s="5">
        <f>SUM(bron[[#This Row],[Januari]:[December]])</f>
        <v>0</v>
      </c>
      <c r="T518" s="9">
        <v>45472</v>
      </c>
      <c r="U518" s="8" t="s">
        <v>541</v>
      </c>
      <c r="V518" s="8">
        <v>1</v>
      </c>
      <c r="W518" s="8"/>
      <c r="X518" t="s">
        <v>57</v>
      </c>
      <c r="Y518" t="s">
        <v>30</v>
      </c>
    </row>
    <row r="519" spans="1:25" x14ac:dyDescent="0.25">
      <c r="A519">
        <v>32542</v>
      </c>
      <c r="B519" t="e">
        <f>_xlfn.CONCAT([2]!bron[[#This Row],[personeelsnr]]," ",C519," ",D519)</f>
        <v>#REF!</v>
      </c>
      <c r="C519" t="str">
        <f>VLOOKUP(bron[[#This Row],[personeelsnr]],'data hastus'!$A:$C,2,0)</f>
        <v>Vanderstock</v>
      </c>
      <c r="D519" t="str">
        <f>VLOOKUP(bron[[#This Row],[personeelsnr]],'data hastus'!$A:$C,3,0)</f>
        <v>Kenny</v>
      </c>
      <c r="E519" t="str">
        <f>VLOOKUP(bron[[#This Row],[personeelsnr]],'data hastus'!A:K,11,FALSE)</f>
        <v>Dominique De Clercq</v>
      </c>
      <c r="F519" s="10"/>
      <c r="G519" s="7"/>
      <c r="H519" s="7"/>
      <c r="I519" s="7"/>
      <c r="S519" s="5">
        <f>SUM(bron[[#This Row],[Januari]:[December]])</f>
        <v>0</v>
      </c>
      <c r="T519" s="9">
        <v>45470</v>
      </c>
      <c r="U519" s="8" t="s">
        <v>540</v>
      </c>
      <c r="V519" s="8"/>
      <c r="W519" s="8">
        <v>1</v>
      </c>
      <c r="X519" t="s">
        <v>58</v>
      </c>
      <c r="Y519" t="s">
        <v>217</v>
      </c>
    </row>
    <row r="520" spans="1:25" x14ac:dyDescent="0.25">
      <c r="A520">
        <v>26198</v>
      </c>
      <c r="B520" t="e">
        <f>_xlfn.CONCAT([2]!bron[[#This Row],[personeelsnr]]," ",C520," ",D520)</f>
        <v>#REF!</v>
      </c>
      <c r="C520" t="str">
        <f>VLOOKUP(bron[[#This Row],[personeelsnr]],'data hastus'!$A:$C,2,0)</f>
        <v>Justé</v>
      </c>
      <c r="D520" t="str">
        <f>VLOOKUP(bron[[#This Row],[personeelsnr]],'data hastus'!$A:$C,3,0)</f>
        <v>Steven</v>
      </c>
      <c r="E520" t="str">
        <f>VLOOKUP(bron[[#This Row],[personeelsnr]],'data hastus'!A:K,11,FALSE)</f>
        <v>Kenneth De Rick</v>
      </c>
      <c r="F520" s="10"/>
      <c r="G520" s="7"/>
      <c r="H520" s="7"/>
      <c r="I520" s="7"/>
      <c r="S520" s="5">
        <f>SUM(bron[[#This Row],[Januari]:[December]])</f>
        <v>0</v>
      </c>
      <c r="T520" s="9">
        <v>45469</v>
      </c>
      <c r="U520" s="8" t="s">
        <v>537</v>
      </c>
      <c r="V520" s="8">
        <v>1</v>
      </c>
      <c r="W520" s="8"/>
      <c r="X520" t="s">
        <v>57</v>
      </c>
      <c r="Y520" t="s">
        <v>22</v>
      </c>
    </row>
    <row r="521" spans="1:25" x14ac:dyDescent="0.25">
      <c r="A521">
        <v>32951</v>
      </c>
      <c r="B521" t="e">
        <f>_xlfn.CONCAT([2]!bron[[#This Row],[personeelsnr]]," ",C521," ",D521)</f>
        <v>#REF!</v>
      </c>
      <c r="C521" t="str">
        <f>VLOOKUP(bron[[#This Row],[personeelsnr]],'data hastus'!$A:$C,2,0)</f>
        <v>De Bruyne</v>
      </c>
      <c r="D521" t="str">
        <f>VLOOKUP(bron[[#This Row],[personeelsnr]],'data hastus'!$A:$C,3,0)</f>
        <v>Sonia</v>
      </c>
      <c r="E521" t="str">
        <f>VLOOKUP(bron[[#This Row],[personeelsnr]],'data hastus'!A:K,11,FALSE)</f>
        <v>Lucie Vande Velde</v>
      </c>
      <c r="F521" s="10"/>
      <c r="G521" s="7"/>
      <c r="H521" s="7"/>
      <c r="I521" s="7"/>
      <c r="S521" s="5">
        <f>SUM(bron[[#This Row],[Januari]:[December]])</f>
        <v>0</v>
      </c>
      <c r="T521" s="9">
        <v>45469</v>
      </c>
      <c r="U521" s="8" t="s">
        <v>538</v>
      </c>
      <c r="V521" s="8">
        <v>1</v>
      </c>
      <c r="W521" s="8"/>
      <c r="X521" t="s">
        <v>57</v>
      </c>
      <c r="Y521" t="s">
        <v>90</v>
      </c>
    </row>
    <row r="522" spans="1:25" x14ac:dyDescent="0.25">
      <c r="A522">
        <v>22244</v>
      </c>
      <c r="B522" t="e">
        <f>_xlfn.CONCAT([2]!bron[[#This Row],[personeelsnr]]," ",C522," ",D522)</f>
        <v>#REF!</v>
      </c>
      <c r="C522" t="str">
        <f>VLOOKUP(bron[[#This Row],[personeelsnr]],'data hastus'!$A:$C,2,0)</f>
        <v>Kirdas</v>
      </c>
      <c r="D522" t="str">
        <f>VLOOKUP(bron[[#This Row],[personeelsnr]],'data hastus'!$A:$C,3,0)</f>
        <v>Süleyman</v>
      </c>
      <c r="E522" t="str">
        <f>VLOOKUP(bron[[#This Row],[personeelsnr]],'data hastus'!A:K,11,FALSE)</f>
        <v>Christoff Rotty</v>
      </c>
      <c r="F522" s="10"/>
      <c r="G522" s="7"/>
      <c r="H522" s="7"/>
      <c r="I522" s="7"/>
      <c r="S522" s="5">
        <f>SUM(bron[[#This Row],[Januari]:[December]])</f>
        <v>0</v>
      </c>
      <c r="T522" s="9">
        <v>45469</v>
      </c>
      <c r="U522" s="8" t="s">
        <v>539</v>
      </c>
      <c r="V522" s="8">
        <v>1</v>
      </c>
      <c r="W522" s="8"/>
      <c r="X522" t="s">
        <v>57</v>
      </c>
      <c r="Y522" t="s">
        <v>29</v>
      </c>
    </row>
    <row r="523" spans="1:25" x14ac:dyDescent="0.25">
      <c r="A523">
        <v>14665</v>
      </c>
      <c r="B523" t="e">
        <f>_xlfn.CONCAT([2]!bron[[#This Row],[personeelsnr]]," ",C523," ",D523)</f>
        <v>#REF!</v>
      </c>
      <c r="C523" t="str">
        <f>VLOOKUP(bron[[#This Row],[personeelsnr]],'data hastus'!$A:$C,2,0)</f>
        <v>De Mulder</v>
      </c>
      <c r="D523" t="str">
        <f>VLOOKUP(bron[[#This Row],[personeelsnr]],'data hastus'!$A:$C,3,0)</f>
        <v>Philip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S523" s="5">
        <f>SUM(bron[[#This Row],[Januari]:[December]])</f>
        <v>0</v>
      </c>
      <c r="T523" s="9">
        <v>45468</v>
      </c>
      <c r="U523" s="8" t="s">
        <v>535</v>
      </c>
      <c r="V523" s="8">
        <v>1</v>
      </c>
      <c r="W523" s="8"/>
      <c r="X523" t="s">
        <v>57</v>
      </c>
      <c r="Y523" t="s">
        <v>101</v>
      </c>
    </row>
    <row r="524" spans="1:25" x14ac:dyDescent="0.25">
      <c r="A524">
        <v>35395</v>
      </c>
      <c r="B524" t="e">
        <f>_xlfn.CONCAT([2]!bron[[#This Row],[personeelsnr]]," ",C524," ",D524)</f>
        <v>#REF!</v>
      </c>
      <c r="C524" t="str">
        <f>VLOOKUP(bron[[#This Row],[personeelsnr]],'data hastus'!$A:$C,2,0)</f>
        <v>Limbourg</v>
      </c>
      <c r="D524" t="str">
        <f>VLOOKUP(bron[[#This Row],[personeelsnr]],'data hastus'!$A:$C,3,0)</f>
        <v>Heidi</v>
      </c>
      <c r="E524" t="str">
        <f>VLOOKUP(bron[[#This Row],[personeelsnr]],'data hastus'!A:K,11,FALSE)</f>
        <v>Steven Storm</v>
      </c>
      <c r="F524" s="10"/>
      <c r="G524" s="7"/>
      <c r="H524" s="7"/>
      <c r="I524" s="7"/>
      <c r="S524" s="5">
        <f>SUM(bron[[#This Row],[Januari]:[December]])</f>
        <v>0</v>
      </c>
      <c r="T524" s="9">
        <v>45468</v>
      </c>
      <c r="U524" s="8" t="s">
        <v>536</v>
      </c>
      <c r="V524" s="8"/>
      <c r="W524" s="8">
        <v>1</v>
      </c>
      <c r="X524" t="s">
        <v>58</v>
      </c>
      <c r="Y524" t="s">
        <v>68</v>
      </c>
    </row>
    <row r="525" spans="1:25" x14ac:dyDescent="0.25">
      <c r="A525">
        <v>9999</v>
      </c>
      <c r="B525" t="str">
        <f>_xlfn.CONCAT([2]!bron[[#This Row],[personeelsnr]]," ",C525," ",D525)</f>
        <v>9999 - -</v>
      </c>
      <c r="C525" t="s">
        <v>2919</v>
      </c>
      <c r="D525" t="s">
        <v>2919</v>
      </c>
      <c r="E525" t="s">
        <v>810</v>
      </c>
      <c r="F525" s="10"/>
      <c r="G525" s="7"/>
      <c r="H525" s="7"/>
      <c r="I525" s="7"/>
      <c r="S525" s="5">
        <f>SUM(bron[[#This Row],[Januari]:[December]])</f>
        <v>0</v>
      </c>
      <c r="T525" s="9">
        <v>45467</v>
      </c>
      <c r="U525" s="8" t="s">
        <v>534</v>
      </c>
      <c r="V525" s="8">
        <v>1</v>
      </c>
      <c r="W525" s="8"/>
      <c r="X525" t="s">
        <v>57</v>
      </c>
      <c r="Y525" t="s">
        <v>192</v>
      </c>
    </row>
    <row r="526" spans="1:25" x14ac:dyDescent="0.25">
      <c r="A526">
        <v>37609</v>
      </c>
      <c r="B526" t="e">
        <f>_xlfn.CONCAT([2]!bron[[#This Row],[personeelsnr]]," ",C526," ",D526)</f>
        <v>#REF!</v>
      </c>
      <c r="C526" t="str">
        <f>VLOOKUP(bron[[#This Row],[personeelsnr]],'data hastus'!$A:$C,2,0)</f>
        <v>De Groote</v>
      </c>
      <c r="D526" t="str">
        <f>VLOOKUP(bron[[#This Row],[personeelsnr]],'data hastus'!$A:$C,3,0)</f>
        <v>Dylan</v>
      </c>
      <c r="E526" t="str">
        <f>VLOOKUP(bron[[#This Row],[personeelsnr]],'data hastus'!A:K,11,FALSE)</f>
        <v>Kenneth De Rick</v>
      </c>
      <c r="F526" s="10"/>
      <c r="G526" s="7"/>
      <c r="H526" s="7"/>
      <c r="I526" s="7"/>
      <c r="S526" s="5">
        <f>SUM(bron[[#This Row],[Januari]:[December]])</f>
        <v>0</v>
      </c>
      <c r="T526" s="9">
        <v>45465</v>
      </c>
      <c r="U526" s="8" t="s">
        <v>533</v>
      </c>
      <c r="V526" s="8">
        <v>1</v>
      </c>
      <c r="W526" s="8"/>
      <c r="X526" t="s">
        <v>57</v>
      </c>
      <c r="Y526" t="s">
        <v>43</v>
      </c>
    </row>
    <row r="527" spans="1:25" x14ac:dyDescent="0.25">
      <c r="A527">
        <v>9999</v>
      </c>
      <c r="B527" t="str">
        <f>_xlfn.CONCAT([2]!bron[[#This Row],[personeelsnr]]," ",C527," ",D527)</f>
        <v>9999 - -</v>
      </c>
      <c r="C527" t="s">
        <v>2919</v>
      </c>
      <c r="D527" t="s">
        <v>2919</v>
      </c>
      <c r="E527" t="s">
        <v>810</v>
      </c>
      <c r="F527" s="10"/>
      <c r="G527" s="7"/>
      <c r="H527" s="7"/>
      <c r="I527" s="7"/>
      <c r="S527" s="5">
        <f>SUM(bron[[#This Row],[Januari]:[December]])</f>
        <v>0</v>
      </c>
      <c r="T527" s="9">
        <v>45464</v>
      </c>
      <c r="U527" s="8" t="s">
        <v>532</v>
      </c>
      <c r="V527" s="8">
        <v>1</v>
      </c>
      <c r="W527" s="8"/>
      <c r="X527" t="s">
        <v>57</v>
      </c>
      <c r="Y527" t="s">
        <v>28</v>
      </c>
    </row>
    <row r="528" spans="1:25" x14ac:dyDescent="0.25">
      <c r="A528">
        <v>40223</v>
      </c>
      <c r="B528" t="e">
        <f>_xlfn.CONCAT([2]!bron[[#This Row],[personeelsnr]]," ",C528," ",D528)</f>
        <v>#REF!</v>
      </c>
      <c r="C528" t="str">
        <f>VLOOKUP(bron[[#This Row],[personeelsnr]],'data hastus'!$A:$C,2,0)</f>
        <v>Teetaert</v>
      </c>
      <c r="D528" t="str">
        <f>VLOOKUP(bron[[#This Row],[personeelsnr]],'data hastus'!$A:$C,3,0)</f>
        <v>Billy</v>
      </c>
      <c r="E528" t="str">
        <f>VLOOKUP(bron[[#This Row],[personeelsnr]],'data hastus'!A:K,11,FALSE)</f>
        <v>Dominique De Clercq</v>
      </c>
      <c r="F528" s="10"/>
      <c r="G528" s="7"/>
      <c r="H528" s="7"/>
      <c r="I528" s="7"/>
      <c r="S528" s="5">
        <f>SUM(bron[[#This Row],[Januari]:[December]])</f>
        <v>0</v>
      </c>
      <c r="T528" s="9">
        <v>45462</v>
      </c>
      <c r="U528" s="8" t="s">
        <v>531</v>
      </c>
      <c r="V528" s="8">
        <v>1</v>
      </c>
      <c r="W528" s="8"/>
      <c r="X528" t="s">
        <v>57</v>
      </c>
      <c r="Y528" t="s">
        <v>134</v>
      </c>
    </row>
    <row r="529" spans="1:25" x14ac:dyDescent="0.25">
      <c r="A529">
        <v>39528</v>
      </c>
      <c r="B529" t="e">
        <f>_xlfn.CONCAT([2]!bron[[#This Row],[personeelsnr]]," ",C529," ",D529)</f>
        <v>#REF!</v>
      </c>
      <c r="C529" t="str">
        <f>VLOOKUP(bron[[#This Row],[personeelsnr]],'data hastus'!$A:$C,2,0)</f>
        <v>Mihaylov</v>
      </c>
      <c r="D529" t="str">
        <f>VLOOKUP(bron[[#This Row],[personeelsnr]],'data hastus'!$A:$C,3,0)</f>
        <v>Plamen</v>
      </c>
      <c r="E529" t="str">
        <f>VLOOKUP(bron[[#This Row],[personeelsnr]],'data hastus'!A:K,11,FALSE)</f>
        <v>Christoff Rotty</v>
      </c>
      <c r="F529" s="10"/>
      <c r="G529" s="7"/>
      <c r="H529" s="7"/>
      <c r="I529" s="7"/>
      <c r="S529" s="5">
        <f>SUM(bron[[#This Row],[Januari]:[December]])</f>
        <v>0</v>
      </c>
      <c r="T529" s="9">
        <v>45461</v>
      </c>
      <c r="U529" s="8" t="s">
        <v>530</v>
      </c>
      <c r="V529" s="8">
        <v>1</v>
      </c>
      <c r="W529" s="8"/>
      <c r="X529" t="s">
        <v>57</v>
      </c>
      <c r="Y529" t="s">
        <v>141</v>
      </c>
    </row>
    <row r="530" spans="1:25" x14ac:dyDescent="0.25">
      <c r="A530">
        <v>35493</v>
      </c>
      <c r="B530" t="e">
        <f>_xlfn.CONCAT([2]!bron[[#This Row],[personeelsnr]]," ",C530," ",D530)</f>
        <v>#REF!</v>
      </c>
      <c r="C530" t="str">
        <f>VLOOKUP(bron[[#This Row],[personeelsnr]],'data hastus'!$A:$C,2,0)</f>
        <v>van Turnhout</v>
      </c>
      <c r="D530" t="str">
        <f>VLOOKUP(bron[[#This Row],[personeelsnr]],'data hastus'!$A:$C,3,0)</f>
        <v>Mariëlle</v>
      </c>
      <c r="E530" t="str">
        <f>VLOOKUP(bron[[#This Row],[personeelsnr]],'data hastus'!A:K,11,FALSE)</f>
        <v>Lucie Vande Velde</v>
      </c>
      <c r="F530" s="10"/>
      <c r="G530" s="7"/>
      <c r="H530" s="7"/>
      <c r="I530" s="7"/>
      <c r="S530" s="5">
        <f>SUM(bron[[#This Row],[Januari]:[December]])</f>
        <v>0</v>
      </c>
      <c r="T530" s="9">
        <v>45460</v>
      </c>
      <c r="U530" s="8" t="s">
        <v>528</v>
      </c>
      <c r="V530" s="8"/>
      <c r="W530" s="8">
        <v>1</v>
      </c>
      <c r="X530" t="s">
        <v>58</v>
      </c>
      <c r="Y530" t="s">
        <v>104</v>
      </c>
    </row>
    <row r="531" spans="1:25" x14ac:dyDescent="0.25">
      <c r="A531">
        <v>36635</v>
      </c>
      <c r="B531" t="e">
        <f>_xlfn.CONCAT([2]!bron[[#This Row],[personeelsnr]]," ",C531," ",D531)</f>
        <v>#REF!</v>
      </c>
      <c r="C531" t="str">
        <f>VLOOKUP(bron[[#This Row],[personeelsnr]],'data hastus'!$A:$C,2,0)</f>
        <v>Fadel</v>
      </c>
      <c r="D531" t="str">
        <f>VLOOKUP(bron[[#This Row],[personeelsnr]],'data hastus'!$A:$C,3,0)</f>
        <v>Husam</v>
      </c>
      <c r="E531" t="str">
        <f>VLOOKUP(bron[[#This Row],[personeelsnr]],'data hastus'!A:K,11,FALSE)</f>
        <v>Kenneth De Rick</v>
      </c>
      <c r="F531" s="10"/>
      <c r="G531" s="7"/>
      <c r="H531" s="7"/>
      <c r="I531" s="7"/>
      <c r="S531" s="5">
        <f>SUM(bron[[#This Row],[Januari]:[December]])</f>
        <v>0</v>
      </c>
      <c r="T531" s="9">
        <v>45460</v>
      </c>
      <c r="U531" s="8" t="s">
        <v>529</v>
      </c>
      <c r="V531" s="8"/>
      <c r="W531" s="8">
        <v>1</v>
      </c>
      <c r="X531" t="s">
        <v>58</v>
      </c>
      <c r="Y531" t="s">
        <v>104</v>
      </c>
    </row>
    <row r="532" spans="1:25" x14ac:dyDescent="0.25">
      <c r="A532">
        <v>14261</v>
      </c>
      <c r="B532" t="e">
        <f>_xlfn.CONCAT([2]!bron[[#This Row],[personeelsnr]]," ",C532," ",D532)</f>
        <v>#REF!</v>
      </c>
      <c r="C532" t="str">
        <f>VLOOKUP(bron[[#This Row],[personeelsnr]],'data hastus'!$A:$C,2,0)</f>
        <v>Vandaele</v>
      </c>
      <c r="D532" t="str">
        <f>VLOOKUP(bron[[#This Row],[personeelsnr]],'data hastus'!$A:$C,3,0)</f>
        <v>Sofie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S532" s="5">
        <f>SUM(bron[[#This Row],[Januari]:[December]])</f>
        <v>0</v>
      </c>
      <c r="T532" s="9">
        <v>45459</v>
      </c>
      <c r="U532" s="8" t="s">
        <v>527</v>
      </c>
      <c r="V532" s="8"/>
      <c r="W532" s="8">
        <v>1</v>
      </c>
      <c r="X532" t="s">
        <v>58</v>
      </c>
      <c r="Y532" t="s">
        <v>19</v>
      </c>
    </row>
    <row r="533" spans="1:25" x14ac:dyDescent="0.25">
      <c r="A533">
        <v>33986</v>
      </c>
      <c r="B533" t="e">
        <f>_xlfn.CONCAT([2]!bron[[#This Row],[personeelsnr]]," ",C533," ",D533)</f>
        <v>#REF!</v>
      </c>
      <c r="C533" t="str">
        <f>VLOOKUP(bron[[#This Row],[personeelsnr]],'data hastus'!$A:$C,2,0)</f>
        <v>Göktas</v>
      </c>
      <c r="D533" t="str">
        <f>VLOOKUP(bron[[#This Row],[personeelsnr]],'data hastus'!$A:$C,3,0)</f>
        <v>Muharrem</v>
      </c>
      <c r="E533" t="str">
        <f>VLOOKUP(bron[[#This Row],[personeelsnr]],'data hastus'!A:K,11,FALSE)</f>
        <v>Kenneth De Rick</v>
      </c>
      <c r="F533" s="10"/>
      <c r="G533" s="7"/>
      <c r="H533" s="7"/>
      <c r="I533" s="7"/>
      <c r="S533" s="5">
        <f>SUM(bron[[#This Row],[Januari]:[December]])</f>
        <v>0</v>
      </c>
      <c r="T533" s="9">
        <v>45458</v>
      </c>
      <c r="U533" s="8" t="s">
        <v>524</v>
      </c>
      <c r="V533" s="8">
        <v>1</v>
      </c>
      <c r="W533" s="8"/>
      <c r="X533" t="s">
        <v>57</v>
      </c>
      <c r="Y533" t="s">
        <v>30</v>
      </c>
    </row>
    <row r="534" spans="1:25" x14ac:dyDescent="0.25">
      <c r="A534">
        <v>39660</v>
      </c>
      <c r="B534" t="e">
        <f>_xlfn.CONCAT([2]!bron[[#This Row],[personeelsnr]]," ",C534," ",D534)</f>
        <v>#REF!</v>
      </c>
      <c r="C534" t="str">
        <f>VLOOKUP(bron[[#This Row],[personeelsnr]],'data hastus'!$A:$C,2,0)</f>
        <v>Lloyd</v>
      </c>
      <c r="D534" t="str">
        <f>VLOOKUP(bron[[#This Row],[personeelsnr]],'data hastus'!$A:$C,3,0)</f>
        <v>Glenn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S534" s="5">
        <f>SUM(bron[[#This Row],[Januari]:[December]])</f>
        <v>0</v>
      </c>
      <c r="T534" s="9">
        <v>45458</v>
      </c>
      <c r="U534" s="8" t="s">
        <v>525</v>
      </c>
      <c r="V534" s="8">
        <v>1</v>
      </c>
      <c r="W534" s="8"/>
      <c r="X534" t="s">
        <v>57</v>
      </c>
      <c r="Y534" t="s">
        <v>22</v>
      </c>
    </row>
    <row r="535" spans="1:25" x14ac:dyDescent="0.25">
      <c r="A535">
        <v>39660</v>
      </c>
      <c r="B535" t="e">
        <f>_xlfn.CONCAT([2]!bron[[#This Row],[personeelsnr]]," ",C535," ",D535)</f>
        <v>#REF!</v>
      </c>
      <c r="C535" t="str">
        <f>VLOOKUP(bron[[#This Row],[personeelsnr]],'data hastus'!$A:$C,2,0)</f>
        <v>Lloyd</v>
      </c>
      <c r="D535" t="str">
        <f>VLOOKUP(bron[[#This Row],[personeelsnr]],'data hastus'!$A:$C,3,0)</f>
        <v>Glenn</v>
      </c>
      <c r="E535" t="str">
        <f>VLOOKUP(bron[[#This Row],[personeelsnr]],'data hastus'!A:K,11,FALSE)</f>
        <v>Bart Van Der Beken</v>
      </c>
      <c r="F535" s="10"/>
      <c r="G535" s="7"/>
      <c r="H535" s="7"/>
      <c r="I535" s="7"/>
      <c r="S535" s="5">
        <f>SUM(bron[[#This Row],[Januari]:[December]])</f>
        <v>0</v>
      </c>
      <c r="T535" s="9">
        <v>45458</v>
      </c>
      <c r="U535" s="8" t="s">
        <v>526</v>
      </c>
      <c r="V535" s="8">
        <v>1</v>
      </c>
      <c r="W535" s="8"/>
      <c r="X535" t="s">
        <v>57</v>
      </c>
      <c r="Y535" t="s">
        <v>22</v>
      </c>
    </row>
    <row r="536" spans="1:25" x14ac:dyDescent="0.25">
      <c r="A536">
        <v>40036</v>
      </c>
      <c r="B536" t="e">
        <f>_xlfn.CONCAT([2]!bron[[#This Row],[personeelsnr]]," ",C536," ",D536)</f>
        <v>#REF!</v>
      </c>
      <c r="C536" t="str">
        <f>VLOOKUP(bron[[#This Row],[personeelsnr]],'data hastus'!$A:$C,2,0)</f>
        <v>Karakaya</v>
      </c>
      <c r="D536" t="str">
        <f>VLOOKUP(bron[[#This Row],[personeelsnr]],'data hastus'!$A:$C,3,0)</f>
        <v>Oguz</v>
      </c>
      <c r="E536" t="str">
        <f>VLOOKUP(bron[[#This Row],[personeelsnr]],'data hastus'!A:K,11,FALSE)</f>
        <v>Dominique De Clercq</v>
      </c>
      <c r="F536" s="10"/>
      <c r="G536" s="7"/>
      <c r="H536" s="7"/>
      <c r="I536" s="7"/>
      <c r="S536" s="5">
        <f>SUM(bron[[#This Row],[Januari]:[December]])</f>
        <v>0</v>
      </c>
      <c r="T536" s="9">
        <v>45457</v>
      </c>
      <c r="U536" s="8" t="s">
        <v>523</v>
      </c>
      <c r="V536" s="8">
        <v>1</v>
      </c>
      <c r="W536" s="8"/>
      <c r="X536" t="s">
        <v>57</v>
      </c>
      <c r="Y536" t="s">
        <v>37</v>
      </c>
    </row>
    <row r="537" spans="1:25" x14ac:dyDescent="0.25">
      <c r="A537">
        <v>40521</v>
      </c>
      <c r="B537" t="e">
        <f>_xlfn.CONCAT([2]!bron[[#This Row],[personeelsnr]]," ",C537," ",D537)</f>
        <v>#REF!</v>
      </c>
      <c r="C537" t="str">
        <f>VLOOKUP(bron[[#This Row],[personeelsnr]],'data hastus'!$A:$C,2,0)</f>
        <v>Mekdad</v>
      </c>
      <c r="D537" t="str">
        <f>VLOOKUP(bron[[#This Row],[personeelsnr]],'data hastus'!$A:$C,3,0)</f>
        <v>Ali</v>
      </c>
      <c r="E537" t="str">
        <f>VLOOKUP(bron[[#This Row],[personeelsnr]],'data hastus'!A:K,11,FALSE)</f>
        <v>Lucie Vande Velde</v>
      </c>
      <c r="F537" s="10"/>
      <c r="G537" s="7"/>
      <c r="H537" s="7"/>
      <c r="I537" s="7"/>
      <c r="S537" s="5">
        <f>SUM(bron[[#This Row],[Januari]:[December]])</f>
        <v>0</v>
      </c>
      <c r="T537" s="9">
        <v>45456</v>
      </c>
      <c r="U537" s="8" t="s">
        <v>520</v>
      </c>
      <c r="V537" s="8">
        <v>1</v>
      </c>
      <c r="W537" s="8"/>
      <c r="X537" t="s">
        <v>57</v>
      </c>
      <c r="Y537" t="s">
        <v>72</v>
      </c>
    </row>
    <row r="538" spans="1:25" x14ac:dyDescent="0.25">
      <c r="A538">
        <v>37542</v>
      </c>
      <c r="B538" t="e">
        <f>_xlfn.CONCAT([2]!bron[[#This Row],[personeelsnr]]," ",C538," ",D538)</f>
        <v>#REF!</v>
      </c>
      <c r="C538" t="str">
        <f>VLOOKUP(bron[[#This Row],[personeelsnr]],'data hastus'!$A:$C,2,0)</f>
        <v>De Tandt</v>
      </c>
      <c r="D538" t="str">
        <f>VLOOKUP(bron[[#This Row],[personeelsnr]],'data hastus'!$A:$C,3,0)</f>
        <v>Hans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S538" s="5">
        <f>SUM(bron[[#This Row],[Januari]:[December]])</f>
        <v>0</v>
      </c>
      <c r="T538" s="9">
        <v>45456</v>
      </c>
      <c r="U538" s="8" t="s">
        <v>521</v>
      </c>
      <c r="V538" s="8">
        <v>1</v>
      </c>
      <c r="W538" s="8"/>
      <c r="X538" t="s">
        <v>57</v>
      </c>
      <c r="Y538" t="s">
        <v>22</v>
      </c>
    </row>
    <row r="539" spans="1:25" x14ac:dyDescent="0.25">
      <c r="A539">
        <v>37542</v>
      </c>
      <c r="B539" t="e">
        <f>_xlfn.CONCAT([2]!bron[[#This Row],[personeelsnr]]," ",C539," ",D539)</f>
        <v>#REF!</v>
      </c>
      <c r="C539" t="str">
        <f>VLOOKUP(bron[[#This Row],[personeelsnr]],'data hastus'!$A:$C,2,0)</f>
        <v>De Tandt</v>
      </c>
      <c r="D539" t="str">
        <f>VLOOKUP(bron[[#This Row],[personeelsnr]],'data hastus'!$A:$C,3,0)</f>
        <v>Hans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S539" s="5">
        <f>SUM(bron[[#This Row],[Januari]:[December]])</f>
        <v>0</v>
      </c>
      <c r="T539" s="9">
        <v>45456</v>
      </c>
      <c r="U539" s="8" t="s">
        <v>522</v>
      </c>
      <c r="V539" s="8">
        <v>1</v>
      </c>
      <c r="W539" s="8"/>
      <c r="X539" t="s">
        <v>57</v>
      </c>
      <c r="Y539" t="s">
        <v>22</v>
      </c>
    </row>
    <row r="540" spans="1:25" x14ac:dyDescent="0.25">
      <c r="A540">
        <v>39929</v>
      </c>
      <c r="B540" t="e">
        <f>_xlfn.CONCAT([2]!bron[[#This Row],[personeelsnr]]," ",C540," ",D540)</f>
        <v>#REF!</v>
      </c>
      <c r="C540" t="str">
        <f>VLOOKUP(bron[[#This Row],[personeelsnr]],'data hastus'!$A:$C,2,0)</f>
        <v>Staneva</v>
      </c>
      <c r="D540" t="str">
        <f>VLOOKUP(bron[[#This Row],[personeelsnr]],'data hastus'!$A:$C,3,0)</f>
        <v>Mariyana</v>
      </c>
      <c r="E540" t="str">
        <f>VLOOKUP(bron[[#This Row],[personeelsnr]],'data hastus'!A:K,11,FALSE)</f>
        <v>Christoff Rotty</v>
      </c>
      <c r="F540" s="10"/>
      <c r="G540" s="7"/>
      <c r="H540" s="7"/>
      <c r="I540" s="7"/>
      <c r="S540" s="5">
        <f>SUM(bron[[#This Row],[Januari]:[December]])</f>
        <v>0</v>
      </c>
      <c r="T540" s="9">
        <v>45455</v>
      </c>
      <c r="U540" s="8" t="s">
        <v>517</v>
      </c>
      <c r="V540" s="8">
        <v>1</v>
      </c>
      <c r="W540" s="8"/>
      <c r="X540" t="s">
        <v>57</v>
      </c>
      <c r="Y540" t="s">
        <v>18</v>
      </c>
    </row>
    <row r="541" spans="1:25" x14ac:dyDescent="0.25">
      <c r="A541">
        <v>40110</v>
      </c>
      <c r="B541" t="e">
        <f>_xlfn.CONCAT([2]!bron[[#This Row],[personeelsnr]]," ",C541," ",D541)</f>
        <v>#REF!</v>
      </c>
      <c r="C541" t="str">
        <f>VLOOKUP(bron[[#This Row],[personeelsnr]],'data hastus'!$A:$C,2,0)</f>
        <v>Vanlerberghe</v>
      </c>
      <c r="D541" t="str">
        <f>VLOOKUP(bron[[#This Row],[personeelsnr]],'data hastus'!$A:$C,3,0)</f>
        <v>Sandra</v>
      </c>
      <c r="E541" t="str">
        <f>VLOOKUP(bron[[#This Row],[personeelsnr]],'data hastus'!A:K,11,FALSE)</f>
        <v>Christoff Rotty</v>
      </c>
      <c r="F541" s="10"/>
      <c r="G541" s="7"/>
      <c r="H541" s="7"/>
      <c r="I541" s="7"/>
      <c r="S541" s="5">
        <f>SUM(bron[[#This Row],[Januari]:[December]])</f>
        <v>0</v>
      </c>
      <c r="T541" s="9">
        <v>45455</v>
      </c>
      <c r="U541" s="8" t="s">
        <v>518</v>
      </c>
      <c r="V541" s="8">
        <v>1</v>
      </c>
      <c r="W541" s="8"/>
      <c r="X541" t="s">
        <v>57</v>
      </c>
      <c r="Y541" t="s">
        <v>93</v>
      </c>
    </row>
    <row r="542" spans="1:25" x14ac:dyDescent="0.25">
      <c r="A542">
        <v>31689</v>
      </c>
      <c r="B542" t="e">
        <f>_xlfn.CONCAT([2]!bron[[#This Row],[personeelsnr]]," ",C542," ",D542)</f>
        <v>#REF!</v>
      </c>
      <c r="C542" t="str">
        <f>VLOOKUP(bron[[#This Row],[personeelsnr]],'data hastus'!$A:$C,2,0)</f>
        <v>Van Achte</v>
      </c>
      <c r="D542" t="str">
        <f>VLOOKUP(bron[[#This Row],[personeelsnr]],'data hastus'!$A:$C,3,0)</f>
        <v>Jay</v>
      </c>
      <c r="E542" t="str">
        <f>VLOOKUP(bron[[#This Row],[personeelsnr]],'data hastus'!A:K,11,FALSE)</f>
        <v>Steven Storm</v>
      </c>
      <c r="F542" s="10"/>
      <c r="G542" s="7"/>
      <c r="H542" s="7"/>
      <c r="I542" s="7"/>
      <c r="S542" s="5">
        <f>SUM(bron[[#This Row],[Januari]:[December]])</f>
        <v>0</v>
      </c>
      <c r="T542" s="9">
        <v>45455</v>
      </c>
      <c r="U542" s="8" t="s">
        <v>519</v>
      </c>
      <c r="V542" s="8">
        <v>1</v>
      </c>
      <c r="W542" s="8"/>
      <c r="X542" t="s">
        <v>57</v>
      </c>
      <c r="Y542" t="s">
        <v>389</v>
      </c>
    </row>
    <row r="543" spans="1:25" x14ac:dyDescent="0.25">
      <c r="A543">
        <v>29478</v>
      </c>
      <c r="B543" t="e">
        <f>_xlfn.CONCAT([2]!bron[[#This Row],[personeelsnr]]," ",C543," ",D543)</f>
        <v>#REF!</v>
      </c>
      <c r="C543" t="str">
        <f>VLOOKUP(bron[[#This Row],[personeelsnr]],'data hastus'!$A:$C,2,0)</f>
        <v>Priwall</v>
      </c>
      <c r="D543" t="str">
        <f>VLOOKUP(bron[[#This Row],[personeelsnr]],'data hastus'!$A:$C,3,0)</f>
        <v>Heike</v>
      </c>
      <c r="E543" t="str">
        <f>VLOOKUP(bron[[#This Row],[personeelsnr]],'data hastus'!A:K,11,FALSE)</f>
        <v>Els Dewulf</v>
      </c>
      <c r="F543" s="10"/>
      <c r="G543" s="7"/>
      <c r="H543" s="7"/>
      <c r="I543" s="7"/>
      <c r="S543" s="5">
        <f>SUM(bron[[#This Row],[Januari]:[December]])</f>
        <v>0</v>
      </c>
      <c r="T543" s="9">
        <v>45454</v>
      </c>
      <c r="U543" s="8" t="s">
        <v>515</v>
      </c>
      <c r="V543" s="8">
        <v>1</v>
      </c>
      <c r="W543" s="8"/>
      <c r="X543" t="s">
        <v>57</v>
      </c>
      <c r="Y543" t="s">
        <v>208</v>
      </c>
    </row>
    <row r="544" spans="1:25" x14ac:dyDescent="0.25">
      <c r="A544">
        <v>9999</v>
      </c>
      <c r="B544" t="str">
        <f>_xlfn.CONCAT([2]!bron[[#This Row],[personeelsnr]]," ",C544," ",D544)</f>
        <v>9999 - -</v>
      </c>
      <c r="C544" t="s">
        <v>2919</v>
      </c>
      <c r="D544" t="s">
        <v>2919</v>
      </c>
      <c r="E544" t="s">
        <v>810</v>
      </c>
      <c r="F544" s="10"/>
      <c r="G544" s="7"/>
      <c r="H544" s="7"/>
      <c r="I544" s="7"/>
      <c r="S544" s="5">
        <f>SUM(bron[[#This Row],[Januari]:[December]])</f>
        <v>0</v>
      </c>
      <c r="T544" s="9">
        <v>45454</v>
      </c>
      <c r="U544" s="8" t="s">
        <v>516</v>
      </c>
      <c r="V544" s="8">
        <v>1</v>
      </c>
      <c r="W544" s="8"/>
      <c r="X544" t="s">
        <v>57</v>
      </c>
      <c r="Y544" t="s">
        <v>237</v>
      </c>
    </row>
    <row r="545" spans="1:25" x14ac:dyDescent="0.25">
      <c r="A545">
        <v>9999</v>
      </c>
      <c r="B545" t="str">
        <f>_xlfn.CONCAT([2]!bron[[#This Row],[personeelsnr]]," ",C545," ",D545)</f>
        <v>9999 - -</v>
      </c>
      <c r="C545" t="s">
        <v>2919</v>
      </c>
      <c r="D545" t="s">
        <v>2919</v>
      </c>
      <c r="E545" t="s">
        <v>810</v>
      </c>
      <c r="F545" s="10"/>
      <c r="G545" s="7"/>
      <c r="H545" s="7"/>
      <c r="I545" s="7"/>
      <c r="S545" s="5">
        <f>SUM(bron[[#This Row],[Januari]:[December]])</f>
        <v>0</v>
      </c>
      <c r="T545" s="9">
        <v>45453</v>
      </c>
      <c r="U545" s="8" t="s">
        <v>509</v>
      </c>
      <c r="V545" s="8">
        <v>1</v>
      </c>
      <c r="W545" s="8"/>
      <c r="X545" t="s">
        <v>57</v>
      </c>
      <c r="Y545" t="s">
        <v>22</v>
      </c>
    </row>
    <row r="546" spans="1:25" x14ac:dyDescent="0.25">
      <c r="A546">
        <v>27186</v>
      </c>
      <c r="B546" t="e">
        <f>_xlfn.CONCAT([2]!bron[[#This Row],[personeelsnr]]," ",C546," ",D546)</f>
        <v>#REF!</v>
      </c>
      <c r="C546" t="str">
        <f>VLOOKUP(bron[[#This Row],[personeelsnr]],'data hastus'!$A:$C,2,0)</f>
        <v>Neghli</v>
      </c>
      <c r="D546" t="str">
        <f>VLOOKUP(bron[[#This Row],[personeelsnr]],'data hastus'!$A:$C,3,0)</f>
        <v>Farid</v>
      </c>
      <c r="E546" t="str">
        <f>VLOOKUP(bron[[#This Row],[personeelsnr]],'data hastus'!A:K,11,FALSE)</f>
        <v>Christoff Rotty</v>
      </c>
      <c r="F546" s="10"/>
      <c r="G546" s="7"/>
      <c r="H546" s="7"/>
      <c r="I546" s="7"/>
      <c r="S546" s="5">
        <f>SUM(bron[[#This Row],[Januari]:[December]])</f>
        <v>0</v>
      </c>
      <c r="T546" s="9">
        <v>45453</v>
      </c>
      <c r="U546" s="8" t="s">
        <v>510</v>
      </c>
      <c r="V546" s="8">
        <v>1</v>
      </c>
      <c r="W546" s="8"/>
      <c r="X546" t="s">
        <v>57</v>
      </c>
      <c r="Y546" t="s">
        <v>18</v>
      </c>
    </row>
    <row r="547" spans="1:25" x14ac:dyDescent="0.25">
      <c r="A547">
        <v>39013</v>
      </c>
      <c r="B547" t="e">
        <f>_xlfn.CONCAT([2]!bron[[#This Row],[personeelsnr]]," ",C547," ",D547)</f>
        <v>#REF!</v>
      </c>
      <c r="C547" t="str">
        <f>VLOOKUP(bron[[#This Row],[personeelsnr]],'data hastus'!$A:$C,2,0)</f>
        <v>Asrih</v>
      </c>
      <c r="D547" t="str">
        <f>VLOOKUP(bron[[#This Row],[personeelsnr]],'data hastus'!$A:$C,3,0)</f>
        <v>Habib</v>
      </c>
      <c r="E547" t="str">
        <f>VLOOKUP(bron[[#This Row],[personeelsnr]],'data hastus'!A:K,11,FALSE)</f>
        <v>Els Dewulf</v>
      </c>
      <c r="F547" s="10"/>
      <c r="G547" s="7"/>
      <c r="H547" s="7"/>
      <c r="I547" s="7"/>
      <c r="S547" s="5">
        <f>SUM(bron[[#This Row],[Januari]:[December]])</f>
        <v>0</v>
      </c>
      <c r="T547" s="9">
        <v>45453</v>
      </c>
      <c r="U547" s="8" t="s">
        <v>511</v>
      </c>
      <c r="V547" s="8">
        <v>1</v>
      </c>
      <c r="W547" s="8"/>
      <c r="X547" t="s">
        <v>57</v>
      </c>
      <c r="Y547" t="s">
        <v>20</v>
      </c>
    </row>
    <row r="548" spans="1:25" x14ac:dyDescent="0.25">
      <c r="A548">
        <v>37131</v>
      </c>
      <c r="B548" t="e">
        <f>_xlfn.CONCAT([2]!bron[[#This Row],[personeelsnr]]," ",C548," ",D548)</f>
        <v>#REF!</v>
      </c>
      <c r="C548" t="str">
        <f>VLOOKUP(bron[[#This Row],[personeelsnr]],'data hastus'!$A:$C,2,0)</f>
        <v>Saritag</v>
      </c>
      <c r="D548" t="str">
        <f>VLOOKUP(bron[[#This Row],[personeelsnr]],'data hastus'!$A:$C,3,0)</f>
        <v>Mehmed</v>
      </c>
      <c r="E548" t="str">
        <f>VLOOKUP(bron[[#This Row],[personeelsnr]],'data hastus'!A:K,11,FALSE)</f>
        <v>Kenneth De Rick</v>
      </c>
      <c r="F548" s="10"/>
      <c r="G548" s="7"/>
      <c r="H548" s="7"/>
      <c r="I548" s="7"/>
      <c r="S548" s="5">
        <f>SUM(bron[[#This Row],[Januari]:[December]])</f>
        <v>0</v>
      </c>
      <c r="T548" s="9">
        <v>45453</v>
      </c>
      <c r="U548" s="8" t="s">
        <v>512</v>
      </c>
      <c r="V548" s="8">
        <v>1</v>
      </c>
      <c r="W548" s="8"/>
      <c r="X548" t="s">
        <v>57</v>
      </c>
      <c r="Y548" t="s">
        <v>238</v>
      </c>
    </row>
    <row r="549" spans="1:25" x14ac:dyDescent="0.25">
      <c r="A549">
        <v>38808</v>
      </c>
      <c r="B549" t="e">
        <f>_xlfn.CONCAT([2]!bron[[#This Row],[personeelsnr]]," ",C549," ",D549)</f>
        <v>#REF!</v>
      </c>
      <c r="C549" t="str">
        <f>VLOOKUP(bron[[#This Row],[personeelsnr]],'data hastus'!$A:$C,2,0)</f>
        <v>Wasen</v>
      </c>
      <c r="D549" t="str">
        <f>VLOOKUP(bron[[#This Row],[personeelsnr]],'data hastus'!$A:$C,3,0)</f>
        <v>Jens</v>
      </c>
      <c r="E549" t="str">
        <f>VLOOKUP(bron[[#This Row],[personeelsnr]],'data hastus'!A:K,11,FALSE)</f>
        <v>Els Dewulf</v>
      </c>
      <c r="F549" s="10"/>
      <c r="G549" s="7"/>
      <c r="H549" s="7"/>
      <c r="I549" s="7"/>
      <c r="S549" s="5">
        <f>SUM(bron[[#This Row],[Januari]:[December]])</f>
        <v>0</v>
      </c>
      <c r="T549" s="9">
        <v>45453</v>
      </c>
      <c r="U549" s="8" t="s">
        <v>513</v>
      </c>
      <c r="V549" s="8">
        <v>1</v>
      </c>
      <c r="W549" s="8"/>
      <c r="X549" t="s">
        <v>57</v>
      </c>
      <c r="Y549" t="s">
        <v>18</v>
      </c>
    </row>
    <row r="550" spans="1:25" x14ac:dyDescent="0.25">
      <c r="A550">
        <v>9999</v>
      </c>
      <c r="B550" t="str">
        <f>_xlfn.CONCAT([2]!bron[[#This Row],[personeelsnr]]," ",C550," ",D550)</f>
        <v>9999 - -</v>
      </c>
      <c r="C550" t="s">
        <v>2919</v>
      </c>
      <c r="D550" t="s">
        <v>2919</v>
      </c>
      <c r="E550" t="s">
        <v>810</v>
      </c>
      <c r="F550" s="10"/>
      <c r="G550" s="7"/>
      <c r="H550" s="7"/>
      <c r="I550" s="7"/>
      <c r="S550" s="5">
        <f>SUM(bron[[#This Row],[Januari]:[December]])</f>
        <v>0</v>
      </c>
      <c r="T550" s="9">
        <v>45453</v>
      </c>
      <c r="U550" s="8" t="s">
        <v>514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37936</v>
      </c>
      <c r="B551" t="e">
        <f>_xlfn.CONCAT([2]!bron[[#This Row],[personeelsnr]]," ",C551," ",D551)</f>
        <v>#REF!</v>
      </c>
      <c r="C551" t="str">
        <f>VLOOKUP(bron[[#This Row],[personeelsnr]],'data hastus'!$A:$C,2,0)</f>
        <v>Detaeye</v>
      </c>
      <c r="D551" t="str">
        <f>VLOOKUP(bron[[#This Row],[personeelsnr]],'data hastus'!$A:$C,3,0)</f>
        <v>Alexander</v>
      </c>
      <c r="E551" t="str">
        <f>VLOOKUP(bron[[#This Row],[personeelsnr]],'data hastus'!A:K,11,FALSE)</f>
        <v>Steven Storm</v>
      </c>
      <c r="F551" s="10"/>
      <c r="G551" s="7"/>
      <c r="H551" s="7"/>
      <c r="I551" s="7"/>
      <c r="S551" s="5">
        <f>SUM(bron[[#This Row],[Januari]:[December]])</f>
        <v>0</v>
      </c>
      <c r="T551" s="9">
        <v>45450</v>
      </c>
      <c r="U551" s="8" t="s">
        <v>508</v>
      </c>
      <c r="V551" s="8">
        <v>1</v>
      </c>
      <c r="W551" s="8"/>
      <c r="X551" t="s">
        <v>57</v>
      </c>
      <c r="Y551" t="s">
        <v>242</v>
      </c>
    </row>
    <row r="552" spans="1:25" x14ac:dyDescent="0.25">
      <c r="A552">
        <v>39183</v>
      </c>
      <c r="B552" t="e">
        <f>_xlfn.CONCAT([2]!bron[[#This Row],[personeelsnr]]," ",C552," ",D552)</f>
        <v>#REF!</v>
      </c>
      <c r="C552" t="str">
        <f>VLOOKUP(bron[[#This Row],[personeelsnr]],'data hastus'!$A:$C,2,0)</f>
        <v>Al Masri</v>
      </c>
      <c r="D552" t="str">
        <f>VLOOKUP(bron[[#This Row],[personeelsnr]],'data hastus'!$A:$C,3,0)</f>
        <v>Anas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S552" s="5">
        <f>SUM(bron[[#This Row],[Januari]:[December]])</f>
        <v>0</v>
      </c>
      <c r="T552" s="9">
        <v>45449</v>
      </c>
      <c r="U552" s="8" t="s">
        <v>506</v>
      </c>
      <c r="V552" s="8">
        <v>1</v>
      </c>
      <c r="W552" s="8"/>
      <c r="X552" t="s">
        <v>57</v>
      </c>
      <c r="Y552" t="s">
        <v>24</v>
      </c>
    </row>
    <row r="553" spans="1:25" x14ac:dyDescent="0.25">
      <c r="A553">
        <v>9999</v>
      </c>
      <c r="B553" t="str">
        <f>_xlfn.CONCAT([2]!bron[[#This Row],[personeelsnr]]," ",C553," ",D553)</f>
        <v>9999 - -</v>
      </c>
      <c r="C553" t="s">
        <v>2919</v>
      </c>
      <c r="D553" t="s">
        <v>2919</v>
      </c>
      <c r="E553" t="s">
        <v>810</v>
      </c>
      <c r="F553" s="10"/>
      <c r="G553" s="7"/>
      <c r="H553" s="7"/>
      <c r="I553" s="7"/>
      <c r="S553" s="5">
        <f>SUM(bron[[#This Row],[Januari]:[December]])</f>
        <v>0</v>
      </c>
      <c r="T553" s="9">
        <v>45449</v>
      </c>
      <c r="U553" s="8" t="s">
        <v>507</v>
      </c>
      <c r="V553" s="8">
        <v>1</v>
      </c>
      <c r="W553" s="8"/>
      <c r="X553" t="s">
        <v>57</v>
      </c>
      <c r="Y553" t="s">
        <v>25</v>
      </c>
    </row>
    <row r="554" spans="1:25" x14ac:dyDescent="0.25">
      <c r="A554">
        <v>31731</v>
      </c>
      <c r="B554" t="e">
        <f>_xlfn.CONCAT([2]!bron[[#This Row],[personeelsnr]]," ",C554," ",D554)</f>
        <v>#REF!</v>
      </c>
      <c r="C554" t="str">
        <f>VLOOKUP(bron[[#This Row],[personeelsnr]],'data hastus'!$A:$C,2,0)</f>
        <v>Dedapper</v>
      </c>
      <c r="D554" t="str">
        <f>VLOOKUP(bron[[#This Row],[personeelsnr]],'data hastus'!$A:$C,3,0)</f>
        <v>Marijke</v>
      </c>
      <c r="E554" t="str">
        <f>VLOOKUP(bron[[#This Row],[personeelsnr]],'data hastus'!A:K,11,FALSE)</f>
        <v>Els Vanhoe</v>
      </c>
      <c r="F554" s="10"/>
      <c r="G554" s="7"/>
      <c r="H554" s="7"/>
      <c r="I554" s="7"/>
      <c r="S554" s="5">
        <f>SUM(bron[[#This Row],[Januari]:[December]])</f>
        <v>0</v>
      </c>
      <c r="T554" s="9">
        <v>45448</v>
      </c>
      <c r="U554" s="8" t="s">
        <v>503</v>
      </c>
      <c r="V554" s="8">
        <v>1</v>
      </c>
      <c r="W554" s="8"/>
      <c r="X554" t="s">
        <v>57</v>
      </c>
      <c r="Y554" t="s">
        <v>84</v>
      </c>
    </row>
    <row r="555" spans="1:25" x14ac:dyDescent="0.25">
      <c r="A555">
        <v>39712</v>
      </c>
      <c r="B555" t="e">
        <f>_xlfn.CONCAT([2]!bron[[#This Row],[personeelsnr]]," ",C555," ",D555)</f>
        <v>#REF!</v>
      </c>
      <c r="C555" t="str">
        <f>VLOOKUP(bron[[#This Row],[personeelsnr]],'data hastus'!$A:$C,2,0)</f>
        <v>Repaj</v>
      </c>
      <c r="D555" t="str">
        <f>VLOOKUP(bron[[#This Row],[personeelsnr]],'data hastus'!$A:$C,3,0)</f>
        <v>Ramazan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S555" s="5">
        <f>SUM(bron[[#This Row],[Januari]:[December]])</f>
        <v>0</v>
      </c>
      <c r="T555" s="9">
        <v>45448</v>
      </c>
      <c r="U555" s="8" t="s">
        <v>504</v>
      </c>
      <c r="V555" s="8">
        <v>1</v>
      </c>
      <c r="W555" s="8"/>
      <c r="X555" t="s">
        <v>57</v>
      </c>
      <c r="Y555" t="s">
        <v>99</v>
      </c>
    </row>
    <row r="556" spans="1:25" x14ac:dyDescent="0.25">
      <c r="A556">
        <v>29179</v>
      </c>
      <c r="B556" t="e">
        <f>_xlfn.CONCAT([2]!bron[[#This Row],[personeelsnr]]," ",C556," ",D556)</f>
        <v>#REF!</v>
      </c>
      <c r="C556" t="str">
        <f>VLOOKUP(bron[[#This Row],[personeelsnr]],'data hastus'!$A:$C,2,0)</f>
        <v>Verwee</v>
      </c>
      <c r="D556" t="str">
        <f>VLOOKUP(bron[[#This Row],[personeelsnr]],'data hastus'!$A:$C,3,0)</f>
        <v>Dries</v>
      </c>
      <c r="E556" t="str">
        <f>VLOOKUP(bron[[#This Row],[personeelsnr]],'data hastus'!A:K,11,FALSE)</f>
        <v>Els Dewulf</v>
      </c>
      <c r="F556" s="10"/>
      <c r="G556" s="7"/>
      <c r="H556" s="7"/>
      <c r="I556" s="7"/>
      <c r="S556" s="5">
        <f>SUM(bron[[#This Row],[Januari]:[December]])</f>
        <v>0</v>
      </c>
      <c r="T556" s="9">
        <v>45448</v>
      </c>
      <c r="U556" s="8" t="s">
        <v>505</v>
      </c>
      <c r="V556" s="8"/>
      <c r="W556" s="8">
        <v>1</v>
      </c>
      <c r="X556" t="s">
        <v>58</v>
      </c>
      <c r="Y556" t="s">
        <v>118</v>
      </c>
    </row>
    <row r="557" spans="1:25" x14ac:dyDescent="0.25">
      <c r="A557">
        <v>34325</v>
      </c>
      <c r="B557" t="e">
        <f>_xlfn.CONCAT([2]!bron[[#This Row],[personeelsnr]]," ",C557," ",D557)</f>
        <v>#REF!</v>
      </c>
      <c r="C557" t="str">
        <f>VLOOKUP(bron[[#This Row],[personeelsnr]],'data hastus'!$A:$C,2,0)</f>
        <v>Eid</v>
      </c>
      <c r="D557" t="str">
        <f>VLOOKUP(bron[[#This Row],[personeelsnr]],'data hastus'!$A:$C,3,0)</f>
        <v>Mathyn</v>
      </c>
      <c r="E557" t="str">
        <f>VLOOKUP(bron[[#This Row],[personeelsnr]],'data hastus'!A:K,11,FALSE)</f>
        <v>Steven Storm</v>
      </c>
      <c r="F557" s="10"/>
      <c r="G557" s="7"/>
      <c r="H557" s="7"/>
      <c r="I557" s="7"/>
      <c r="S557" s="5">
        <f>SUM(bron[[#This Row],[Januari]:[December]])</f>
        <v>0</v>
      </c>
      <c r="T557" s="9">
        <v>45447</v>
      </c>
      <c r="U557" s="8" t="s">
        <v>500</v>
      </c>
      <c r="V557" s="8"/>
      <c r="W557" s="8">
        <v>1</v>
      </c>
      <c r="X557" t="s">
        <v>58</v>
      </c>
      <c r="Y557" t="s">
        <v>76</v>
      </c>
    </row>
    <row r="558" spans="1:25" x14ac:dyDescent="0.25">
      <c r="A558">
        <v>19249</v>
      </c>
      <c r="B558" t="e">
        <f>_xlfn.CONCAT([2]!bron[[#This Row],[personeelsnr]]," ",C558," ",D558)</f>
        <v>#REF!</v>
      </c>
      <c r="C558" t="str">
        <f>VLOOKUP(bron[[#This Row],[personeelsnr]],'data hastus'!$A:$C,2,0)</f>
        <v>Odaci</v>
      </c>
      <c r="D558" t="str">
        <f>VLOOKUP(bron[[#This Row],[personeelsnr]],'data hastus'!$A:$C,3,0)</f>
        <v>Kadir</v>
      </c>
      <c r="E558" t="str">
        <f>VLOOKUP(bron[[#This Row],[personeelsnr]],'data hastus'!A:K,11,FALSE)</f>
        <v>Lucie Vande Velde</v>
      </c>
      <c r="F558" s="10"/>
      <c r="G558" s="7"/>
      <c r="H558" s="7"/>
      <c r="I558" s="7"/>
      <c r="S558" s="5">
        <f>SUM(bron[[#This Row],[Januari]:[December]])</f>
        <v>0</v>
      </c>
      <c r="T558" s="9">
        <v>45447</v>
      </c>
      <c r="U558" s="8" t="s">
        <v>501</v>
      </c>
      <c r="V558" s="8"/>
      <c r="W558" s="8">
        <v>1</v>
      </c>
      <c r="X558" t="s">
        <v>58</v>
      </c>
      <c r="Y558" t="s">
        <v>127</v>
      </c>
    </row>
    <row r="559" spans="1:25" x14ac:dyDescent="0.25">
      <c r="A559">
        <v>34325</v>
      </c>
      <c r="B559" t="e">
        <f>_xlfn.CONCAT([2]!bron[[#This Row],[personeelsnr]]," ",C559," ",D559)</f>
        <v>#REF!</v>
      </c>
      <c r="C559" t="str">
        <f>VLOOKUP(bron[[#This Row],[personeelsnr]],'data hastus'!$A:$C,2,0)</f>
        <v>Eid</v>
      </c>
      <c r="D559" t="str">
        <f>VLOOKUP(bron[[#This Row],[personeelsnr]],'data hastus'!$A:$C,3,0)</f>
        <v>Mathyn</v>
      </c>
      <c r="E559" t="str">
        <f>VLOOKUP(bron[[#This Row],[personeelsnr]],'data hastus'!A:K,11,FALSE)</f>
        <v>Steven Storm</v>
      </c>
      <c r="F559" s="10"/>
      <c r="G559" s="7"/>
      <c r="H559" s="7"/>
      <c r="I559" s="7"/>
      <c r="S559" s="5">
        <f>SUM(bron[[#This Row],[Januari]:[December]])</f>
        <v>0</v>
      </c>
      <c r="T559" s="9">
        <v>45447</v>
      </c>
      <c r="U559" s="8" t="s">
        <v>502</v>
      </c>
      <c r="V559" s="8"/>
      <c r="W559" s="8">
        <v>1</v>
      </c>
      <c r="X559" t="s">
        <v>58</v>
      </c>
      <c r="Y559" t="s">
        <v>76</v>
      </c>
    </row>
    <row r="560" spans="1:25" x14ac:dyDescent="0.25">
      <c r="A560">
        <v>36624</v>
      </c>
      <c r="B560" t="e">
        <f>_xlfn.CONCAT([2]!bron[[#This Row],[personeelsnr]]," ",C560," ",D560)</f>
        <v>#REF!</v>
      </c>
      <c r="C560" t="str">
        <f>VLOOKUP(bron[[#This Row],[personeelsnr]],'data hastus'!$A:$C,2,0)</f>
        <v>De Meulenaere</v>
      </c>
      <c r="D560" t="str">
        <f>VLOOKUP(bron[[#This Row],[personeelsnr]],'data hastus'!$A:$C,3,0)</f>
        <v>Kurt</v>
      </c>
      <c r="E560" t="str">
        <f>VLOOKUP(bron[[#This Row],[personeelsnr]],'data hastus'!A:K,11,FALSE)</f>
        <v>Dominique De Clercq</v>
      </c>
      <c r="F560" s="10"/>
      <c r="G560" s="7"/>
      <c r="H560" s="7"/>
      <c r="I560" s="7"/>
      <c r="S560" s="5">
        <f>SUM(bron[[#This Row],[Januari]:[December]])</f>
        <v>0</v>
      </c>
      <c r="T560" s="9">
        <v>45445</v>
      </c>
      <c r="U560" s="8" t="s">
        <v>498</v>
      </c>
      <c r="V560" s="8">
        <v>1</v>
      </c>
      <c r="W560" s="8"/>
      <c r="X560" t="s">
        <v>57</v>
      </c>
      <c r="Y560" t="s">
        <v>132</v>
      </c>
    </row>
    <row r="561" spans="1:25" x14ac:dyDescent="0.25">
      <c r="A561">
        <v>9999</v>
      </c>
      <c r="B561" t="str">
        <f>_xlfn.CONCAT([2]!bron[[#This Row],[personeelsnr]]," ",C561," ",D561)</f>
        <v>9999 - -</v>
      </c>
      <c r="C561" t="s">
        <v>2919</v>
      </c>
      <c r="D561" t="s">
        <v>2919</v>
      </c>
      <c r="E561" t="s">
        <v>810</v>
      </c>
      <c r="F561" s="10"/>
      <c r="G561" s="7"/>
      <c r="H561" s="7"/>
      <c r="I561" s="7"/>
      <c r="S561" s="5">
        <f>SUM(bron[[#This Row],[Januari]:[December]])</f>
        <v>0</v>
      </c>
      <c r="T561" s="9">
        <v>45445</v>
      </c>
      <c r="U561" s="8" t="s">
        <v>499</v>
      </c>
      <c r="V561" s="8">
        <v>1</v>
      </c>
      <c r="W561" s="8"/>
      <c r="X561" t="s">
        <v>57</v>
      </c>
      <c r="Y561" t="s">
        <v>220</v>
      </c>
    </row>
    <row r="562" spans="1:25" x14ac:dyDescent="0.25">
      <c r="A562">
        <v>19917</v>
      </c>
      <c r="B562" t="e">
        <f>_xlfn.CONCAT([2]!bron[[#This Row],[personeelsnr]]," ",C562," ",D562)</f>
        <v>#REF!</v>
      </c>
      <c r="C562" t="str">
        <f>VLOOKUP(bron[[#This Row],[personeelsnr]],'data hastus'!$A:$C,2,0)</f>
        <v>Vandevyvere</v>
      </c>
      <c r="D562" t="str">
        <f>VLOOKUP(bron[[#This Row],[personeelsnr]],'data hastus'!$A:$C,3,0)</f>
        <v>Frank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K562" s="5">
        <v>1</v>
      </c>
      <c r="S562" s="5">
        <f>SUM(bron[[#This Row],[Januari]:[December]])</f>
        <v>1</v>
      </c>
      <c r="T562" s="9">
        <v>45442</v>
      </c>
      <c r="U562" s="8" t="s">
        <v>496</v>
      </c>
      <c r="V562" s="8">
        <v>1</v>
      </c>
      <c r="W562" s="8"/>
      <c r="X562" t="s">
        <v>57</v>
      </c>
      <c r="Y562" t="s">
        <v>24</v>
      </c>
    </row>
    <row r="563" spans="1:25" x14ac:dyDescent="0.25">
      <c r="A563">
        <v>39907</v>
      </c>
      <c r="B563" t="e">
        <f>_xlfn.CONCAT([2]!bron[[#This Row],[personeelsnr]]," ",C563," ",D563)</f>
        <v>#REF!</v>
      </c>
      <c r="C563" t="str">
        <f>VLOOKUP(bron[[#This Row],[personeelsnr]],'data hastus'!$A:$C,2,0)</f>
        <v>Marian</v>
      </c>
      <c r="D563" t="str">
        <f>VLOOKUP(bron[[#This Row],[personeelsnr]],'data hastus'!$A:$C,3,0)</f>
        <v>Birsanuc</v>
      </c>
      <c r="E563" t="str">
        <f>VLOOKUP(bron[[#This Row],[personeelsnr]],'data hastus'!A:K,11,FALSE)</f>
        <v>Kenneth De Rick</v>
      </c>
      <c r="F563" s="10"/>
      <c r="G563" s="7"/>
      <c r="H563" s="7"/>
      <c r="I563" s="7"/>
      <c r="K563" s="5">
        <v>1</v>
      </c>
      <c r="S563" s="5">
        <f>SUM(bron[[#This Row],[Januari]:[December]])</f>
        <v>1</v>
      </c>
      <c r="T563" s="9">
        <v>45442</v>
      </c>
      <c r="U563" s="8" t="s">
        <v>497</v>
      </c>
      <c r="V563" s="8">
        <v>1</v>
      </c>
      <c r="W563" s="8"/>
      <c r="X563" t="s">
        <v>57</v>
      </c>
      <c r="Y563" t="s">
        <v>18</v>
      </c>
    </row>
    <row r="564" spans="1:25" x14ac:dyDescent="0.25">
      <c r="A564">
        <v>23700</v>
      </c>
      <c r="B564" t="e">
        <f>_xlfn.CONCAT([2]!bron[[#This Row],[personeelsnr]]," ",C564," ",D564)</f>
        <v>#REF!</v>
      </c>
      <c r="C564" t="str">
        <f>VLOOKUP(bron[[#This Row],[personeelsnr]],'data hastus'!$A:$C,2,0)</f>
        <v>Byosière</v>
      </c>
      <c r="D564" t="str">
        <f>VLOOKUP(bron[[#This Row],[personeelsnr]],'data hastus'!$A:$C,3,0)</f>
        <v>Christof</v>
      </c>
      <c r="E564" t="str">
        <f>VLOOKUP(bron[[#This Row],[personeelsnr]],'data hastus'!A:K,11,FALSE)</f>
        <v>Dominique De Clercq</v>
      </c>
      <c r="F564" s="10"/>
      <c r="G564" s="7"/>
      <c r="H564" s="7"/>
      <c r="I564" s="7"/>
      <c r="K564" s="5">
        <v>1</v>
      </c>
      <c r="S564" s="5">
        <f>SUM(bron[[#This Row],[Januari]:[December]])</f>
        <v>1</v>
      </c>
      <c r="T564" s="9">
        <v>45441</v>
      </c>
      <c r="U564" s="8" t="s">
        <v>494</v>
      </c>
      <c r="V564" s="8">
        <v>1</v>
      </c>
      <c r="W564" s="8"/>
      <c r="X564" t="s">
        <v>57</v>
      </c>
      <c r="Y564" t="s">
        <v>29</v>
      </c>
    </row>
    <row r="565" spans="1:25" x14ac:dyDescent="0.25">
      <c r="A565">
        <v>9999</v>
      </c>
      <c r="B565" t="str">
        <f>_xlfn.CONCAT([2]!bron[[#This Row],[personeelsnr]]," ",C565," ",D565)</f>
        <v>9999 - -</v>
      </c>
      <c r="C565" t="s">
        <v>2919</v>
      </c>
      <c r="D565" t="s">
        <v>2919</v>
      </c>
      <c r="E565" t="s">
        <v>810</v>
      </c>
      <c r="F565" s="10"/>
      <c r="G565" s="7"/>
      <c r="H565" s="7"/>
      <c r="I565" s="7"/>
      <c r="K565" s="5">
        <v>1</v>
      </c>
      <c r="S565" s="5">
        <f>SUM(bron[[#This Row],[Januari]:[December]])</f>
        <v>1</v>
      </c>
      <c r="T565" s="9">
        <v>45441</v>
      </c>
      <c r="U565" s="8" t="s">
        <v>495</v>
      </c>
      <c r="V565" s="8"/>
      <c r="W565" s="8">
        <v>1</v>
      </c>
      <c r="X565" t="s">
        <v>58</v>
      </c>
      <c r="Y565" t="s">
        <v>19</v>
      </c>
    </row>
    <row r="566" spans="1:25" x14ac:dyDescent="0.25">
      <c r="A566">
        <v>9999</v>
      </c>
      <c r="B566" t="str">
        <f>_xlfn.CONCAT([2]!bron[[#This Row],[personeelsnr]]," ",C566," ",D566)</f>
        <v>9999 - -</v>
      </c>
      <c r="C566" t="s">
        <v>2919</v>
      </c>
      <c r="D566" t="s">
        <v>2919</v>
      </c>
      <c r="E566" t="s">
        <v>810</v>
      </c>
      <c r="F566" s="10"/>
      <c r="G566" s="7"/>
      <c r="H566" s="7"/>
      <c r="I566" s="7"/>
      <c r="K566" s="5">
        <v>1</v>
      </c>
      <c r="S566" s="5">
        <f>SUM(bron[[#This Row],[Januari]:[December]])</f>
        <v>1</v>
      </c>
      <c r="T566" s="9">
        <v>45440</v>
      </c>
      <c r="U566" s="8" t="s">
        <v>491</v>
      </c>
      <c r="V566" s="8">
        <v>1</v>
      </c>
      <c r="W566" s="8"/>
      <c r="X566" t="s">
        <v>57</v>
      </c>
      <c r="Y566" t="s">
        <v>55</v>
      </c>
    </row>
    <row r="567" spans="1:25" x14ac:dyDescent="0.25">
      <c r="A567">
        <v>9999</v>
      </c>
      <c r="B567" t="str">
        <f>_xlfn.CONCAT([2]!bron[[#This Row],[personeelsnr]]," ",C567," ",D567)</f>
        <v>9999 - -</v>
      </c>
      <c r="C567" t="s">
        <v>2919</v>
      </c>
      <c r="D567" t="s">
        <v>2919</v>
      </c>
      <c r="E567" t="s">
        <v>810</v>
      </c>
      <c r="F567" s="10"/>
      <c r="G567" s="7"/>
      <c r="H567" s="7"/>
      <c r="I567" s="7"/>
      <c r="K567" s="5">
        <v>1</v>
      </c>
      <c r="S567" s="5">
        <f>SUM(bron[[#This Row],[Januari]:[December]])</f>
        <v>1</v>
      </c>
      <c r="T567" s="9">
        <v>45440</v>
      </c>
      <c r="U567" s="8" t="s">
        <v>492</v>
      </c>
      <c r="V567" s="8"/>
      <c r="W567" s="8">
        <v>1</v>
      </c>
      <c r="X567" t="s">
        <v>58</v>
      </c>
      <c r="Y567" t="s">
        <v>78</v>
      </c>
    </row>
    <row r="568" spans="1:25" x14ac:dyDescent="0.25">
      <c r="A568">
        <v>17931</v>
      </c>
      <c r="B568" t="e">
        <f>_xlfn.CONCAT([2]!bron[[#This Row],[personeelsnr]]," ",C568," ",D568)</f>
        <v>#REF!</v>
      </c>
      <c r="C568" t="str">
        <f>VLOOKUP(bron[[#This Row],[personeelsnr]],'data hastus'!$A:$C,2,0)</f>
        <v>Idrisi</v>
      </c>
      <c r="D568" t="str">
        <f>VLOOKUP(bron[[#This Row],[personeelsnr]],'data hastus'!$A:$C,3,0)</f>
        <v>Hasana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K568" s="5">
        <v>1</v>
      </c>
      <c r="S568" s="5">
        <f>SUM(bron[[#This Row],[Januari]:[December]])</f>
        <v>1</v>
      </c>
      <c r="T568" s="9">
        <v>45440</v>
      </c>
      <c r="U568" s="8" t="s">
        <v>493</v>
      </c>
      <c r="V568" s="8"/>
      <c r="W568" s="8">
        <v>1</v>
      </c>
      <c r="X568" t="s">
        <v>58</v>
      </c>
      <c r="Y568" t="s">
        <v>31</v>
      </c>
    </row>
    <row r="569" spans="1:25" x14ac:dyDescent="0.25">
      <c r="A569">
        <v>33551</v>
      </c>
      <c r="B569" t="e">
        <f>_xlfn.CONCAT([2]!bron[[#This Row],[personeelsnr]]," ",C569," ",D569)</f>
        <v>#REF!</v>
      </c>
      <c r="C569" t="str">
        <f>VLOOKUP(bron[[#This Row],[personeelsnr]],'data hastus'!$A:$C,2,0)</f>
        <v>Dekens</v>
      </c>
      <c r="D569" t="str">
        <f>VLOOKUP(bron[[#This Row],[personeelsnr]],'data hastus'!$A:$C,3,0)</f>
        <v>Andy</v>
      </c>
      <c r="E569" t="str">
        <f>VLOOKUP(bron[[#This Row],[personeelsnr]],'data hastus'!A:K,11,FALSE)</f>
        <v>Els Vanhoe</v>
      </c>
      <c r="F569" s="10"/>
      <c r="G569" s="7"/>
      <c r="H569" s="7"/>
      <c r="I569" s="7"/>
      <c r="K569" s="5">
        <v>1</v>
      </c>
      <c r="S569" s="5">
        <f>SUM(bron[[#This Row],[Januari]:[December]])</f>
        <v>1</v>
      </c>
      <c r="T569" s="9">
        <v>45439</v>
      </c>
      <c r="U569" s="8" t="s">
        <v>490</v>
      </c>
      <c r="V569" s="8"/>
      <c r="W569" s="8">
        <v>1</v>
      </c>
      <c r="X569" t="s">
        <v>58</v>
      </c>
      <c r="Y569" t="s">
        <v>27</v>
      </c>
    </row>
    <row r="570" spans="1:25" x14ac:dyDescent="0.25">
      <c r="A570">
        <v>31092</v>
      </c>
      <c r="B570" t="e">
        <f>_xlfn.CONCAT([2]!bron[[#This Row],[personeelsnr]]," ",C570," ",D570)</f>
        <v>#REF!</v>
      </c>
      <c r="C570" t="str">
        <f>VLOOKUP(bron[[#This Row],[personeelsnr]],'data hastus'!$A:$C,2,0)</f>
        <v>De Jaeger</v>
      </c>
      <c r="D570" t="str">
        <f>VLOOKUP(bron[[#This Row],[personeelsnr]],'data hastus'!$A:$C,3,0)</f>
        <v>Kevin</v>
      </c>
      <c r="E570" t="str">
        <f>VLOOKUP(bron[[#This Row],[personeelsnr]],'data hastus'!A:K,11,FALSE)</f>
        <v>Lucie Vande Velde</v>
      </c>
      <c r="F570" s="10"/>
      <c r="G570" s="7"/>
      <c r="H570" s="7"/>
      <c r="I570" s="7"/>
      <c r="K570" s="5">
        <v>1</v>
      </c>
      <c r="S570" s="5">
        <f>SUM(bron[[#This Row],[Januari]:[December]])</f>
        <v>1</v>
      </c>
      <c r="T570" s="9">
        <v>45436</v>
      </c>
      <c r="U570" s="8" t="s">
        <v>487</v>
      </c>
      <c r="V570" s="8">
        <v>1</v>
      </c>
      <c r="W570" s="8"/>
      <c r="X570" t="s">
        <v>57</v>
      </c>
      <c r="Y570" t="s">
        <v>194</v>
      </c>
    </row>
    <row r="571" spans="1:25" x14ac:dyDescent="0.25">
      <c r="A571">
        <v>37261</v>
      </c>
      <c r="B571" t="e">
        <f>_xlfn.CONCAT([2]!bron[[#This Row],[personeelsnr]]," ",C571," ",D571)</f>
        <v>#REF!</v>
      </c>
      <c r="C571" t="str">
        <f>VLOOKUP(bron[[#This Row],[personeelsnr]],'data hastus'!$A:$C,2,0)</f>
        <v>Van Wayenbergh</v>
      </c>
      <c r="D571" t="str">
        <f>VLOOKUP(bron[[#This Row],[personeelsnr]],'data hastus'!$A:$C,3,0)</f>
        <v>Yordi</v>
      </c>
      <c r="E571" t="str">
        <f>VLOOKUP(bron[[#This Row],[personeelsnr]],'data hastus'!A:K,11,FALSE)</f>
        <v>Dominique De Clercq</v>
      </c>
      <c r="F571" s="10"/>
      <c r="G571" s="7"/>
      <c r="H571" s="7"/>
      <c r="I571" s="7"/>
      <c r="K571" s="5">
        <v>1</v>
      </c>
      <c r="S571" s="5">
        <f>SUM(bron[[#This Row],[Januari]:[December]])</f>
        <v>1</v>
      </c>
      <c r="T571" s="9">
        <v>45436</v>
      </c>
      <c r="U571" s="8" t="s">
        <v>488</v>
      </c>
      <c r="V571" s="8">
        <v>1</v>
      </c>
      <c r="W571" s="8"/>
      <c r="X571" t="s">
        <v>57</v>
      </c>
      <c r="Y571" t="s">
        <v>85</v>
      </c>
    </row>
    <row r="572" spans="1:25" x14ac:dyDescent="0.25">
      <c r="A572">
        <v>9999</v>
      </c>
      <c r="B572" t="str">
        <f>_xlfn.CONCAT([2]!bron[[#This Row],[personeelsnr]]," ",C572," ",D572)</f>
        <v>9999 - -</v>
      </c>
      <c r="C572" t="s">
        <v>2919</v>
      </c>
      <c r="D572" t="s">
        <v>2919</v>
      </c>
      <c r="E572" t="s">
        <v>810</v>
      </c>
      <c r="F572" s="10"/>
      <c r="G572" s="7"/>
      <c r="H572" s="7"/>
      <c r="I572" s="7"/>
      <c r="K572" s="5">
        <v>1</v>
      </c>
      <c r="S572" s="5">
        <f>SUM(bron[[#This Row],[Januari]:[December]])</f>
        <v>1</v>
      </c>
      <c r="T572" s="9">
        <v>45436</v>
      </c>
      <c r="U572" s="8" t="s">
        <v>489</v>
      </c>
      <c r="V572" s="8">
        <v>1</v>
      </c>
      <c r="W572" s="8"/>
      <c r="X572" t="s">
        <v>57</v>
      </c>
      <c r="Y572" t="s">
        <v>59</v>
      </c>
    </row>
    <row r="573" spans="1:25" x14ac:dyDescent="0.25">
      <c r="A573">
        <v>19087</v>
      </c>
      <c r="B573" t="e">
        <f>_xlfn.CONCAT([2]!bron[[#This Row],[personeelsnr]]," ",C573," ",D573)</f>
        <v>#REF!</v>
      </c>
      <c r="C573" t="str">
        <f>VLOOKUP(bron[[#This Row],[personeelsnr]],'data hastus'!$A:$C,2,0)</f>
        <v>Deschepper</v>
      </c>
      <c r="D573" t="str">
        <f>VLOOKUP(bron[[#This Row],[personeelsnr]],'data hastus'!$A:$C,3,0)</f>
        <v>Peter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K573" s="5">
        <v>1</v>
      </c>
      <c r="S573" s="5">
        <f>SUM(bron[[#This Row],[Januari]:[December]])</f>
        <v>1</v>
      </c>
      <c r="T573" s="9">
        <v>45435</v>
      </c>
      <c r="U573" s="8" t="s">
        <v>485</v>
      </c>
      <c r="V573" s="8">
        <v>1</v>
      </c>
      <c r="W573" s="8"/>
      <c r="X573" t="s">
        <v>57</v>
      </c>
      <c r="Y573" t="s">
        <v>155</v>
      </c>
    </row>
    <row r="574" spans="1:25" x14ac:dyDescent="0.25">
      <c r="A574">
        <v>39712</v>
      </c>
      <c r="B574" t="e">
        <f>_xlfn.CONCAT([2]!bron[[#This Row],[personeelsnr]]," ",C574," ",D574)</f>
        <v>#REF!</v>
      </c>
      <c r="C574" t="str">
        <f>VLOOKUP(bron[[#This Row],[personeelsnr]],'data hastus'!$A:$C,2,0)</f>
        <v>Repaj</v>
      </c>
      <c r="D574" t="str">
        <f>VLOOKUP(bron[[#This Row],[personeelsnr]],'data hastus'!$A:$C,3,0)</f>
        <v>Ramazan</v>
      </c>
      <c r="E574" t="str">
        <f>VLOOKUP(bron[[#This Row],[personeelsnr]],'data hastus'!A:K,11,FALSE)</f>
        <v>Bart Van Der Beken</v>
      </c>
      <c r="F574" s="10"/>
      <c r="G574" s="7"/>
      <c r="H574" s="7"/>
      <c r="I574" s="7"/>
      <c r="K574" s="5">
        <v>1</v>
      </c>
      <c r="S574" s="5">
        <f>SUM(bron[[#This Row],[Januari]:[December]])</f>
        <v>1</v>
      </c>
      <c r="T574" s="9">
        <v>45435</v>
      </c>
      <c r="U574" s="8" t="s">
        <v>486</v>
      </c>
      <c r="V574" s="8">
        <v>1</v>
      </c>
      <c r="W574" s="8"/>
      <c r="X574" t="s">
        <v>57</v>
      </c>
      <c r="Y574" t="s">
        <v>22</v>
      </c>
    </row>
    <row r="575" spans="1:25" x14ac:dyDescent="0.25">
      <c r="A575">
        <v>35187</v>
      </c>
      <c r="B575" t="e">
        <f>_xlfn.CONCAT([2]!bron[[#This Row],[personeelsnr]]," ",C575," ",D575)</f>
        <v>#REF!</v>
      </c>
      <c r="C575" t="str">
        <f>VLOOKUP(bron[[#This Row],[personeelsnr]],'data hastus'!$A:$C,2,0)</f>
        <v>Bastiaen</v>
      </c>
      <c r="D575" t="str">
        <f>VLOOKUP(bron[[#This Row],[personeelsnr]],'data hastus'!$A:$C,3,0)</f>
        <v>Eric</v>
      </c>
      <c r="E575" t="str">
        <f>VLOOKUP(bron[[#This Row],[personeelsnr]],'data hastus'!A:K,11,FALSE)</f>
        <v>Lucie Vande Velde</v>
      </c>
      <c r="F575" s="10"/>
      <c r="G575" s="7"/>
      <c r="H575" s="7"/>
      <c r="I575" s="7"/>
      <c r="K575" s="5">
        <v>1</v>
      </c>
      <c r="S575" s="5">
        <f>SUM(bron[[#This Row],[Januari]:[December]])</f>
        <v>1</v>
      </c>
      <c r="T575" s="9">
        <v>45434</v>
      </c>
      <c r="U575" s="8" t="s">
        <v>483</v>
      </c>
      <c r="V575" s="8"/>
      <c r="W575" s="8">
        <v>1</v>
      </c>
      <c r="X575" t="s">
        <v>58</v>
      </c>
      <c r="Y575" t="s">
        <v>19</v>
      </c>
    </row>
    <row r="576" spans="1:25" x14ac:dyDescent="0.25">
      <c r="A576">
        <v>39528</v>
      </c>
      <c r="B576" t="e">
        <f>_xlfn.CONCAT([2]!bron[[#This Row],[personeelsnr]]," ",C576," ",D576)</f>
        <v>#REF!</v>
      </c>
      <c r="C576" t="str">
        <f>VLOOKUP(bron[[#This Row],[personeelsnr]],'data hastus'!$A:$C,2,0)</f>
        <v>Mihaylov</v>
      </c>
      <c r="D576" t="str">
        <f>VLOOKUP(bron[[#This Row],[personeelsnr]],'data hastus'!$A:$C,3,0)</f>
        <v>Plamen</v>
      </c>
      <c r="E576" t="str">
        <f>VLOOKUP(bron[[#This Row],[personeelsnr]],'data hastus'!A:K,11,FALSE)</f>
        <v>Christoff Rotty</v>
      </c>
      <c r="F576" s="10"/>
      <c r="G576" s="7"/>
      <c r="H576" s="7"/>
      <c r="I576" s="7"/>
      <c r="K576" s="5">
        <v>1</v>
      </c>
      <c r="S576" s="5">
        <f>SUM(bron[[#This Row],[Januari]:[December]])</f>
        <v>1</v>
      </c>
      <c r="T576" s="9">
        <v>45434</v>
      </c>
      <c r="U576" s="8" t="s">
        <v>484</v>
      </c>
      <c r="V576" s="8">
        <v>1</v>
      </c>
      <c r="W576" s="8"/>
      <c r="X576" t="s">
        <v>57</v>
      </c>
      <c r="Y576" t="s">
        <v>22</v>
      </c>
    </row>
    <row r="577" spans="1:25" x14ac:dyDescent="0.25">
      <c r="A577">
        <v>37439</v>
      </c>
      <c r="B577" t="e">
        <f>_xlfn.CONCAT([2]!bron[[#This Row],[personeelsnr]]," ",C577," ",D577)</f>
        <v>#REF!</v>
      </c>
      <c r="C577" t="str">
        <f>VLOOKUP(bron[[#This Row],[personeelsnr]],'data hastus'!$A:$C,2,0)</f>
        <v>Demirkazik</v>
      </c>
      <c r="D577" t="str">
        <f>VLOOKUP(bron[[#This Row],[personeelsnr]],'data hastus'!$A:$C,3,0)</f>
        <v>Mustafa</v>
      </c>
      <c r="E577" t="str">
        <f>VLOOKUP(bron[[#This Row],[personeelsnr]],'data hastus'!A:K,11,FALSE)</f>
        <v>Kenneth De Rick</v>
      </c>
      <c r="F577" s="10"/>
      <c r="G577" s="7"/>
      <c r="H577" s="7"/>
      <c r="I577" s="7"/>
      <c r="K577" s="5">
        <v>1</v>
      </c>
      <c r="S577" s="5">
        <f>SUM(bron[[#This Row],[Januari]:[December]])</f>
        <v>1</v>
      </c>
      <c r="T577" s="9">
        <v>45433</v>
      </c>
      <c r="U577" s="8" t="s">
        <v>480</v>
      </c>
      <c r="V577" s="8">
        <v>1</v>
      </c>
      <c r="W577" s="8"/>
      <c r="X577" t="s">
        <v>57</v>
      </c>
      <c r="Y577" t="s">
        <v>35</v>
      </c>
    </row>
    <row r="578" spans="1:25" x14ac:dyDescent="0.25">
      <c r="A578">
        <v>38688</v>
      </c>
      <c r="B578" t="e">
        <f>_xlfn.CONCAT([2]!bron[[#This Row],[personeelsnr]]," ",C578," ",D578)</f>
        <v>#REF!</v>
      </c>
      <c r="C578" t="str">
        <f>VLOOKUP(bron[[#This Row],[personeelsnr]],'data hastus'!$A:$C,2,0)</f>
        <v>Basgurboga</v>
      </c>
      <c r="D578" t="str">
        <f>VLOOKUP(bron[[#This Row],[personeelsnr]],'data hastus'!$A:$C,3,0)</f>
        <v>Selahattin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K578" s="5">
        <v>1</v>
      </c>
      <c r="S578" s="5">
        <f>SUM(bron[[#This Row],[Januari]:[December]])</f>
        <v>1</v>
      </c>
      <c r="T578" s="9">
        <v>45433</v>
      </c>
      <c r="U578" s="8" t="s">
        <v>481</v>
      </c>
      <c r="V578" s="8">
        <v>1</v>
      </c>
      <c r="W578" s="8"/>
      <c r="X578" t="s">
        <v>57</v>
      </c>
      <c r="Y578" t="s">
        <v>18</v>
      </c>
    </row>
    <row r="579" spans="1:25" x14ac:dyDescent="0.25">
      <c r="A579">
        <v>40223</v>
      </c>
      <c r="B579" t="e">
        <f>_xlfn.CONCAT([2]!bron[[#This Row],[personeelsnr]]," ",C579," ",D579)</f>
        <v>#REF!</v>
      </c>
      <c r="C579" t="str">
        <f>VLOOKUP(bron[[#This Row],[personeelsnr]],'data hastus'!$A:$C,2,0)</f>
        <v>Teetaert</v>
      </c>
      <c r="D579" t="str">
        <f>VLOOKUP(bron[[#This Row],[personeelsnr]],'data hastus'!$A:$C,3,0)</f>
        <v>Billy</v>
      </c>
      <c r="E579" t="str">
        <f>VLOOKUP(bron[[#This Row],[personeelsnr]],'data hastus'!A:K,11,FALSE)</f>
        <v>Dominique De Clercq</v>
      </c>
      <c r="F579" s="10"/>
      <c r="G579" s="7"/>
      <c r="H579" s="7"/>
      <c r="I579" s="7"/>
      <c r="K579" s="5">
        <v>1</v>
      </c>
      <c r="S579" s="5">
        <f>SUM(bron[[#This Row],[Januari]:[December]])</f>
        <v>1</v>
      </c>
      <c r="T579" s="9">
        <v>45433</v>
      </c>
      <c r="U579" s="8" t="s">
        <v>482</v>
      </c>
      <c r="V579" s="8">
        <v>1</v>
      </c>
      <c r="W579" s="8"/>
      <c r="X579" t="s">
        <v>57</v>
      </c>
      <c r="Y579" t="s">
        <v>86</v>
      </c>
    </row>
    <row r="580" spans="1:25" x14ac:dyDescent="0.25">
      <c r="A580">
        <v>36503</v>
      </c>
      <c r="B580" t="e">
        <f>_xlfn.CONCAT([2]!bron[[#This Row],[personeelsnr]]," ",C580," ",D580)</f>
        <v>#REF!</v>
      </c>
      <c r="C580" t="str">
        <f>VLOOKUP(bron[[#This Row],[personeelsnr]],'data hastus'!$A:$C,2,0)</f>
        <v>Callens</v>
      </c>
      <c r="D580" t="str">
        <f>VLOOKUP(bron[[#This Row],[personeelsnr]],'data hastus'!$A:$C,3,0)</f>
        <v>Dimitri</v>
      </c>
      <c r="E580" t="str">
        <f>VLOOKUP(bron[[#This Row],[personeelsnr]],'data hastus'!A:K,11,FALSE)</f>
        <v>Christoff Rotty</v>
      </c>
      <c r="F580" s="10"/>
      <c r="G580" s="7"/>
      <c r="H580" s="7"/>
      <c r="I580" s="7"/>
      <c r="K580" s="5">
        <v>1</v>
      </c>
      <c r="S580" s="5">
        <f>SUM(bron[[#This Row],[Januari]:[December]])</f>
        <v>1</v>
      </c>
      <c r="T580" s="9">
        <v>45429</v>
      </c>
      <c r="U580" s="8" t="s">
        <v>479</v>
      </c>
      <c r="V580" s="8">
        <v>1</v>
      </c>
      <c r="W580" s="8"/>
      <c r="X580" t="s">
        <v>57</v>
      </c>
      <c r="Y580" t="s">
        <v>31</v>
      </c>
    </row>
    <row r="581" spans="1:25" x14ac:dyDescent="0.25">
      <c r="A581">
        <v>38808</v>
      </c>
      <c r="B581" t="e">
        <f>_xlfn.CONCAT([2]!bron[[#This Row],[personeelsnr]]," ",C581," ",D581)</f>
        <v>#REF!</v>
      </c>
      <c r="C581" t="str">
        <f>VLOOKUP(bron[[#This Row],[personeelsnr]],'data hastus'!$A:$C,2,0)</f>
        <v>Wasen</v>
      </c>
      <c r="D581" t="str">
        <f>VLOOKUP(bron[[#This Row],[personeelsnr]],'data hastus'!$A:$C,3,0)</f>
        <v>Jens</v>
      </c>
      <c r="E581" t="str">
        <f>VLOOKUP(bron[[#This Row],[personeelsnr]],'data hastus'!A:K,11,FALSE)</f>
        <v>Els Dewulf</v>
      </c>
      <c r="F581" s="10"/>
      <c r="G581" s="7"/>
      <c r="H581" s="7"/>
      <c r="I581" s="7"/>
      <c r="K581" s="5">
        <v>1</v>
      </c>
      <c r="S581" s="5">
        <f>SUM(bron[[#This Row],[Januari]:[December]])</f>
        <v>1</v>
      </c>
      <c r="T581" s="9">
        <v>45428</v>
      </c>
      <c r="U581" s="8" t="s">
        <v>477</v>
      </c>
      <c r="V581" s="8">
        <v>1</v>
      </c>
      <c r="W581" s="8"/>
      <c r="X581" t="s">
        <v>57</v>
      </c>
      <c r="Y581" t="s">
        <v>72</v>
      </c>
    </row>
    <row r="582" spans="1:25" x14ac:dyDescent="0.25">
      <c r="A582">
        <v>34351</v>
      </c>
      <c r="B582" t="e">
        <f>_xlfn.CONCAT([2]!bron[[#This Row],[personeelsnr]]," ",C582," ",D582)</f>
        <v>#REF!</v>
      </c>
      <c r="C582" t="str">
        <f>VLOOKUP(bron[[#This Row],[personeelsnr]],'data hastus'!$A:$C,2,0)</f>
        <v>Callant</v>
      </c>
      <c r="D582" t="str">
        <f>VLOOKUP(bron[[#This Row],[personeelsnr]],'data hastus'!$A:$C,3,0)</f>
        <v>Dieter</v>
      </c>
      <c r="E582" t="str">
        <f>VLOOKUP(bron[[#This Row],[personeelsnr]],'data hastus'!A:K,11,FALSE)</f>
        <v>Els Vanhoe</v>
      </c>
      <c r="F582" s="10"/>
      <c r="G582" s="7"/>
      <c r="H582" s="7"/>
      <c r="I582" s="7"/>
      <c r="K582" s="5">
        <v>1</v>
      </c>
      <c r="S582" s="5">
        <f>SUM(bron[[#This Row],[Januari]:[December]])</f>
        <v>1</v>
      </c>
      <c r="T582" s="9">
        <v>45428</v>
      </c>
      <c r="U582" s="8" t="s">
        <v>478</v>
      </c>
      <c r="V582" s="8">
        <v>1</v>
      </c>
      <c r="W582" s="8"/>
      <c r="X582" t="s">
        <v>57</v>
      </c>
      <c r="Y582" t="s">
        <v>227</v>
      </c>
    </row>
    <row r="583" spans="1:25" x14ac:dyDescent="0.25">
      <c r="A583">
        <v>19917</v>
      </c>
      <c r="B583" t="e">
        <f>_xlfn.CONCAT([2]!bron[[#This Row],[personeelsnr]]," ",C583," ",D583)</f>
        <v>#REF!</v>
      </c>
      <c r="C583" t="str">
        <f>VLOOKUP(bron[[#This Row],[personeelsnr]],'data hastus'!$A:$C,2,0)</f>
        <v>Vandevyvere</v>
      </c>
      <c r="D583" t="str">
        <f>VLOOKUP(bron[[#This Row],[personeelsnr]],'data hastus'!$A:$C,3,0)</f>
        <v>Frank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K583" s="5">
        <v>1</v>
      </c>
      <c r="S583" s="5">
        <f>SUM(bron[[#This Row],[Januari]:[December]])</f>
        <v>1</v>
      </c>
      <c r="T583" s="9">
        <v>45427</v>
      </c>
      <c r="U583" s="8" t="s">
        <v>476</v>
      </c>
      <c r="V583" s="8">
        <v>1</v>
      </c>
      <c r="W583" s="8"/>
      <c r="X583" t="s">
        <v>57</v>
      </c>
      <c r="Y583" t="s">
        <v>24</v>
      </c>
    </row>
    <row r="584" spans="1:25" x14ac:dyDescent="0.25">
      <c r="A584">
        <v>37345</v>
      </c>
      <c r="B584" t="e">
        <f>_xlfn.CONCAT([2]!bron[[#This Row],[personeelsnr]]," ",C584," ",D584)</f>
        <v>#REF!</v>
      </c>
      <c r="C584" t="str">
        <f>VLOOKUP(bron[[#This Row],[personeelsnr]],'data hastus'!$A:$C,2,0)</f>
        <v>Walleyn</v>
      </c>
      <c r="D584" t="str">
        <f>VLOOKUP(bron[[#This Row],[personeelsnr]],'data hastus'!$A:$C,3,0)</f>
        <v>Renaat</v>
      </c>
      <c r="E584" t="str">
        <f>VLOOKUP(bron[[#This Row],[personeelsnr]],'data hastus'!A:K,11,FALSE)</f>
        <v>Lucie Vande Velde</v>
      </c>
      <c r="F584" s="10"/>
      <c r="G584" s="7"/>
      <c r="H584" s="7"/>
      <c r="I584" s="7"/>
      <c r="K584" s="5">
        <v>1</v>
      </c>
      <c r="S584" s="5">
        <f>SUM(bron[[#This Row],[Januari]:[December]])</f>
        <v>1</v>
      </c>
      <c r="T584" s="9">
        <v>45425</v>
      </c>
      <c r="U584" s="8" t="s">
        <v>474</v>
      </c>
      <c r="V584" s="8">
        <v>1</v>
      </c>
      <c r="W584" s="8"/>
      <c r="X584" t="s">
        <v>57</v>
      </c>
      <c r="Y584" t="s">
        <v>18</v>
      </c>
    </row>
    <row r="585" spans="1:25" x14ac:dyDescent="0.25">
      <c r="A585">
        <v>11508</v>
      </c>
      <c r="B585" t="e">
        <f>_xlfn.CONCAT([2]!bron[[#This Row],[personeelsnr]]," ",C585," ",D585)</f>
        <v>#REF!</v>
      </c>
      <c r="C585" t="str">
        <f>VLOOKUP(bron[[#This Row],[personeelsnr]],'data hastus'!$A:$C,2,0)</f>
        <v>Beeckman</v>
      </c>
      <c r="D585" t="str">
        <f>VLOOKUP(bron[[#This Row],[personeelsnr]],'data hastus'!$A:$C,3,0)</f>
        <v>Nico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K585" s="5">
        <v>1</v>
      </c>
      <c r="S585" s="5">
        <f>SUM(bron[[#This Row],[Januari]:[December]])</f>
        <v>1</v>
      </c>
      <c r="T585" s="9">
        <v>45425</v>
      </c>
      <c r="U585" s="8" t="s">
        <v>475</v>
      </c>
      <c r="V585" s="8">
        <v>1</v>
      </c>
      <c r="W585" s="8"/>
      <c r="X585" t="s">
        <v>57</v>
      </c>
      <c r="Y585" t="s">
        <v>18</v>
      </c>
    </row>
    <row r="586" spans="1:25" x14ac:dyDescent="0.25">
      <c r="A586">
        <v>9999</v>
      </c>
      <c r="B586" t="str">
        <f>_xlfn.CONCAT([2]!bron[[#This Row],[personeelsnr]]," ",C586," ",D586)</f>
        <v>9999 - -</v>
      </c>
      <c r="C586" t="s">
        <v>2919</v>
      </c>
      <c r="D586" t="s">
        <v>2919</v>
      </c>
      <c r="E586" t="s">
        <v>810</v>
      </c>
      <c r="F586" s="10"/>
      <c r="G586" s="7"/>
      <c r="H586" s="7"/>
      <c r="I586" s="7"/>
      <c r="K586" s="5">
        <v>1</v>
      </c>
      <c r="S586" s="5">
        <f>SUM(bron[[#This Row],[Januari]:[December]])</f>
        <v>1</v>
      </c>
      <c r="T586" s="9">
        <v>45424</v>
      </c>
      <c r="U586" s="8" t="s">
        <v>472</v>
      </c>
      <c r="V586" s="8">
        <v>1</v>
      </c>
      <c r="W586" s="8"/>
      <c r="X586" t="s">
        <v>57</v>
      </c>
      <c r="Y586" t="s">
        <v>29</v>
      </c>
    </row>
    <row r="587" spans="1:25" x14ac:dyDescent="0.25">
      <c r="A587">
        <v>6310</v>
      </c>
      <c r="B587" t="e">
        <f>_xlfn.CONCAT([2]!bron[[#This Row],[personeelsnr]]," ",C587," ",D587)</f>
        <v>#REF!</v>
      </c>
      <c r="C587" t="str">
        <f>VLOOKUP(bron[[#This Row],[personeelsnr]],'data hastus'!$A:$C,2,0)</f>
        <v>De Craene</v>
      </c>
      <c r="D587" t="str">
        <f>VLOOKUP(bron[[#This Row],[personeelsnr]],'data hastus'!$A:$C,3,0)</f>
        <v>Peter</v>
      </c>
      <c r="E587" t="str">
        <f>VLOOKUP(bron[[#This Row],[personeelsnr]],'data hastus'!A:K,11,FALSE)</f>
        <v>Els Dewulf</v>
      </c>
      <c r="F587" s="10"/>
      <c r="G587" s="7"/>
      <c r="H587" s="7"/>
      <c r="I587" s="7"/>
      <c r="K587" s="5">
        <v>1</v>
      </c>
      <c r="S587" s="5">
        <f>SUM(bron[[#This Row],[Januari]:[December]])</f>
        <v>1</v>
      </c>
      <c r="T587" s="9">
        <v>45424</v>
      </c>
      <c r="U587" s="8" t="s">
        <v>473</v>
      </c>
      <c r="V587" s="8"/>
      <c r="W587" s="8">
        <v>1</v>
      </c>
      <c r="X587" t="s">
        <v>58</v>
      </c>
      <c r="Y587" t="s">
        <v>18</v>
      </c>
    </row>
    <row r="588" spans="1:25" x14ac:dyDescent="0.25">
      <c r="A588">
        <v>35246</v>
      </c>
      <c r="B588" t="e">
        <f>_xlfn.CONCAT([2]!bron[[#This Row],[personeelsnr]]," ",C588," ",D588)</f>
        <v>#REF!</v>
      </c>
      <c r="C588" t="str">
        <f>VLOOKUP(bron[[#This Row],[personeelsnr]],'data hastus'!$A:$C,2,0)</f>
        <v>De Meyer</v>
      </c>
      <c r="D588" t="str">
        <f>VLOOKUP(bron[[#This Row],[personeelsnr]],'data hastus'!$A:$C,3,0)</f>
        <v>Karel</v>
      </c>
      <c r="E588" t="str">
        <f>VLOOKUP(bron[[#This Row],[personeelsnr]],'data hastus'!A:K,11,FALSE)</f>
        <v>Els Vanhoe</v>
      </c>
      <c r="F588" s="10"/>
      <c r="G588" s="7"/>
      <c r="H588" s="7"/>
      <c r="I588" s="7"/>
      <c r="K588" s="5">
        <v>1</v>
      </c>
      <c r="S588" s="5">
        <f>SUM(bron[[#This Row],[Januari]:[December]])</f>
        <v>1</v>
      </c>
      <c r="T588" s="9">
        <v>45423</v>
      </c>
      <c r="U588" s="8" t="s">
        <v>470</v>
      </c>
      <c r="V588" s="8">
        <v>1</v>
      </c>
      <c r="W588" s="8"/>
      <c r="X588" t="s">
        <v>57</v>
      </c>
      <c r="Y588" t="s">
        <v>20</v>
      </c>
    </row>
    <row r="589" spans="1:25" x14ac:dyDescent="0.25">
      <c r="A589">
        <v>10150</v>
      </c>
      <c r="B589" t="e">
        <f>_xlfn.CONCAT([2]!bron[[#This Row],[personeelsnr]]," ",C589," ",D589)</f>
        <v>#REF!</v>
      </c>
      <c r="C589" t="str">
        <f>VLOOKUP(bron[[#This Row],[personeelsnr]],'data hastus'!$A:$C,2,0)</f>
        <v>Vandenbogaerde</v>
      </c>
      <c r="D589" t="str">
        <f>VLOOKUP(bron[[#This Row],[personeelsnr]],'data hastus'!$A:$C,3,0)</f>
        <v>Tony</v>
      </c>
      <c r="E589" t="str">
        <f>VLOOKUP(bron[[#This Row],[personeelsnr]],'data hastus'!A:K,11,FALSE)</f>
        <v>Steven Storm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45423</v>
      </c>
      <c r="U589" s="8" t="s">
        <v>471</v>
      </c>
      <c r="V589" s="8"/>
      <c r="W589" s="8">
        <v>1</v>
      </c>
      <c r="X589" t="s">
        <v>58</v>
      </c>
      <c r="Y589" t="s">
        <v>19</v>
      </c>
    </row>
    <row r="590" spans="1:25" x14ac:dyDescent="0.25">
      <c r="A590">
        <v>38688</v>
      </c>
      <c r="B590" t="e">
        <f>_xlfn.CONCAT([2]!bron[[#This Row],[personeelsnr]]," ",C590," ",D590)</f>
        <v>#REF!</v>
      </c>
      <c r="C590" t="str">
        <f>VLOOKUP(bron[[#This Row],[personeelsnr]],'data hastus'!$A:$C,2,0)</f>
        <v>Basgurboga</v>
      </c>
      <c r="D590" t="str">
        <f>VLOOKUP(bron[[#This Row],[personeelsnr]],'data hastus'!$A:$C,3,0)</f>
        <v>Selahattin</v>
      </c>
      <c r="E590" t="str">
        <f>VLOOKUP(bron[[#This Row],[personeelsnr]],'data hastus'!A:K,11,FALSE)</f>
        <v>Els Dewulf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45420</v>
      </c>
      <c r="U590" s="8" t="s">
        <v>469</v>
      </c>
      <c r="V590" s="8">
        <v>1</v>
      </c>
      <c r="W590" s="8"/>
      <c r="X590" t="s">
        <v>57</v>
      </c>
      <c r="Y590" t="s">
        <v>35</v>
      </c>
    </row>
    <row r="591" spans="1:25" x14ac:dyDescent="0.25">
      <c r="A591">
        <v>9999</v>
      </c>
      <c r="B591" t="str">
        <f>_xlfn.CONCAT([2]!bron[[#This Row],[personeelsnr]]," ",C591," ",D591)</f>
        <v>9999 - -</v>
      </c>
      <c r="C591" t="s">
        <v>2919</v>
      </c>
      <c r="D591" t="s">
        <v>2919</v>
      </c>
      <c r="E591" t="s">
        <v>810</v>
      </c>
      <c r="F591" s="10"/>
      <c r="G591" s="7"/>
      <c r="H591" s="7"/>
      <c r="I591" s="7"/>
      <c r="K591" s="5">
        <v>1</v>
      </c>
      <c r="S591" s="5">
        <f>SUM(bron[[#This Row],[Januari]:[December]])</f>
        <v>1</v>
      </c>
      <c r="T591" s="9">
        <v>45419</v>
      </c>
      <c r="U591" s="8" t="s">
        <v>467</v>
      </c>
      <c r="V591" s="8">
        <v>1</v>
      </c>
      <c r="W591" s="8"/>
      <c r="X591" t="s">
        <v>57</v>
      </c>
      <c r="Y591" t="s">
        <v>35</v>
      </c>
    </row>
    <row r="592" spans="1:25" x14ac:dyDescent="0.25">
      <c r="A592">
        <v>39019</v>
      </c>
      <c r="B592" t="e">
        <f>_xlfn.CONCAT([2]!bron[[#This Row],[personeelsnr]]," ",C592," ",D592)</f>
        <v>#REF!</v>
      </c>
      <c r="C592" t="str">
        <f>VLOOKUP(bron[[#This Row],[personeelsnr]],'data hastus'!$A:$C,2,0)</f>
        <v>De taeye</v>
      </c>
      <c r="D592" t="str">
        <f>VLOOKUP(bron[[#This Row],[personeelsnr]],'data hastus'!$A:$C,3,0)</f>
        <v>Kelly</v>
      </c>
      <c r="E592" t="str">
        <f>VLOOKUP(bron[[#This Row],[personeelsnr]],'data hastus'!A:K,11,FALSE)</f>
        <v>Lucie Vande Velde</v>
      </c>
      <c r="F592" s="10"/>
      <c r="G592" s="7"/>
      <c r="H592" s="7"/>
      <c r="I592" s="7"/>
      <c r="K592" s="5">
        <v>1</v>
      </c>
      <c r="S592" s="5">
        <f>SUM(bron[[#This Row],[Januari]:[December]])</f>
        <v>1</v>
      </c>
      <c r="T592" s="9">
        <v>45419</v>
      </c>
      <c r="U592" s="8" t="s">
        <v>468</v>
      </c>
      <c r="V592" s="8">
        <v>1</v>
      </c>
      <c r="W592" s="8"/>
      <c r="X592" t="s">
        <v>57</v>
      </c>
      <c r="Y592" t="s">
        <v>216</v>
      </c>
    </row>
    <row r="593" spans="1:25" x14ac:dyDescent="0.25">
      <c r="A593">
        <v>40222</v>
      </c>
      <c r="B593" t="e">
        <f>_xlfn.CONCAT([2]!bron[[#This Row],[personeelsnr]]," ",C593," ",D593)</f>
        <v>#REF!</v>
      </c>
      <c r="C593" t="str">
        <f>VLOOKUP(bron[[#This Row],[personeelsnr]],'data hastus'!$A:$C,2,0)</f>
        <v>Van Iterson</v>
      </c>
      <c r="D593" t="str">
        <f>VLOOKUP(bron[[#This Row],[personeelsnr]],'data hastus'!$A:$C,3,0)</f>
        <v>Sharon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K593" s="5">
        <v>1</v>
      </c>
      <c r="S593" s="5">
        <f>SUM(bron[[#This Row],[Januari]:[December]])</f>
        <v>1</v>
      </c>
      <c r="T593" s="9">
        <v>45418</v>
      </c>
      <c r="U593" s="8" t="s">
        <v>465</v>
      </c>
      <c r="V593" s="8">
        <v>1</v>
      </c>
      <c r="W593" s="8"/>
      <c r="X593" t="s">
        <v>57</v>
      </c>
      <c r="Y593" t="s">
        <v>205</v>
      </c>
    </row>
    <row r="594" spans="1:25" x14ac:dyDescent="0.25">
      <c r="A594">
        <v>25487</v>
      </c>
      <c r="B594" t="e">
        <f>_xlfn.CONCAT([2]!bron[[#This Row],[personeelsnr]]," ",C594," ",D594)</f>
        <v>#REF!</v>
      </c>
      <c r="C594" t="str">
        <f>VLOOKUP(bron[[#This Row],[personeelsnr]],'data hastus'!$A:$C,2,0)</f>
        <v>Devos</v>
      </c>
      <c r="D594" t="str">
        <f>VLOOKUP(bron[[#This Row],[personeelsnr]],'data hastus'!$A:$C,3,0)</f>
        <v>Stefaan</v>
      </c>
      <c r="E594" t="str">
        <f>VLOOKUP(bron[[#This Row],[personeelsnr]],'data hastus'!A:K,11,FALSE)</f>
        <v>Steven Storm</v>
      </c>
      <c r="F594" s="10"/>
      <c r="G594" s="7"/>
      <c r="H594" s="7"/>
      <c r="I594" s="7"/>
      <c r="K594" s="5">
        <v>1</v>
      </c>
      <c r="S594" s="5">
        <f>SUM(bron[[#This Row],[Januari]:[December]])</f>
        <v>1</v>
      </c>
      <c r="T594" s="9">
        <v>45418</v>
      </c>
      <c r="U594" s="8" t="s">
        <v>466</v>
      </c>
      <c r="V594" s="8">
        <v>1</v>
      </c>
      <c r="W594" s="8"/>
      <c r="X594" t="s">
        <v>57</v>
      </c>
      <c r="Y594" t="s">
        <v>41</v>
      </c>
    </row>
    <row r="595" spans="1:25" x14ac:dyDescent="0.25">
      <c r="A595">
        <v>40058</v>
      </c>
      <c r="B595" t="e">
        <f>_xlfn.CONCAT([2]!bron[[#This Row],[personeelsnr]]," ",C595," ",D595)</f>
        <v>#REF!</v>
      </c>
      <c r="C595" t="str">
        <f>VLOOKUP(bron[[#This Row],[personeelsnr]],'data hastus'!$A:$C,2,0)</f>
        <v>Sögüt</v>
      </c>
      <c r="D595" t="str">
        <f>VLOOKUP(bron[[#This Row],[personeelsnr]],'data hastus'!$A:$C,3,0)</f>
        <v>Can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K595" s="5">
        <v>1</v>
      </c>
      <c r="S595" s="5">
        <f>SUM(bron[[#This Row],[Januari]:[December]])</f>
        <v>1</v>
      </c>
      <c r="T595" s="9">
        <v>45417</v>
      </c>
      <c r="U595" s="8" t="s">
        <v>463</v>
      </c>
      <c r="V595" s="8">
        <v>1</v>
      </c>
      <c r="W595" s="8"/>
      <c r="X595" t="s">
        <v>57</v>
      </c>
      <c r="Y595" t="s">
        <v>389</v>
      </c>
    </row>
    <row r="596" spans="1:25" x14ac:dyDescent="0.25">
      <c r="A596">
        <v>13088</v>
      </c>
      <c r="B596" t="e">
        <f>_xlfn.CONCAT([2]!bron[[#This Row],[personeelsnr]]," ",C596," ",D596)</f>
        <v>#REF!</v>
      </c>
      <c r="C596" t="str">
        <f>VLOOKUP(bron[[#This Row],[personeelsnr]],'data hastus'!$A:$C,2,0)</f>
        <v>De Geyter</v>
      </c>
      <c r="D596" t="str">
        <f>VLOOKUP(bron[[#This Row],[personeelsnr]],'data hastus'!$A:$C,3,0)</f>
        <v>Claudine</v>
      </c>
      <c r="E596" t="str">
        <f>VLOOKUP(bron[[#This Row],[personeelsnr]],'data hastus'!A:K,11,FALSE)</f>
        <v>Dominique De Clercq</v>
      </c>
      <c r="F596" s="10"/>
      <c r="G596" s="7"/>
      <c r="H596" s="7"/>
      <c r="I596" s="7"/>
      <c r="K596" s="5">
        <v>1</v>
      </c>
      <c r="S596" s="5">
        <f>SUM(bron[[#This Row],[Januari]:[December]])</f>
        <v>1</v>
      </c>
      <c r="T596" s="9">
        <v>45417</v>
      </c>
      <c r="U596" s="8" t="s">
        <v>464</v>
      </c>
      <c r="V596" s="8"/>
      <c r="W596" s="8">
        <v>1</v>
      </c>
      <c r="X596" t="s">
        <v>58</v>
      </c>
      <c r="Y596" t="s">
        <v>136</v>
      </c>
    </row>
    <row r="597" spans="1:25" x14ac:dyDescent="0.25">
      <c r="A597">
        <v>15088</v>
      </c>
      <c r="B597" t="e">
        <f>_xlfn.CONCAT([2]!bron[[#This Row],[personeelsnr]]," ",C597," ",D597)</f>
        <v>#REF!</v>
      </c>
      <c r="C597" t="str">
        <f>VLOOKUP(bron[[#This Row],[personeelsnr]],'data hastus'!$A:$C,2,0)</f>
        <v>Laute</v>
      </c>
      <c r="D597" t="str">
        <f>VLOOKUP(bron[[#This Row],[personeelsnr]],'data hastus'!$A:$C,3,0)</f>
        <v>Dirk</v>
      </c>
      <c r="E597" t="str">
        <f>VLOOKUP(bron[[#This Row],[personeelsnr]],'data hastus'!A:K,11,FALSE)</f>
        <v>Els Vanhoe</v>
      </c>
      <c r="F597" s="10"/>
      <c r="G597" s="7"/>
      <c r="H597" s="7"/>
      <c r="I597" s="7"/>
      <c r="K597" s="5">
        <v>1</v>
      </c>
      <c r="S597" s="5">
        <f>SUM(bron[[#This Row],[Januari]:[December]])</f>
        <v>1</v>
      </c>
      <c r="T597" s="9">
        <v>45416</v>
      </c>
      <c r="U597" s="8" t="s">
        <v>460</v>
      </c>
      <c r="V597" s="8">
        <v>1</v>
      </c>
      <c r="W597" s="8"/>
      <c r="X597" t="s">
        <v>57</v>
      </c>
      <c r="Y597" t="s">
        <v>23</v>
      </c>
    </row>
    <row r="598" spans="1:25" x14ac:dyDescent="0.25">
      <c r="A598">
        <v>37950</v>
      </c>
      <c r="B598" t="e">
        <f>_xlfn.CONCAT([2]!bron[[#This Row],[personeelsnr]]," ",C598," ",D598)</f>
        <v>#REF!</v>
      </c>
      <c r="C598" t="str">
        <f>VLOOKUP(bron[[#This Row],[personeelsnr]],'data hastus'!$A:$C,2,0)</f>
        <v>De Naegel</v>
      </c>
      <c r="D598" t="str">
        <f>VLOOKUP(bron[[#This Row],[personeelsnr]],'data hastus'!$A:$C,3,0)</f>
        <v>Bruno</v>
      </c>
      <c r="E598" t="str">
        <f>VLOOKUP(bron[[#This Row],[personeelsnr]],'data hastus'!A:K,11,FALSE)</f>
        <v>Dominique De Clercq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45416</v>
      </c>
      <c r="U598" s="8" t="s">
        <v>461</v>
      </c>
      <c r="V598" s="8">
        <v>1</v>
      </c>
      <c r="W598" s="8"/>
      <c r="X598" t="s">
        <v>57</v>
      </c>
      <c r="Y598" t="s">
        <v>23</v>
      </c>
    </row>
    <row r="599" spans="1:25" x14ac:dyDescent="0.25">
      <c r="A599">
        <v>33965</v>
      </c>
      <c r="B599" t="e">
        <f>_xlfn.CONCAT([2]!bron[[#This Row],[personeelsnr]]," ",C599," ",D599)</f>
        <v>#REF!</v>
      </c>
      <c r="C599" t="str">
        <f>VLOOKUP(bron[[#This Row],[personeelsnr]],'data hastus'!$A:$C,2,0)</f>
        <v>Van de Gehuchte</v>
      </c>
      <c r="D599" t="str">
        <f>VLOOKUP(bron[[#This Row],[personeelsnr]],'data hastus'!$A:$C,3,0)</f>
        <v>Gilles</v>
      </c>
      <c r="E599" t="str">
        <f>VLOOKUP(bron[[#This Row],[personeelsnr]],'data hastus'!A:K,11,FALSE)</f>
        <v>Kenneth De Rick</v>
      </c>
      <c r="F599" s="10"/>
      <c r="G599" s="7"/>
      <c r="H599" s="7"/>
      <c r="I599" s="7"/>
      <c r="K599" s="5">
        <v>1</v>
      </c>
      <c r="S599" s="5">
        <f>SUM(bron[[#This Row],[Januari]:[December]])</f>
        <v>1</v>
      </c>
      <c r="T599" s="9">
        <v>45416</v>
      </c>
      <c r="U599" s="8" t="s">
        <v>462</v>
      </c>
      <c r="V599" s="8"/>
      <c r="W599" s="8">
        <v>1</v>
      </c>
      <c r="X599" t="s">
        <v>58</v>
      </c>
      <c r="Y599" t="s">
        <v>52</v>
      </c>
    </row>
    <row r="600" spans="1:25" x14ac:dyDescent="0.25">
      <c r="A600">
        <v>15852</v>
      </c>
      <c r="B600" t="e">
        <f>_xlfn.CONCAT([2]!bron[[#This Row],[personeelsnr]]," ",C600," ",D600)</f>
        <v>#REF!</v>
      </c>
      <c r="C600" t="str">
        <f>VLOOKUP(bron[[#This Row],[personeelsnr]],'data hastus'!$A:$C,2,0)</f>
        <v>Petereyns</v>
      </c>
      <c r="D600" t="str">
        <f>VLOOKUP(bron[[#This Row],[personeelsnr]],'data hastus'!$A:$C,3,0)</f>
        <v>Vanessa</v>
      </c>
      <c r="E600" t="str">
        <f>VLOOKUP(bron[[#This Row],[personeelsnr]],'data hastus'!A:K,11,FALSE)</f>
        <v>Kenneth De Rick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45415</v>
      </c>
      <c r="U600" s="8" t="s">
        <v>459</v>
      </c>
      <c r="V600" s="8"/>
      <c r="W600" s="8">
        <v>1</v>
      </c>
      <c r="X600" t="s">
        <v>58</v>
      </c>
      <c r="Y600" t="s">
        <v>18</v>
      </c>
    </row>
    <row r="601" spans="1:25" x14ac:dyDescent="0.25">
      <c r="A601">
        <v>37439</v>
      </c>
      <c r="B601" t="e">
        <f>_xlfn.CONCAT([2]!bron[[#This Row],[personeelsnr]]," ",C601," ",D601)</f>
        <v>#REF!</v>
      </c>
      <c r="C601" t="str">
        <f>VLOOKUP(bron[[#This Row],[personeelsnr]],'data hastus'!$A:$C,2,0)</f>
        <v>Demirkazik</v>
      </c>
      <c r="D601" t="str">
        <f>VLOOKUP(bron[[#This Row],[personeelsnr]],'data hastus'!$A:$C,3,0)</f>
        <v>Mustafa</v>
      </c>
      <c r="E601" t="str">
        <f>VLOOKUP(bron[[#This Row],[personeelsnr]],'data hastus'!A:K,11,FALSE)</f>
        <v>Kenneth De Rick</v>
      </c>
      <c r="F601" s="10"/>
      <c r="G601" s="7"/>
      <c r="H601" s="7"/>
      <c r="I601" s="7"/>
      <c r="K601" s="5">
        <v>1</v>
      </c>
      <c r="S601" s="5">
        <f>SUM(bron[[#This Row],[Januari]:[December]])</f>
        <v>1</v>
      </c>
      <c r="T601" s="9">
        <v>45414</v>
      </c>
      <c r="U601" s="8" t="s">
        <v>458</v>
      </c>
      <c r="V601" s="8"/>
      <c r="W601" s="8">
        <v>1</v>
      </c>
      <c r="X601" t="s">
        <v>58</v>
      </c>
      <c r="Y601" t="s">
        <v>18</v>
      </c>
    </row>
    <row r="602" spans="1:25" x14ac:dyDescent="0.25">
      <c r="A602">
        <v>40110</v>
      </c>
      <c r="B602" t="e">
        <f>_xlfn.CONCAT([2]!bron[[#This Row],[personeelsnr]]," ",C602," ",D602)</f>
        <v>#REF!</v>
      </c>
      <c r="C602" t="str">
        <f>VLOOKUP(bron[[#This Row],[personeelsnr]],'data hastus'!$A:$C,2,0)</f>
        <v>Vanlerberghe</v>
      </c>
      <c r="D602" t="str">
        <f>VLOOKUP(bron[[#This Row],[personeelsnr]],'data hastus'!$A:$C,3,0)</f>
        <v>Sandra</v>
      </c>
      <c r="E602" t="str">
        <f>VLOOKUP(bron[[#This Row],[personeelsnr]],'data hastus'!A:K,11,FALSE)</f>
        <v>Christoff Rotty</v>
      </c>
      <c r="F602" s="10"/>
      <c r="G602" s="7"/>
      <c r="H602" s="7"/>
      <c r="I602" s="7"/>
      <c r="K602" s="5">
        <v>1</v>
      </c>
      <c r="S602" s="5">
        <f>SUM(bron[[#This Row],[Januari]:[December]])</f>
        <v>1</v>
      </c>
      <c r="T602" s="9">
        <v>45413</v>
      </c>
      <c r="U602" s="8" t="s">
        <v>456</v>
      </c>
      <c r="V602" s="8">
        <v>1</v>
      </c>
      <c r="W602" s="8"/>
      <c r="X602" t="s">
        <v>57</v>
      </c>
      <c r="Y602" t="s">
        <v>207</v>
      </c>
    </row>
    <row r="603" spans="1:25" x14ac:dyDescent="0.25">
      <c r="A603">
        <v>38931</v>
      </c>
      <c r="B603" t="e">
        <f>_xlfn.CONCAT([2]!bron[[#This Row],[personeelsnr]]," ",C603," ",D603)</f>
        <v>#REF!</v>
      </c>
      <c r="C603" t="str">
        <f>VLOOKUP(bron[[#This Row],[personeelsnr]],'data hastus'!$A:$C,2,0)</f>
        <v>Sancak</v>
      </c>
      <c r="D603" t="str">
        <f>VLOOKUP(bron[[#This Row],[personeelsnr]],'data hastus'!$A:$C,3,0)</f>
        <v>Eyuphan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K603" s="5">
        <v>1</v>
      </c>
      <c r="S603" s="5">
        <f>SUM(bron[[#This Row],[Januari]:[December]])</f>
        <v>1</v>
      </c>
      <c r="T603" s="9">
        <v>45413</v>
      </c>
      <c r="U603" s="8" t="s">
        <v>457</v>
      </c>
      <c r="V603" s="8">
        <v>1</v>
      </c>
      <c r="W603" s="8"/>
      <c r="X603" t="s">
        <v>57</v>
      </c>
      <c r="Y603" t="s">
        <v>18</v>
      </c>
    </row>
    <row r="604" spans="1:25" x14ac:dyDescent="0.25">
      <c r="A604">
        <v>21582</v>
      </c>
      <c r="B604" t="e">
        <f>_xlfn.CONCAT([2]!bron[[#This Row],[personeelsnr]]," ",C604," ",D604)</f>
        <v>#REF!</v>
      </c>
      <c r="C604" t="str">
        <f>VLOOKUP(bron[[#This Row],[personeelsnr]],'data hastus'!$A:$C,2,0)</f>
        <v>De Grom</v>
      </c>
      <c r="D604" t="str">
        <f>VLOOKUP(bron[[#This Row],[personeelsnr]],'data hastus'!$A:$C,3,0)</f>
        <v>Patrick</v>
      </c>
      <c r="E604" t="str">
        <f>VLOOKUP(bron[[#This Row],[personeelsnr]],'data hastus'!A:K,11,FALSE)</f>
        <v>Steven Storm</v>
      </c>
      <c r="F604" s="10"/>
      <c r="G604" s="7"/>
      <c r="H604" s="7"/>
      <c r="I604" s="7"/>
      <c r="J604" s="5">
        <v>1</v>
      </c>
      <c r="S604" s="5">
        <f>SUM(bron[[#This Row],[Januari]:[December]])</f>
        <v>1</v>
      </c>
      <c r="T604" s="9">
        <v>45412</v>
      </c>
      <c r="U604" s="8" t="s">
        <v>453</v>
      </c>
      <c r="V604" s="8"/>
      <c r="W604" s="8">
        <v>1</v>
      </c>
      <c r="X604" t="s">
        <v>58</v>
      </c>
      <c r="Y604" t="s">
        <v>19</v>
      </c>
    </row>
    <row r="605" spans="1:25" x14ac:dyDescent="0.25">
      <c r="A605">
        <v>9065</v>
      </c>
      <c r="B605" t="e">
        <f>_xlfn.CONCAT([2]!bron[[#This Row],[personeelsnr]]," ",C605," ",D605)</f>
        <v>#REF!</v>
      </c>
      <c r="C605" t="str">
        <f>VLOOKUP(bron[[#This Row],[personeelsnr]],'data hastus'!$A:$C,2,0)</f>
        <v>Dewispelaere</v>
      </c>
      <c r="D605" t="str">
        <f>VLOOKUP(bron[[#This Row],[personeelsnr]],'data hastus'!$A:$C,3,0)</f>
        <v>Danny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J605" s="5">
        <v>1</v>
      </c>
      <c r="S605" s="5">
        <f>SUM(bron[[#This Row],[Januari]:[December]])</f>
        <v>1</v>
      </c>
      <c r="T605" s="9">
        <v>45412</v>
      </c>
      <c r="U605" s="8" t="s">
        <v>454</v>
      </c>
      <c r="V605" s="8"/>
      <c r="W605" s="8">
        <v>1</v>
      </c>
      <c r="X605" t="s">
        <v>58</v>
      </c>
      <c r="Y605" t="s">
        <v>120</v>
      </c>
    </row>
    <row r="606" spans="1:25" x14ac:dyDescent="0.25">
      <c r="A606">
        <v>37609</v>
      </c>
      <c r="B606" t="e">
        <f>_xlfn.CONCAT([2]!bron[[#This Row],[personeelsnr]]," ",C606," ",D606)</f>
        <v>#REF!</v>
      </c>
      <c r="C606" t="str">
        <f>VLOOKUP(bron[[#This Row],[personeelsnr]],'data hastus'!$A:$C,2,0)</f>
        <v>De Groote</v>
      </c>
      <c r="D606" t="str">
        <f>VLOOKUP(bron[[#This Row],[personeelsnr]],'data hastus'!$A:$C,3,0)</f>
        <v>Dylan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J606" s="5">
        <v>1</v>
      </c>
      <c r="S606" s="5">
        <f>SUM(bron[[#This Row],[Januari]:[December]])</f>
        <v>1</v>
      </c>
      <c r="T606" s="9">
        <v>45412</v>
      </c>
      <c r="U606" s="8" t="s">
        <v>455</v>
      </c>
      <c r="V606" s="8">
        <v>1</v>
      </c>
      <c r="W606" s="8"/>
      <c r="X606" t="s">
        <v>57</v>
      </c>
      <c r="Y606" t="s">
        <v>33</v>
      </c>
    </row>
    <row r="607" spans="1:25" x14ac:dyDescent="0.25">
      <c r="A607">
        <v>30901</v>
      </c>
      <c r="B607" t="e">
        <f>_xlfn.CONCAT([2]!bron[[#This Row],[personeelsnr]]," ",C607," ",D607)</f>
        <v>#REF!</v>
      </c>
      <c r="C607" t="str">
        <f>VLOOKUP(bron[[#This Row],[personeelsnr]],'data hastus'!$A:$C,2,0)</f>
        <v>vanden Bulcke</v>
      </c>
      <c r="D607" t="str">
        <f>VLOOKUP(bron[[#This Row],[personeelsnr]],'data hastus'!$A:$C,3,0)</f>
        <v>Johan</v>
      </c>
      <c r="E607" t="str">
        <f>VLOOKUP(bron[[#This Row],[personeelsnr]],'data hastus'!A:K,11,FALSE)</f>
        <v>Els Dewulf</v>
      </c>
      <c r="F607" s="10"/>
      <c r="G607" s="7"/>
      <c r="H607" s="7"/>
      <c r="I607" s="7"/>
      <c r="J607" s="5">
        <v>1</v>
      </c>
      <c r="S607" s="5">
        <f>SUM(bron[[#This Row],[Januari]:[December]])</f>
        <v>1</v>
      </c>
      <c r="T607" s="9">
        <v>45411</v>
      </c>
      <c r="U607" s="8" t="s">
        <v>449</v>
      </c>
      <c r="V607" s="8">
        <v>1</v>
      </c>
      <c r="W607" s="8"/>
      <c r="X607" t="s">
        <v>57</v>
      </c>
      <c r="Y607" t="s">
        <v>23</v>
      </c>
    </row>
    <row r="608" spans="1:25" x14ac:dyDescent="0.25">
      <c r="A608">
        <v>30321</v>
      </c>
      <c r="B608" t="e">
        <f>_xlfn.CONCAT([2]!bron[[#This Row],[personeelsnr]]," ",C608," ",D608)</f>
        <v>#REF!</v>
      </c>
      <c r="C608" t="str">
        <f>VLOOKUP(bron[[#This Row],[personeelsnr]],'data hastus'!$A:$C,2,0)</f>
        <v>Unver</v>
      </c>
      <c r="D608" t="str">
        <f>VLOOKUP(bron[[#This Row],[personeelsnr]],'data hastus'!$A:$C,3,0)</f>
        <v>Ismaïl</v>
      </c>
      <c r="E608" t="str">
        <f>VLOOKUP(bron[[#This Row],[personeelsnr]],'data hastus'!A:K,11,FALSE)</f>
        <v>Kenneth De Rick</v>
      </c>
      <c r="F608" s="10"/>
      <c r="G608" s="7"/>
      <c r="H608" s="7"/>
      <c r="I608" s="7"/>
      <c r="J608" s="5">
        <v>1</v>
      </c>
      <c r="S608" s="5">
        <f>SUM(bron[[#This Row],[Januari]:[December]])</f>
        <v>1</v>
      </c>
      <c r="T608" s="9">
        <v>45411</v>
      </c>
      <c r="U608" s="8" t="s">
        <v>450</v>
      </c>
      <c r="V608" s="8">
        <v>1</v>
      </c>
      <c r="W608" s="8"/>
      <c r="X608" t="s">
        <v>57</v>
      </c>
      <c r="Y608" t="s">
        <v>125</v>
      </c>
    </row>
    <row r="609" spans="1:25" x14ac:dyDescent="0.25">
      <c r="A609">
        <v>33551</v>
      </c>
      <c r="B609" t="e">
        <f>_xlfn.CONCAT([2]!bron[[#This Row],[personeelsnr]]," ",C609," ",D609)</f>
        <v>#REF!</v>
      </c>
      <c r="C609" t="str">
        <f>VLOOKUP(bron[[#This Row],[personeelsnr]],'data hastus'!$A:$C,2,0)</f>
        <v>Dekens</v>
      </c>
      <c r="D609" t="str">
        <f>VLOOKUP(bron[[#This Row],[personeelsnr]],'data hastus'!$A:$C,3,0)</f>
        <v>Andy</v>
      </c>
      <c r="E609" t="str">
        <f>VLOOKUP(bron[[#This Row],[personeelsnr]],'data hastus'!A:K,11,FALSE)</f>
        <v>Els Vanhoe</v>
      </c>
      <c r="F609" s="10"/>
      <c r="G609" s="7"/>
      <c r="H609" s="7"/>
      <c r="I609" s="7"/>
      <c r="J609" s="5">
        <v>1</v>
      </c>
      <c r="S609" s="5">
        <f>SUM(bron[[#This Row],[Januari]:[December]])</f>
        <v>1</v>
      </c>
      <c r="T609" s="9">
        <v>45411</v>
      </c>
      <c r="U609" s="8" t="s">
        <v>451</v>
      </c>
      <c r="V609" s="8"/>
      <c r="W609" s="8">
        <v>1</v>
      </c>
      <c r="X609" t="s">
        <v>58</v>
      </c>
      <c r="Y609" t="s">
        <v>225</v>
      </c>
    </row>
    <row r="610" spans="1:25" x14ac:dyDescent="0.25">
      <c r="A610">
        <v>9999</v>
      </c>
      <c r="B610" t="str">
        <f>_xlfn.CONCAT([2]!bron[[#This Row],[personeelsnr]]," ",C610," ",D610)</f>
        <v>9999 - -</v>
      </c>
      <c r="C610" t="s">
        <v>2919</v>
      </c>
      <c r="D610" t="s">
        <v>2919</v>
      </c>
      <c r="E610" t="s">
        <v>810</v>
      </c>
      <c r="F610" s="10"/>
      <c r="G610" s="7"/>
      <c r="H610" s="7"/>
      <c r="I610" s="7"/>
      <c r="J610" s="5">
        <v>1</v>
      </c>
      <c r="S610" s="5">
        <f>SUM(bron[[#This Row],[Januari]:[December]])</f>
        <v>1</v>
      </c>
      <c r="T610" s="9">
        <v>45411</v>
      </c>
      <c r="U610" s="8" t="s">
        <v>452</v>
      </c>
      <c r="V610" s="8">
        <v>1</v>
      </c>
      <c r="W610" s="8"/>
      <c r="X610" t="s">
        <v>57</v>
      </c>
      <c r="Y610" t="s">
        <v>101</v>
      </c>
    </row>
    <row r="611" spans="1:25" x14ac:dyDescent="0.25">
      <c r="A611">
        <v>9999</v>
      </c>
      <c r="B611" t="str">
        <f>_xlfn.CONCAT([2]!bron[[#This Row],[personeelsnr]]," ",C611," ",D611)</f>
        <v>9999 - -</v>
      </c>
      <c r="C611" t="s">
        <v>2919</v>
      </c>
      <c r="D611" t="s">
        <v>2919</v>
      </c>
      <c r="E611" t="s">
        <v>810</v>
      </c>
      <c r="F611" s="10"/>
      <c r="G611" s="7"/>
      <c r="H611" s="7"/>
      <c r="I611" s="7"/>
      <c r="J611" s="5">
        <v>1</v>
      </c>
      <c r="S611" s="5">
        <f>SUM(bron[[#This Row],[Januari]:[December]])</f>
        <v>1</v>
      </c>
      <c r="T611" s="9">
        <v>45410</v>
      </c>
      <c r="U611" s="8" t="s">
        <v>448</v>
      </c>
      <c r="V611" s="8"/>
      <c r="W611" s="8">
        <v>1</v>
      </c>
      <c r="X611" t="s">
        <v>58</v>
      </c>
      <c r="Y611" t="s">
        <v>19</v>
      </c>
    </row>
    <row r="612" spans="1:25" x14ac:dyDescent="0.25">
      <c r="A612">
        <v>9999</v>
      </c>
      <c r="B612" t="str">
        <f>_xlfn.CONCAT([2]!bron[[#This Row],[personeelsnr]]," ",C612," ",D612)</f>
        <v>9999 - -</v>
      </c>
      <c r="C612" t="s">
        <v>2919</v>
      </c>
      <c r="D612" t="s">
        <v>2919</v>
      </c>
      <c r="E612" t="s">
        <v>810</v>
      </c>
      <c r="F612" s="10"/>
      <c r="G612" s="7"/>
      <c r="H612" s="7"/>
      <c r="I612" s="7"/>
      <c r="J612" s="5">
        <v>1</v>
      </c>
      <c r="S612" s="5">
        <f>SUM(bron[[#This Row],[Januari]:[December]])</f>
        <v>1</v>
      </c>
      <c r="T612" s="9">
        <v>45409</v>
      </c>
      <c r="U612" s="8" t="s">
        <v>447</v>
      </c>
      <c r="V612" s="8">
        <v>1</v>
      </c>
      <c r="W612" s="8"/>
      <c r="X612" t="s">
        <v>57</v>
      </c>
      <c r="Y612" t="s">
        <v>22</v>
      </c>
    </row>
    <row r="613" spans="1:25" x14ac:dyDescent="0.25">
      <c r="A613">
        <v>37951</v>
      </c>
      <c r="B613" t="e">
        <f>_xlfn.CONCAT([2]!bron[[#This Row],[personeelsnr]]," ",C613," ",D613)</f>
        <v>#REF!</v>
      </c>
      <c r="C613" t="str">
        <f>VLOOKUP(bron[[#This Row],[personeelsnr]],'data hastus'!$A:$C,2,0)</f>
        <v>Van De Voorde</v>
      </c>
      <c r="D613" t="str">
        <f>VLOOKUP(bron[[#This Row],[personeelsnr]],'data hastus'!$A:$C,3,0)</f>
        <v>Cindy</v>
      </c>
      <c r="E613" t="str">
        <f>VLOOKUP(bron[[#This Row],[personeelsnr]],'data hastus'!A:K,11,FALSE)</f>
        <v>Lucie Vande Velde</v>
      </c>
      <c r="F613" s="10"/>
      <c r="G613" s="7"/>
      <c r="H613" s="7"/>
      <c r="I613" s="7"/>
      <c r="J613" s="5">
        <v>1</v>
      </c>
      <c r="S613" s="5">
        <f>SUM(bron[[#This Row],[Januari]:[December]])</f>
        <v>1</v>
      </c>
      <c r="T613" s="9">
        <v>45406</v>
      </c>
      <c r="U613" s="8" t="s">
        <v>446</v>
      </c>
      <c r="V613" s="8">
        <v>1</v>
      </c>
      <c r="W613" s="8"/>
      <c r="X613" t="s">
        <v>57</v>
      </c>
      <c r="Y613" t="s">
        <v>125</v>
      </c>
    </row>
    <row r="614" spans="1:25" x14ac:dyDescent="0.25">
      <c r="A614">
        <v>36626</v>
      </c>
      <c r="B614" t="e">
        <f>_xlfn.CONCAT([2]!bron[[#This Row],[personeelsnr]]," ",C614," ",D614)</f>
        <v>#REF!</v>
      </c>
      <c r="C614" t="str">
        <f>VLOOKUP(bron[[#This Row],[personeelsnr]],'data hastus'!$A:$C,2,0)</f>
        <v>Kartal</v>
      </c>
      <c r="D614" t="str">
        <f>VLOOKUP(bron[[#This Row],[personeelsnr]],'data hastus'!$A:$C,3,0)</f>
        <v>Kadir</v>
      </c>
      <c r="E614" t="str">
        <f>VLOOKUP(bron[[#This Row],[personeelsnr]],'data hastus'!A:K,11,FALSE)</f>
        <v>Els Dewulf</v>
      </c>
      <c r="F614" s="10"/>
      <c r="G614" s="7"/>
      <c r="H614" s="7"/>
      <c r="I614" s="7"/>
      <c r="J614" s="5">
        <v>1</v>
      </c>
      <c r="S614" s="5">
        <f>SUM(bron[[#This Row],[Januari]:[December]])</f>
        <v>1</v>
      </c>
      <c r="T614" s="9">
        <v>45405</v>
      </c>
      <c r="U614" s="8" t="s">
        <v>443</v>
      </c>
      <c r="V614" s="8">
        <v>1</v>
      </c>
      <c r="W614" s="8"/>
      <c r="X614" t="s">
        <v>57</v>
      </c>
      <c r="Y614" t="s">
        <v>35</v>
      </c>
    </row>
    <row r="615" spans="1:25" x14ac:dyDescent="0.25">
      <c r="A615">
        <v>39927</v>
      </c>
      <c r="B615" t="e">
        <f>_xlfn.CONCAT([2]!bron[[#This Row],[personeelsnr]]," ",C615," ",D615)</f>
        <v>#REF!</v>
      </c>
      <c r="C615" t="str">
        <f>VLOOKUP(bron[[#This Row],[personeelsnr]],'data hastus'!$A:$C,2,0)</f>
        <v>De Wilde</v>
      </c>
      <c r="D615" t="str">
        <f>VLOOKUP(bron[[#This Row],[personeelsnr]],'data hastus'!$A:$C,3,0)</f>
        <v>Jordy</v>
      </c>
      <c r="E615" t="str">
        <f>VLOOKUP(bron[[#This Row],[personeelsnr]],'data hastus'!A:K,11,FALSE)</f>
        <v>Christoff Rotty</v>
      </c>
      <c r="F615" s="10"/>
      <c r="G615" s="7"/>
      <c r="H615" s="7"/>
      <c r="I615" s="7"/>
      <c r="J615" s="5">
        <v>1</v>
      </c>
      <c r="S615" s="5">
        <f>SUM(bron[[#This Row],[Januari]:[December]])</f>
        <v>1</v>
      </c>
      <c r="T615" s="9">
        <v>45405</v>
      </c>
      <c r="U615" s="8" t="s">
        <v>444</v>
      </c>
      <c r="V615" s="8">
        <v>1</v>
      </c>
      <c r="W615" s="8"/>
      <c r="X615" t="s">
        <v>57</v>
      </c>
      <c r="Y615" t="s">
        <v>18</v>
      </c>
    </row>
    <row r="616" spans="1:25" x14ac:dyDescent="0.25">
      <c r="A616">
        <v>39899</v>
      </c>
      <c r="B616" t="e">
        <f>_xlfn.CONCAT([2]!bron[[#This Row],[personeelsnr]]," ",C616," ",D616)</f>
        <v>#REF!</v>
      </c>
      <c r="C616" t="str">
        <f>VLOOKUP(bron[[#This Row],[personeelsnr]],'data hastus'!$A:$C,2,0)</f>
        <v>Calinalti</v>
      </c>
      <c r="D616" t="str">
        <f>VLOOKUP(bron[[#This Row],[personeelsnr]],'data hastus'!$A:$C,3,0)</f>
        <v>Abdil</v>
      </c>
      <c r="E616" t="str">
        <f>VLOOKUP(bron[[#This Row],[personeelsnr]],'data hastus'!A:K,11,FALSE)</f>
        <v>Christoff Rotty</v>
      </c>
      <c r="F616" s="10"/>
      <c r="G616" s="7"/>
      <c r="H616" s="7"/>
      <c r="I616" s="7"/>
      <c r="J616" s="5">
        <v>1</v>
      </c>
      <c r="S616" s="5">
        <f>SUM(bron[[#This Row],[Januari]:[December]])</f>
        <v>1</v>
      </c>
      <c r="T616" s="9">
        <v>45405</v>
      </c>
      <c r="U616" s="8" t="s">
        <v>445</v>
      </c>
      <c r="V616" s="8">
        <v>1</v>
      </c>
      <c r="W616" s="8"/>
      <c r="X616" t="s">
        <v>57</v>
      </c>
      <c r="Y616" t="s">
        <v>135</v>
      </c>
    </row>
    <row r="617" spans="1:25" x14ac:dyDescent="0.25">
      <c r="A617">
        <v>21124</v>
      </c>
      <c r="B617" t="e">
        <f>_xlfn.CONCAT([2]!bron[[#This Row],[personeelsnr]]," ",C617," ",D617)</f>
        <v>#REF!</v>
      </c>
      <c r="C617" t="str">
        <f>VLOOKUP(bron[[#This Row],[personeelsnr]],'data hastus'!$A:$C,2,0)</f>
        <v>De Ridder</v>
      </c>
      <c r="D617" t="str">
        <f>VLOOKUP(bron[[#This Row],[personeelsnr]],'data hastus'!$A:$C,3,0)</f>
        <v>Danny</v>
      </c>
      <c r="E617" t="str">
        <f>VLOOKUP(bron[[#This Row],[personeelsnr]],'data hastus'!A:K,11,FALSE)</f>
        <v>Christoff Rotty</v>
      </c>
      <c r="F617" s="10"/>
      <c r="G617" s="7"/>
      <c r="H617" s="7"/>
      <c r="I617" s="7"/>
      <c r="J617" s="5">
        <v>1</v>
      </c>
      <c r="S617" s="5">
        <f>SUM(bron[[#This Row],[Januari]:[December]])</f>
        <v>1</v>
      </c>
      <c r="T617" s="9">
        <v>45404</v>
      </c>
      <c r="U617" s="8" t="s">
        <v>441</v>
      </c>
      <c r="V617" s="8">
        <v>1</v>
      </c>
      <c r="W617" s="8"/>
      <c r="X617" t="s">
        <v>57</v>
      </c>
      <c r="Y617" t="s">
        <v>24</v>
      </c>
    </row>
    <row r="618" spans="1:25" x14ac:dyDescent="0.25">
      <c r="A618">
        <v>22625</v>
      </c>
      <c r="B618" t="e">
        <f>_xlfn.CONCAT([2]!bron[[#This Row],[personeelsnr]]," ",C618," ",D618)</f>
        <v>#REF!</v>
      </c>
      <c r="C618" t="str">
        <f>VLOOKUP(bron[[#This Row],[personeelsnr]],'data hastus'!$A:$C,2,0)</f>
        <v>Callebert</v>
      </c>
      <c r="D618" t="str">
        <f>VLOOKUP(bron[[#This Row],[personeelsnr]],'data hastus'!$A:$C,3,0)</f>
        <v>Pieter Jan</v>
      </c>
      <c r="E618" t="str">
        <f>VLOOKUP(bron[[#This Row],[personeelsnr]],'data hastus'!A:K,11,FALSE)</f>
        <v>Bart Van Der Beken</v>
      </c>
      <c r="F618" s="10"/>
      <c r="G618" s="7"/>
      <c r="H618" s="7"/>
      <c r="I618" s="7"/>
      <c r="J618" s="5">
        <v>1</v>
      </c>
      <c r="S618" s="5">
        <f>SUM(bron[[#This Row],[Januari]:[December]])</f>
        <v>1</v>
      </c>
      <c r="T618" s="9">
        <v>45404</v>
      </c>
      <c r="U618" s="8" t="s">
        <v>442</v>
      </c>
      <c r="V618" s="8">
        <v>1</v>
      </c>
      <c r="W618" s="8"/>
      <c r="X618" t="s">
        <v>57</v>
      </c>
      <c r="Y618" t="s">
        <v>18</v>
      </c>
    </row>
    <row r="619" spans="1:25" x14ac:dyDescent="0.25">
      <c r="A619">
        <v>9999</v>
      </c>
      <c r="B619" t="str">
        <f>_xlfn.CONCAT([2]!bron[[#This Row],[personeelsnr]]," ",C619," ",D619)</f>
        <v>9999 - -</v>
      </c>
      <c r="C619" t="s">
        <v>2919</v>
      </c>
      <c r="D619" t="s">
        <v>2919</v>
      </c>
      <c r="E619" t="s">
        <v>810</v>
      </c>
      <c r="F619" s="10"/>
      <c r="G619" s="7"/>
      <c r="H619" s="7"/>
      <c r="I619" s="7"/>
      <c r="J619" s="5">
        <v>1</v>
      </c>
      <c r="S619" s="5">
        <f>SUM(bron[[#This Row],[Januari]:[December]])</f>
        <v>1</v>
      </c>
      <c r="T619" s="9">
        <v>45403</v>
      </c>
      <c r="U619" s="8" t="s">
        <v>440</v>
      </c>
      <c r="V619" s="8">
        <v>1</v>
      </c>
      <c r="W619" s="8"/>
      <c r="X619" t="s">
        <v>57</v>
      </c>
      <c r="Y619" t="s">
        <v>29</v>
      </c>
    </row>
    <row r="620" spans="1:25" x14ac:dyDescent="0.25">
      <c r="A620">
        <v>11866</v>
      </c>
      <c r="B620" t="e">
        <f>_xlfn.CONCAT([2]!bron[[#This Row],[personeelsnr]]," ",C620," ",D620)</f>
        <v>#REF!</v>
      </c>
      <c r="C620" t="str">
        <f>VLOOKUP(bron[[#This Row],[personeelsnr]],'data hastus'!$A:$C,2,0)</f>
        <v>Bolle</v>
      </c>
      <c r="D620" t="str">
        <f>VLOOKUP(bron[[#This Row],[personeelsnr]],'data hastus'!$A:$C,3,0)</f>
        <v>Pascal</v>
      </c>
      <c r="E620" t="str">
        <f>VLOOKUP(bron[[#This Row],[personeelsnr]],'data hastus'!A:K,11,FALSE)</f>
        <v>Lucie Vande Velde</v>
      </c>
      <c r="F620" s="10"/>
      <c r="G620" s="7"/>
      <c r="H620" s="7"/>
      <c r="I620" s="7"/>
      <c r="J620" s="5">
        <v>1</v>
      </c>
      <c r="S620" s="5">
        <f>SUM(bron[[#This Row],[Januari]:[December]])</f>
        <v>1</v>
      </c>
      <c r="T620" s="9">
        <v>45402</v>
      </c>
      <c r="U620" s="8" t="s">
        <v>439</v>
      </c>
      <c r="V620" s="8"/>
      <c r="W620" s="8">
        <v>1</v>
      </c>
      <c r="X620" t="s">
        <v>58</v>
      </c>
      <c r="Y620" t="s">
        <v>18</v>
      </c>
    </row>
    <row r="621" spans="1:25" x14ac:dyDescent="0.25">
      <c r="A621">
        <v>34351</v>
      </c>
      <c r="B621" t="e">
        <f>_xlfn.CONCAT([2]!bron[[#This Row],[personeelsnr]]," ",C621," ",D621)</f>
        <v>#REF!</v>
      </c>
      <c r="C621" t="str">
        <f>VLOOKUP(bron[[#This Row],[personeelsnr]],'data hastus'!$A:$C,2,0)</f>
        <v>Callant</v>
      </c>
      <c r="D621" t="str">
        <f>VLOOKUP(bron[[#This Row],[personeelsnr]],'data hastus'!$A:$C,3,0)</f>
        <v>Dieter</v>
      </c>
      <c r="E621" t="str">
        <f>VLOOKUP(bron[[#This Row],[personeelsnr]],'data hastus'!A:K,11,FALSE)</f>
        <v>Els Vanhoe</v>
      </c>
      <c r="F621" s="10"/>
      <c r="G621" s="7"/>
      <c r="H621" s="7"/>
      <c r="I621" s="7"/>
      <c r="J621" s="5">
        <v>1</v>
      </c>
      <c r="S621" s="5">
        <f>SUM(bron[[#This Row],[Januari]:[December]])</f>
        <v>1</v>
      </c>
      <c r="T621" s="9">
        <v>45401</v>
      </c>
      <c r="U621" s="8" t="s">
        <v>435</v>
      </c>
      <c r="V621" s="8">
        <v>1</v>
      </c>
      <c r="W621" s="8"/>
      <c r="X621" t="s">
        <v>57</v>
      </c>
      <c r="Y621" t="s">
        <v>214</v>
      </c>
    </row>
    <row r="622" spans="1:25" x14ac:dyDescent="0.25">
      <c r="A622">
        <v>39183</v>
      </c>
      <c r="B622" t="e">
        <f>_xlfn.CONCAT([2]!bron[[#This Row],[personeelsnr]]," ",C622," ",D622)</f>
        <v>#REF!</v>
      </c>
      <c r="C622" t="str">
        <f>VLOOKUP(bron[[#This Row],[personeelsnr]],'data hastus'!$A:$C,2,0)</f>
        <v>Al Masri</v>
      </c>
      <c r="D622" t="str">
        <f>VLOOKUP(bron[[#This Row],[personeelsnr]],'data hastus'!$A:$C,3,0)</f>
        <v>Anas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J622" s="5">
        <v>1</v>
      </c>
      <c r="S622" s="5">
        <f>SUM(bron[[#This Row],[Januari]:[December]])</f>
        <v>1</v>
      </c>
      <c r="T622" s="9">
        <v>45401</v>
      </c>
      <c r="U622" s="8" t="s">
        <v>436</v>
      </c>
      <c r="V622" s="8">
        <v>1</v>
      </c>
      <c r="W622" s="8"/>
      <c r="X622" t="s">
        <v>57</v>
      </c>
      <c r="Y622" t="s">
        <v>90</v>
      </c>
    </row>
    <row r="623" spans="1:25" x14ac:dyDescent="0.25">
      <c r="A623">
        <v>21509</v>
      </c>
      <c r="B623" t="e">
        <f>_xlfn.CONCAT([2]!bron[[#This Row],[personeelsnr]]," ",C623," ",D623)</f>
        <v>#REF!</v>
      </c>
      <c r="C623" t="str">
        <f>VLOOKUP(bron[[#This Row],[personeelsnr]],'data hastus'!$A:$C,2,0)</f>
        <v>De Craemer</v>
      </c>
      <c r="D623" t="str">
        <f>VLOOKUP(bron[[#This Row],[personeelsnr]],'data hastus'!$A:$C,3,0)</f>
        <v>Kris</v>
      </c>
      <c r="E623" t="str">
        <f>VLOOKUP(bron[[#This Row],[personeelsnr]],'data hastus'!A:K,11,FALSE)</f>
        <v>Dominique De Clercq</v>
      </c>
      <c r="F623" s="10"/>
      <c r="G623" s="7"/>
      <c r="H623" s="7"/>
      <c r="I623" s="7"/>
      <c r="J623" s="5">
        <v>1</v>
      </c>
      <c r="S623" s="5">
        <f>SUM(bron[[#This Row],[Januari]:[December]])</f>
        <v>1</v>
      </c>
      <c r="T623" s="9">
        <v>45401</v>
      </c>
      <c r="U623" s="8" t="s">
        <v>437</v>
      </c>
      <c r="V623" s="8"/>
      <c r="W623" s="8">
        <v>1</v>
      </c>
      <c r="X623" t="s">
        <v>58</v>
      </c>
      <c r="Y623" t="s">
        <v>107</v>
      </c>
    </row>
    <row r="624" spans="1:25" x14ac:dyDescent="0.25">
      <c r="A624">
        <v>34044</v>
      </c>
      <c r="B624" t="e">
        <f>_xlfn.CONCAT([2]!bron[[#This Row],[personeelsnr]]," ",C624," ",D624)</f>
        <v>#REF!</v>
      </c>
      <c r="C624" t="str">
        <f>VLOOKUP(bron[[#This Row],[personeelsnr]],'data hastus'!$A:$C,2,0)</f>
        <v>Wieme</v>
      </c>
      <c r="D624" t="str">
        <f>VLOOKUP(bron[[#This Row],[personeelsnr]],'data hastus'!$A:$C,3,0)</f>
        <v>Kevin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J624" s="5">
        <v>1</v>
      </c>
      <c r="S624" s="5">
        <f>SUM(bron[[#This Row],[Januari]:[December]])</f>
        <v>1</v>
      </c>
      <c r="T624" s="9">
        <v>45401</v>
      </c>
      <c r="U624" s="8" t="s">
        <v>438</v>
      </c>
      <c r="V624" s="8"/>
      <c r="W624" s="8">
        <v>1</v>
      </c>
      <c r="X624" t="s">
        <v>58</v>
      </c>
      <c r="Y624" t="s">
        <v>25</v>
      </c>
    </row>
    <row r="625" spans="1:25" x14ac:dyDescent="0.25">
      <c r="A625">
        <v>38481</v>
      </c>
      <c r="B625" t="e">
        <f>_xlfn.CONCAT([2]!bron[[#This Row],[personeelsnr]]," ",C625," ",D625)</f>
        <v>#REF!</v>
      </c>
      <c r="C625" t="str">
        <f>VLOOKUP(bron[[#This Row],[personeelsnr]],'data hastus'!$A:$C,2,0)</f>
        <v>Sari</v>
      </c>
      <c r="D625" t="str">
        <f>VLOOKUP(bron[[#This Row],[personeelsnr]],'data hastus'!$A:$C,3,0)</f>
        <v>Devrim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J625" s="5">
        <v>1</v>
      </c>
      <c r="S625" s="5">
        <f>SUM(bron[[#This Row],[Januari]:[December]])</f>
        <v>1</v>
      </c>
      <c r="T625" s="9">
        <v>45400</v>
      </c>
      <c r="U625" s="8" t="s">
        <v>433</v>
      </c>
      <c r="V625" s="8">
        <v>1</v>
      </c>
      <c r="W625" s="8"/>
      <c r="X625" t="s">
        <v>57</v>
      </c>
      <c r="Y625" t="s">
        <v>33</v>
      </c>
    </row>
    <row r="626" spans="1:25" x14ac:dyDescent="0.25">
      <c r="A626">
        <v>35450</v>
      </c>
      <c r="B626" t="e">
        <f>_xlfn.CONCAT([2]!bron[[#This Row],[personeelsnr]]," ",C626," ",D626)</f>
        <v>#REF!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7"/>
      <c r="H626" s="7"/>
      <c r="I626" s="7"/>
      <c r="J626" s="5">
        <v>1</v>
      </c>
      <c r="S626" s="5">
        <f>SUM(bron[[#This Row],[Januari]:[December]])</f>
        <v>1</v>
      </c>
      <c r="T626" s="9">
        <v>45400</v>
      </c>
      <c r="U626" s="8" t="s">
        <v>434</v>
      </c>
      <c r="V626" s="8">
        <v>1</v>
      </c>
      <c r="W626" s="8"/>
      <c r="X626" t="s">
        <v>57</v>
      </c>
      <c r="Y626" t="s">
        <v>18</v>
      </c>
    </row>
    <row r="627" spans="1:25" x14ac:dyDescent="0.25">
      <c r="A627">
        <v>31733</v>
      </c>
      <c r="B627" t="e">
        <f>_xlfn.CONCAT([2]!bron[[#This Row],[personeelsnr]]," ",C627," ",D627)</f>
        <v>#REF!</v>
      </c>
      <c r="C627" t="str">
        <f>VLOOKUP(bron[[#This Row],[personeelsnr]],'data hastus'!$A:$C,2,0)</f>
        <v>Sonck</v>
      </c>
      <c r="D627" t="str">
        <f>VLOOKUP(bron[[#This Row],[personeelsnr]],'data hastus'!$A:$C,3,0)</f>
        <v>Kristof</v>
      </c>
      <c r="E627" t="str">
        <f>VLOOKUP(bron[[#This Row],[personeelsnr]],'data hastus'!A:K,11,FALSE)</f>
        <v>Dominique De Clercq</v>
      </c>
      <c r="F627" s="10"/>
      <c r="G627" s="7"/>
      <c r="H627" s="7"/>
      <c r="I627" s="7"/>
      <c r="J627" s="5">
        <v>1</v>
      </c>
      <c r="S627" s="5">
        <f>SUM(bron[[#This Row],[Januari]:[December]])</f>
        <v>1</v>
      </c>
      <c r="T627" s="9">
        <v>45399</v>
      </c>
      <c r="U627" s="8" t="s">
        <v>429</v>
      </c>
      <c r="V627" s="8">
        <v>1</v>
      </c>
      <c r="W627" s="8"/>
      <c r="X627" t="s">
        <v>57</v>
      </c>
      <c r="Y627" t="s">
        <v>18</v>
      </c>
    </row>
    <row r="628" spans="1:25" x14ac:dyDescent="0.25">
      <c r="A628">
        <v>39829</v>
      </c>
      <c r="B628" t="e">
        <f>_xlfn.CONCAT([2]!bron[[#This Row],[personeelsnr]]," ",C628," ",D628)</f>
        <v>#REF!</v>
      </c>
      <c r="C628" t="str">
        <f>VLOOKUP(bron[[#This Row],[personeelsnr]],'data hastus'!$A:$C,2,0)</f>
        <v>Demirkaya</v>
      </c>
      <c r="D628" t="str">
        <f>VLOOKUP(bron[[#This Row],[personeelsnr]],'data hastus'!$A:$C,3,0)</f>
        <v>Serkan</v>
      </c>
      <c r="E628" t="str">
        <f>VLOOKUP(bron[[#This Row],[personeelsnr]],'data hastus'!A:K,11,FALSE)</f>
        <v>Lucie Vande Velde</v>
      </c>
      <c r="F628" s="10"/>
      <c r="G628" s="7"/>
      <c r="H628" s="7"/>
      <c r="I628" s="7"/>
      <c r="J628" s="5">
        <v>1</v>
      </c>
      <c r="S628" s="5">
        <f>SUM(bron[[#This Row],[Januari]:[December]])</f>
        <v>1</v>
      </c>
      <c r="T628" s="9">
        <v>45399</v>
      </c>
      <c r="U628" s="8" t="s">
        <v>430</v>
      </c>
      <c r="V628" s="8">
        <v>1</v>
      </c>
      <c r="W628" s="8"/>
      <c r="X628" t="s">
        <v>57</v>
      </c>
      <c r="Y628" t="s">
        <v>93</v>
      </c>
    </row>
    <row r="629" spans="1:25" x14ac:dyDescent="0.25">
      <c r="A629">
        <v>40223</v>
      </c>
      <c r="B629" t="e">
        <f>_xlfn.CONCAT([2]!bron[[#This Row],[personeelsnr]]," ",C629," ",D629)</f>
        <v>#REF!</v>
      </c>
      <c r="C629" t="str">
        <f>VLOOKUP(bron[[#This Row],[personeelsnr]],'data hastus'!$A:$C,2,0)</f>
        <v>Teetaert</v>
      </c>
      <c r="D629" t="str">
        <f>VLOOKUP(bron[[#This Row],[personeelsnr]],'data hastus'!$A:$C,3,0)</f>
        <v>Billy</v>
      </c>
      <c r="E629" t="str">
        <f>VLOOKUP(bron[[#This Row],[personeelsnr]],'data hastus'!A:K,11,FALSE)</f>
        <v>Dominique De Clercq</v>
      </c>
      <c r="F629" s="10"/>
      <c r="G629" s="7"/>
      <c r="H629" s="7"/>
      <c r="I629" s="7"/>
      <c r="J629" s="5">
        <v>1</v>
      </c>
      <c r="S629" s="5">
        <f>SUM(bron[[#This Row],[Januari]:[December]])</f>
        <v>1</v>
      </c>
      <c r="T629" s="9">
        <v>45399</v>
      </c>
      <c r="U629" s="8" t="s">
        <v>431</v>
      </c>
      <c r="V629" s="8">
        <v>1</v>
      </c>
      <c r="W629" s="8"/>
      <c r="X629" t="s">
        <v>57</v>
      </c>
      <c r="Y629" t="s">
        <v>37</v>
      </c>
    </row>
    <row r="630" spans="1:25" x14ac:dyDescent="0.25">
      <c r="A630">
        <v>5599</v>
      </c>
      <c r="B630" t="e">
        <f>_xlfn.CONCAT([2]!bron[[#This Row],[personeelsnr]]," ",C630," ",D630)</f>
        <v>#REF!</v>
      </c>
      <c r="C630" t="str">
        <f>VLOOKUP(bron[[#This Row],[personeelsnr]],'data hastus'!$A:$C,2,0)</f>
        <v>Pretel</v>
      </c>
      <c r="D630" t="str">
        <f>VLOOKUP(bron[[#This Row],[personeelsnr]],'data hastus'!$A:$C,3,0)</f>
        <v>Philippe</v>
      </c>
      <c r="E630" t="str">
        <f>VLOOKUP(bron[[#This Row],[personeelsnr]],'data hastus'!A:K,11,FALSE)</f>
        <v>Steven Storm</v>
      </c>
      <c r="F630" s="10"/>
      <c r="G630" s="7"/>
      <c r="H630" s="7"/>
      <c r="I630" s="7"/>
      <c r="J630" s="5">
        <v>1</v>
      </c>
      <c r="S630" s="5">
        <f>SUM(bron[[#This Row],[Januari]:[December]])</f>
        <v>1</v>
      </c>
      <c r="T630" s="9">
        <v>45399</v>
      </c>
      <c r="U630" s="8" t="s">
        <v>432</v>
      </c>
      <c r="V630" s="8"/>
      <c r="W630" s="8">
        <v>1</v>
      </c>
      <c r="X630" t="s">
        <v>58</v>
      </c>
      <c r="Y630" t="s">
        <v>19</v>
      </c>
    </row>
    <row r="631" spans="1:25" x14ac:dyDescent="0.25">
      <c r="A631">
        <v>38634</v>
      </c>
      <c r="B631" t="e">
        <f>_xlfn.CONCAT([2]!bron[[#This Row],[personeelsnr]]," ",C631," ",D631)</f>
        <v>#REF!</v>
      </c>
      <c r="C631" t="str">
        <f>VLOOKUP(bron[[#This Row],[personeelsnr]],'data hastus'!$A:$C,2,0)</f>
        <v>Asskale</v>
      </c>
      <c r="D631" t="str">
        <f>VLOOKUP(bron[[#This Row],[personeelsnr]],'data hastus'!$A:$C,3,0)</f>
        <v>Zouhir</v>
      </c>
      <c r="E631" t="str">
        <f>VLOOKUP(bron[[#This Row],[personeelsnr]],'data hastus'!A:K,11,FALSE)</f>
        <v>Bart Van Der Beken</v>
      </c>
      <c r="F631" s="10"/>
      <c r="G631" s="7"/>
      <c r="H631" s="7"/>
      <c r="I631" s="7"/>
      <c r="J631" s="5">
        <v>1</v>
      </c>
      <c r="S631" s="5">
        <f>SUM(bron[[#This Row],[Januari]:[December]])</f>
        <v>1</v>
      </c>
      <c r="T631" s="9">
        <v>45397</v>
      </c>
      <c r="U631" s="8" t="s">
        <v>428</v>
      </c>
      <c r="V631" s="8">
        <v>1</v>
      </c>
      <c r="W631" s="8"/>
      <c r="X631" t="s">
        <v>57</v>
      </c>
      <c r="Y631" t="s">
        <v>98</v>
      </c>
    </row>
    <row r="632" spans="1:25" x14ac:dyDescent="0.25">
      <c r="A632">
        <v>36429</v>
      </c>
      <c r="B632" t="e">
        <f>_xlfn.CONCAT([2]!bron[[#This Row],[personeelsnr]]," ",C632," ",D632)</f>
        <v>#REF!</v>
      </c>
      <c r="C632" t="str">
        <f>VLOOKUP(bron[[#This Row],[personeelsnr]],'data hastus'!$A:$C,2,0)</f>
        <v>Ahlaloum</v>
      </c>
      <c r="D632" t="str">
        <f>VLOOKUP(bron[[#This Row],[personeelsnr]],'data hastus'!$A:$C,3,0)</f>
        <v>Khalid</v>
      </c>
      <c r="E632" t="str">
        <f>VLOOKUP(bron[[#This Row],[personeelsnr]],'data hastus'!A:K,11,FALSE)</f>
        <v>Kenneth De Rick</v>
      </c>
      <c r="F632" s="10"/>
      <c r="G632" s="7"/>
      <c r="H632" s="7"/>
      <c r="I632" s="7"/>
      <c r="J632" s="5">
        <v>1</v>
      </c>
      <c r="S632" s="5">
        <f>SUM(bron[[#This Row],[Januari]:[December]])</f>
        <v>1</v>
      </c>
      <c r="T632" s="9">
        <v>45396</v>
      </c>
      <c r="U632" s="8" t="s">
        <v>427</v>
      </c>
      <c r="V632" s="8">
        <v>1</v>
      </c>
      <c r="W632" s="8"/>
      <c r="X632" t="s">
        <v>57</v>
      </c>
      <c r="Y632" t="s">
        <v>22</v>
      </c>
    </row>
    <row r="633" spans="1:25" x14ac:dyDescent="0.25">
      <c r="A633">
        <v>39930</v>
      </c>
      <c r="B633" t="e">
        <f>_xlfn.CONCAT([2]!bron[[#This Row],[personeelsnr]]," ",C633," ",D633)</f>
        <v>#REF!</v>
      </c>
      <c r="C633" t="str">
        <f>VLOOKUP(bron[[#This Row],[personeelsnr]],'data hastus'!$A:$C,2,0)</f>
        <v>Mirazai</v>
      </c>
      <c r="D633" t="str">
        <f>VLOOKUP(bron[[#This Row],[personeelsnr]],'data hastus'!$A:$C,3,0)</f>
        <v>Rahmatullah</v>
      </c>
      <c r="E633" t="str">
        <f>VLOOKUP(bron[[#This Row],[personeelsnr]],'data hastus'!A:K,11,FALSE)</f>
        <v>Christoff Rotty</v>
      </c>
      <c r="F633" s="10"/>
      <c r="G633" s="7"/>
      <c r="H633" s="7"/>
      <c r="I633" s="7"/>
      <c r="J633" s="5">
        <v>1</v>
      </c>
      <c r="S633" s="5">
        <f>SUM(bron[[#This Row],[Januari]:[December]])</f>
        <v>1</v>
      </c>
      <c r="T633" s="9">
        <v>45395</v>
      </c>
      <c r="U633" s="8" t="s">
        <v>426</v>
      </c>
      <c r="V633" s="8">
        <v>1</v>
      </c>
      <c r="W633" s="8"/>
      <c r="X633" t="s">
        <v>57</v>
      </c>
      <c r="Y633" t="s">
        <v>126</v>
      </c>
    </row>
    <row r="634" spans="1:25" x14ac:dyDescent="0.25">
      <c r="A634">
        <v>38807</v>
      </c>
      <c r="B634" t="e">
        <f>_xlfn.CONCAT([2]!bron[[#This Row],[personeelsnr]]," ",C634," ",D634)</f>
        <v>#REF!</v>
      </c>
      <c r="C634" t="str">
        <f>VLOOKUP(bron[[#This Row],[personeelsnr]],'data hastus'!$A:$C,2,0)</f>
        <v>Dossche</v>
      </c>
      <c r="D634" t="str">
        <f>VLOOKUP(bron[[#This Row],[personeelsnr]],'data hastus'!$A:$C,3,0)</f>
        <v>Caroline</v>
      </c>
      <c r="E634" t="str">
        <f>VLOOKUP(bron[[#This Row],[personeelsnr]],'data hastus'!A:K,11,FALSE)</f>
        <v>Christoff Rotty</v>
      </c>
      <c r="F634" s="10"/>
      <c r="G634" s="7"/>
      <c r="H634" s="7"/>
      <c r="I634" s="7"/>
      <c r="J634" s="5">
        <v>1</v>
      </c>
      <c r="S634" s="5">
        <f>SUM(bron[[#This Row],[Januari]:[December]])</f>
        <v>1</v>
      </c>
      <c r="T634" s="9">
        <v>45394</v>
      </c>
      <c r="U634" s="8" t="s">
        <v>424</v>
      </c>
      <c r="V634" s="8">
        <v>1</v>
      </c>
      <c r="W634" s="8"/>
      <c r="X634" t="s">
        <v>57</v>
      </c>
      <c r="Y634" t="s">
        <v>109</v>
      </c>
    </row>
    <row r="635" spans="1:25" x14ac:dyDescent="0.25">
      <c r="A635">
        <v>28717</v>
      </c>
      <c r="B635" t="e">
        <f>_xlfn.CONCAT([2]!bron[[#This Row],[personeelsnr]]," ",C635," ",D635)</f>
        <v>#REF!</v>
      </c>
      <c r="C635" t="str">
        <f>VLOOKUP(bron[[#This Row],[personeelsnr]],'data hastus'!$A:$C,2,0)</f>
        <v>Dejonckheere</v>
      </c>
      <c r="D635" t="str">
        <f>VLOOKUP(bron[[#This Row],[personeelsnr]],'data hastus'!$A:$C,3,0)</f>
        <v>Els</v>
      </c>
      <c r="E635" t="str">
        <f>VLOOKUP(bron[[#This Row],[personeelsnr]],'data hastus'!A:K,11,FALSE)</f>
        <v>Lucie Vande Velde</v>
      </c>
      <c r="F635" s="10"/>
      <c r="G635" s="7"/>
      <c r="H635" s="7"/>
      <c r="I635" s="7"/>
      <c r="J635" s="5">
        <v>1</v>
      </c>
      <c r="S635" s="5">
        <f>SUM(bron[[#This Row],[Januari]:[December]])</f>
        <v>1</v>
      </c>
      <c r="T635" s="9">
        <v>45394</v>
      </c>
      <c r="U635" s="8" t="s">
        <v>425</v>
      </c>
      <c r="V635" s="8">
        <v>1</v>
      </c>
      <c r="W635" s="8"/>
      <c r="X635" t="s">
        <v>57</v>
      </c>
      <c r="Y635" t="s">
        <v>18</v>
      </c>
    </row>
    <row r="636" spans="1:25" x14ac:dyDescent="0.25">
      <c r="A636">
        <v>8708</v>
      </c>
      <c r="B636" t="e">
        <f>_xlfn.CONCAT([2]!bron[[#This Row],[personeelsnr]]," ",C636," ",D636)</f>
        <v>#REF!</v>
      </c>
      <c r="C636" t="str">
        <f>VLOOKUP(bron[[#This Row],[personeelsnr]],'data hastus'!$A:$C,2,0)</f>
        <v>Middernacht</v>
      </c>
      <c r="D636" t="str">
        <f>VLOOKUP(bron[[#This Row],[personeelsnr]],'data hastus'!$A:$C,3,0)</f>
        <v>Andy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J636" s="5">
        <v>1</v>
      </c>
      <c r="S636" s="5">
        <f>SUM(bron[[#This Row],[Januari]:[December]])</f>
        <v>1</v>
      </c>
      <c r="T636" s="9">
        <v>45393</v>
      </c>
      <c r="U636" s="8" t="s">
        <v>422</v>
      </c>
      <c r="V636" s="8">
        <v>1</v>
      </c>
      <c r="W636" s="8"/>
      <c r="X636" t="s">
        <v>57</v>
      </c>
      <c r="Y636" t="s">
        <v>110</v>
      </c>
    </row>
    <row r="637" spans="1:25" x14ac:dyDescent="0.25">
      <c r="A637">
        <v>9999</v>
      </c>
      <c r="B637" t="str">
        <f>_xlfn.CONCAT([2]!bron[[#This Row],[personeelsnr]]," ",C637," ",D637)</f>
        <v>9999 - -</v>
      </c>
      <c r="C637" t="s">
        <v>2919</v>
      </c>
      <c r="D637" t="s">
        <v>2919</v>
      </c>
      <c r="E637" t="s">
        <v>810</v>
      </c>
      <c r="F637" s="10"/>
      <c r="G637" s="7"/>
      <c r="H637" s="7"/>
      <c r="I637" s="7"/>
      <c r="J637" s="5">
        <v>1</v>
      </c>
      <c r="S637" s="5">
        <f>SUM(bron[[#This Row],[Januari]:[December]])</f>
        <v>1</v>
      </c>
      <c r="T637" s="9">
        <v>45393</v>
      </c>
      <c r="U637" s="8" t="s">
        <v>423</v>
      </c>
      <c r="V637" s="8"/>
      <c r="W637" s="8">
        <v>1</v>
      </c>
      <c r="X637" t="s">
        <v>58</v>
      </c>
      <c r="Y637" t="s">
        <v>70</v>
      </c>
    </row>
    <row r="638" spans="1:25" x14ac:dyDescent="0.25">
      <c r="A638">
        <v>9999</v>
      </c>
      <c r="B638" t="str">
        <f>_xlfn.CONCAT([2]!bron[[#This Row],[personeelsnr]]," ",C638," ",D638)</f>
        <v>9999 - -</v>
      </c>
      <c r="C638" t="s">
        <v>2919</v>
      </c>
      <c r="D638" t="s">
        <v>2919</v>
      </c>
      <c r="E638" t="s">
        <v>810</v>
      </c>
      <c r="F638" s="10"/>
      <c r="G638" s="7"/>
      <c r="H638" s="7"/>
      <c r="I638" s="7"/>
      <c r="J638" s="5">
        <v>1</v>
      </c>
      <c r="S638" s="5">
        <f>SUM(bron[[#This Row],[Januari]:[December]])</f>
        <v>1</v>
      </c>
      <c r="T638" s="9">
        <v>45392</v>
      </c>
      <c r="U638" s="8" t="s">
        <v>421</v>
      </c>
      <c r="V638" s="8"/>
      <c r="W638" s="8">
        <v>1</v>
      </c>
      <c r="X638" t="s">
        <v>58</v>
      </c>
      <c r="Y638" t="s">
        <v>70</v>
      </c>
    </row>
    <row r="639" spans="1:25" x14ac:dyDescent="0.25">
      <c r="A639">
        <v>32620</v>
      </c>
      <c r="B639" t="e">
        <f>_xlfn.CONCAT([2]!bron[[#This Row],[personeelsnr]]," ",C639," ",D639)</f>
        <v>#REF!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7"/>
      <c r="H639" s="7"/>
      <c r="I639" s="7"/>
      <c r="J639" s="5">
        <v>1</v>
      </c>
      <c r="S639" s="5">
        <f>SUM(bron[[#This Row],[Januari]:[December]])</f>
        <v>1</v>
      </c>
      <c r="T639" s="9">
        <v>45391</v>
      </c>
      <c r="U639" s="8" t="s">
        <v>420</v>
      </c>
      <c r="V639" s="8">
        <v>1</v>
      </c>
      <c r="W639" s="8"/>
      <c r="X639" t="s">
        <v>57</v>
      </c>
      <c r="Y639" t="s">
        <v>18</v>
      </c>
    </row>
    <row r="640" spans="1:25" x14ac:dyDescent="0.25">
      <c r="A640">
        <v>9999</v>
      </c>
      <c r="B640" t="str">
        <f>_xlfn.CONCAT([2]!bron[[#This Row],[personeelsnr]]," ",C640," ",D640)</f>
        <v>9999 - -</v>
      </c>
      <c r="C640" t="s">
        <v>2919</v>
      </c>
      <c r="D640" t="s">
        <v>2919</v>
      </c>
      <c r="E640" t="s">
        <v>810</v>
      </c>
      <c r="F640" s="10"/>
      <c r="G640" s="7"/>
      <c r="H640" s="7"/>
      <c r="I640" s="7"/>
      <c r="J640" s="5">
        <v>1</v>
      </c>
      <c r="S640" s="5">
        <f>SUM(bron[[#This Row],[Januari]:[December]])</f>
        <v>1</v>
      </c>
      <c r="T640" s="9">
        <v>45390</v>
      </c>
      <c r="U640" s="8" t="s">
        <v>415</v>
      </c>
      <c r="V640" s="8">
        <v>1</v>
      </c>
      <c r="W640" s="8"/>
      <c r="X640" t="s">
        <v>57</v>
      </c>
      <c r="Y640" t="s">
        <v>19</v>
      </c>
    </row>
    <row r="641" spans="1:25" x14ac:dyDescent="0.25">
      <c r="A641">
        <v>29179</v>
      </c>
      <c r="B641" t="e">
        <f>_xlfn.CONCAT([2]!bron[[#This Row],[personeelsnr]]," ",C641," ",D641)</f>
        <v>#REF!</v>
      </c>
      <c r="C641" t="str">
        <f>VLOOKUP(bron[[#This Row],[personeelsnr]],'data hastus'!$A:$C,2,0)</f>
        <v>Verwee</v>
      </c>
      <c r="D641" t="str">
        <f>VLOOKUP(bron[[#This Row],[personeelsnr]],'data hastus'!$A:$C,3,0)</f>
        <v>Dries</v>
      </c>
      <c r="E641" t="str">
        <f>VLOOKUP(bron[[#This Row],[personeelsnr]],'data hastus'!A:K,11,FALSE)</f>
        <v>Els Dewulf</v>
      </c>
      <c r="F641" s="10"/>
      <c r="G641" s="7"/>
      <c r="H641" s="7"/>
      <c r="I641" s="7"/>
      <c r="J641" s="5">
        <v>1</v>
      </c>
      <c r="S641" s="5">
        <f>SUM(bron[[#This Row],[Januari]:[December]])</f>
        <v>1</v>
      </c>
      <c r="T641" s="9">
        <v>45390</v>
      </c>
      <c r="U641" s="8" t="s">
        <v>416</v>
      </c>
      <c r="V641" s="8">
        <v>1</v>
      </c>
      <c r="W641" s="8"/>
      <c r="X641" t="s">
        <v>57</v>
      </c>
      <c r="Y641" t="s">
        <v>23</v>
      </c>
    </row>
    <row r="642" spans="1:25" x14ac:dyDescent="0.25">
      <c r="A642">
        <v>34385</v>
      </c>
      <c r="B642" t="str">
        <f>_xlfn.CONCAT([2]!bron[[#This Row],[personeelsnr]]," ",C642," ",D642)</f>
        <v>34385 Goosens Wesley</v>
      </c>
      <c r="C642" t="s">
        <v>417</v>
      </c>
      <c r="D642" t="s">
        <v>418</v>
      </c>
      <c r="E642" t="s">
        <v>2926</v>
      </c>
      <c r="F642" s="10"/>
      <c r="G642" s="7"/>
      <c r="H642" s="7"/>
      <c r="I642" s="7"/>
      <c r="J642" s="5">
        <v>1</v>
      </c>
      <c r="S642" s="5">
        <f>SUM(bron[[#This Row],[Januari]:[December]])</f>
        <v>1</v>
      </c>
      <c r="T642" s="9">
        <v>45390</v>
      </c>
      <c r="U642" s="8" t="s">
        <v>419</v>
      </c>
      <c r="V642" s="8">
        <v>1</v>
      </c>
      <c r="W642" s="8"/>
      <c r="X642" t="s">
        <v>57</v>
      </c>
      <c r="Y642" t="s">
        <v>21</v>
      </c>
    </row>
    <row r="643" spans="1:25" x14ac:dyDescent="0.25">
      <c r="A643">
        <v>9999</v>
      </c>
      <c r="B643" t="str">
        <f>_xlfn.CONCAT([2]!bron[[#This Row],[personeelsnr]]," ",C643," ",D643)</f>
        <v>9999 - -</v>
      </c>
      <c r="C643" t="s">
        <v>2919</v>
      </c>
      <c r="D643" t="s">
        <v>2919</v>
      </c>
      <c r="E643" t="s">
        <v>810</v>
      </c>
      <c r="F643" s="10"/>
      <c r="G643" s="7"/>
      <c r="H643" s="7"/>
      <c r="I643" s="7"/>
      <c r="J643" s="5">
        <v>1</v>
      </c>
      <c r="S643" s="5">
        <f>SUM(bron[[#This Row],[Januari]:[December]])</f>
        <v>1</v>
      </c>
      <c r="T643" s="9">
        <v>45389</v>
      </c>
      <c r="U643" s="8" t="s">
        <v>412</v>
      </c>
      <c r="V643" s="8">
        <v>1</v>
      </c>
      <c r="W643" s="8"/>
      <c r="X643" t="s">
        <v>57</v>
      </c>
      <c r="Y643" t="s">
        <v>47</v>
      </c>
    </row>
    <row r="644" spans="1:25" x14ac:dyDescent="0.25">
      <c r="A644">
        <v>38481</v>
      </c>
      <c r="B644" t="e">
        <f>_xlfn.CONCAT([2]!bron[[#This Row],[personeelsnr]]," ",C644," ",D644)</f>
        <v>#REF!</v>
      </c>
      <c r="C644" t="str">
        <f>VLOOKUP(bron[[#This Row],[personeelsnr]],'data hastus'!$A:$C,2,0)</f>
        <v>Sari</v>
      </c>
      <c r="D644" t="str">
        <f>VLOOKUP(bron[[#This Row],[personeelsnr]],'data hastus'!$A:$C,3,0)</f>
        <v>Devrim</v>
      </c>
      <c r="E644" t="str">
        <f>VLOOKUP(bron[[#This Row],[personeelsnr]],'data hastus'!A:K,11,FALSE)</f>
        <v>Kenneth De Rick</v>
      </c>
      <c r="F644" s="10"/>
      <c r="G644" s="7"/>
      <c r="H644" s="7"/>
      <c r="I644" s="7"/>
      <c r="J644" s="5">
        <v>1</v>
      </c>
      <c r="S644" s="5">
        <f>SUM(bron[[#This Row],[Januari]:[December]])</f>
        <v>1</v>
      </c>
      <c r="T644" s="9">
        <v>45389</v>
      </c>
      <c r="U644" s="8" t="s">
        <v>413</v>
      </c>
      <c r="V644" s="8">
        <v>1</v>
      </c>
      <c r="W644" s="8"/>
      <c r="X644" t="s">
        <v>57</v>
      </c>
      <c r="Y644" t="s">
        <v>55</v>
      </c>
    </row>
    <row r="645" spans="1:25" x14ac:dyDescent="0.25">
      <c r="A645">
        <v>37216</v>
      </c>
      <c r="B645" t="e">
        <f>_xlfn.CONCAT([2]!bron[[#This Row],[personeelsnr]]," ",C645," ",D645)</f>
        <v>#REF!</v>
      </c>
      <c r="C645" t="str">
        <f>VLOOKUP(bron[[#This Row],[personeelsnr]],'data hastus'!$A:$C,2,0)</f>
        <v>Antoniewicz</v>
      </c>
      <c r="D645" t="str">
        <f>VLOOKUP(bron[[#This Row],[personeelsnr]],'data hastus'!$A:$C,3,0)</f>
        <v>Stephan</v>
      </c>
      <c r="E645" t="str">
        <f>VLOOKUP(bron[[#This Row],[personeelsnr]],'data hastus'!A:K,11,FALSE)</f>
        <v>Kenneth De Rick</v>
      </c>
      <c r="F645" s="10"/>
      <c r="G645" s="7"/>
      <c r="H645" s="7"/>
      <c r="I645" s="7"/>
      <c r="J645" s="5">
        <v>1</v>
      </c>
      <c r="S645" s="5">
        <f>SUM(bron[[#This Row],[Januari]:[December]])</f>
        <v>1</v>
      </c>
      <c r="T645" s="9">
        <v>45389</v>
      </c>
      <c r="U645" s="8" t="s">
        <v>414</v>
      </c>
      <c r="V645" s="8">
        <v>1</v>
      </c>
      <c r="W645" s="8"/>
      <c r="X645" t="s">
        <v>57</v>
      </c>
      <c r="Y645" t="s">
        <v>22</v>
      </c>
    </row>
    <row r="646" spans="1:25" x14ac:dyDescent="0.25">
      <c r="A646">
        <v>19848</v>
      </c>
      <c r="B646" t="e">
        <f>_xlfn.CONCAT([2]!bron[[#This Row],[personeelsnr]]," ",C646," ",D646)</f>
        <v>#REF!</v>
      </c>
      <c r="C646" t="str">
        <f>VLOOKUP(bron[[#This Row],[personeelsnr]],'data hastus'!$A:$C,2,0)</f>
        <v>Gevaert</v>
      </c>
      <c r="D646" t="str">
        <f>VLOOKUP(bron[[#This Row],[personeelsnr]],'data hastus'!$A:$C,3,0)</f>
        <v>Patrick</v>
      </c>
      <c r="E646" t="str">
        <f>VLOOKUP(bron[[#This Row],[personeelsnr]],'data hastus'!A:K,11,FALSE)</f>
        <v>Steven Storm</v>
      </c>
      <c r="F646" s="10"/>
      <c r="G646" s="7"/>
      <c r="H646" s="7"/>
      <c r="I646" s="7"/>
      <c r="J646" s="5">
        <v>1</v>
      </c>
      <c r="S646" s="5">
        <f>SUM(bron[[#This Row],[Januari]:[December]])</f>
        <v>1</v>
      </c>
      <c r="T646" s="9">
        <v>45387</v>
      </c>
      <c r="U646" s="8" t="s">
        <v>411</v>
      </c>
      <c r="V646" s="8"/>
      <c r="W646" s="8">
        <v>1</v>
      </c>
      <c r="X646" t="s">
        <v>58</v>
      </c>
      <c r="Y646" t="s">
        <v>78</v>
      </c>
    </row>
    <row r="647" spans="1:25" x14ac:dyDescent="0.25">
      <c r="A647">
        <v>31600</v>
      </c>
      <c r="B647" t="e">
        <f>_xlfn.CONCAT([2]!bron[[#This Row],[personeelsnr]]," ",C647," ",D647)</f>
        <v>#REF!</v>
      </c>
      <c r="C647" t="str">
        <f>VLOOKUP(bron[[#This Row],[personeelsnr]],'data hastus'!$A:$C,2,0)</f>
        <v>Mertens</v>
      </c>
      <c r="D647" t="str">
        <f>VLOOKUP(bron[[#This Row],[personeelsnr]],'data hastus'!$A:$C,3,0)</f>
        <v>Tom</v>
      </c>
      <c r="E647" t="str">
        <f>VLOOKUP(bron[[#This Row],[personeelsnr]],'data hastus'!A:K,11,FALSE)</f>
        <v>Els Dewulf</v>
      </c>
      <c r="F647" s="10"/>
      <c r="G647" s="7"/>
      <c r="H647" s="7"/>
      <c r="I647" s="7"/>
      <c r="J647" s="5">
        <v>1</v>
      </c>
      <c r="S647" s="5">
        <f>SUM(bron[[#This Row],[Januari]:[December]])</f>
        <v>1</v>
      </c>
      <c r="T647" s="9">
        <v>45386</v>
      </c>
      <c r="U647" s="8" t="s">
        <v>410</v>
      </c>
      <c r="V647" s="8">
        <v>1</v>
      </c>
      <c r="W647" s="8"/>
      <c r="X647" t="s">
        <v>57</v>
      </c>
      <c r="Y647" t="s">
        <v>184</v>
      </c>
    </row>
    <row r="648" spans="1:25" x14ac:dyDescent="0.25">
      <c r="A648">
        <v>37439</v>
      </c>
      <c r="B648" t="e">
        <f>_xlfn.CONCAT([2]!bron[[#This Row],[personeelsnr]]," ",C648," ",D648)</f>
        <v>#REF!</v>
      </c>
      <c r="C648" t="str">
        <f>VLOOKUP(bron[[#This Row],[personeelsnr]],'data hastus'!$A:$C,2,0)</f>
        <v>Demirkazik</v>
      </c>
      <c r="D648" t="str">
        <f>VLOOKUP(bron[[#This Row],[personeelsnr]],'data hastus'!$A:$C,3,0)</f>
        <v>Mustafa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J648" s="5">
        <v>1</v>
      </c>
      <c r="S648" s="5">
        <f>SUM(bron[[#This Row],[Januari]:[December]])</f>
        <v>1</v>
      </c>
      <c r="T648" s="9">
        <v>45383</v>
      </c>
      <c r="U648" s="8" t="s">
        <v>409</v>
      </c>
      <c r="V648" s="8">
        <v>1</v>
      </c>
      <c r="W648" s="8"/>
      <c r="X648" t="s">
        <v>57</v>
      </c>
      <c r="Y648" t="s">
        <v>90</v>
      </c>
    </row>
    <row r="649" spans="1:25" x14ac:dyDescent="0.25">
      <c r="A649">
        <v>39654</v>
      </c>
      <c r="B649" t="e">
        <f>_xlfn.CONCAT([2]!bron[[#This Row],[personeelsnr]]," ",C649," ",D649)</f>
        <v>#REF!</v>
      </c>
      <c r="C649" t="str">
        <f>VLOOKUP(bron[[#This Row],[personeelsnr]],'data hastus'!$A:$C,2,0)</f>
        <v>Camacho Encarnacion</v>
      </c>
      <c r="D649" t="str">
        <f>VLOOKUP(bron[[#This Row],[personeelsnr]],'data hastus'!$A:$C,3,0)</f>
        <v>Lisandro Javier</v>
      </c>
      <c r="E649" t="str">
        <f>VLOOKUP(bron[[#This Row],[personeelsnr]],'data hastus'!A:K,11,FALSE)</f>
        <v>Kenneth De Rick</v>
      </c>
      <c r="F649" s="10"/>
      <c r="G649" s="7"/>
      <c r="H649" s="7"/>
      <c r="I649" s="7">
        <v>1</v>
      </c>
      <c r="S649" s="5">
        <f>SUM(bron[[#This Row],[Januari]:[December]])</f>
        <v>1</v>
      </c>
      <c r="T649" s="9">
        <v>45382</v>
      </c>
      <c r="U649" s="8" t="s">
        <v>406</v>
      </c>
      <c r="V649" s="8">
        <v>1</v>
      </c>
      <c r="W649" s="8"/>
      <c r="X649" t="s">
        <v>57</v>
      </c>
      <c r="Y649" t="s">
        <v>26</v>
      </c>
    </row>
    <row r="650" spans="1:25" x14ac:dyDescent="0.25">
      <c r="A650">
        <v>33400</v>
      </c>
      <c r="B650" t="e">
        <f>_xlfn.CONCAT([2]!bron[[#This Row],[personeelsnr]]," ",C650," ",D650)</f>
        <v>#REF!</v>
      </c>
      <c r="C650" t="str">
        <f>VLOOKUP(bron[[#This Row],[personeelsnr]],'data hastus'!$A:$C,2,0)</f>
        <v>Petit</v>
      </c>
      <c r="D650" t="str">
        <f>VLOOKUP(bron[[#This Row],[personeelsnr]],'data hastus'!$A:$C,3,0)</f>
        <v>Cynthia</v>
      </c>
      <c r="E650" t="str">
        <f>VLOOKUP(bron[[#This Row],[personeelsnr]],'data hastus'!A:K,11,FALSE)</f>
        <v>Christoff Rotty</v>
      </c>
      <c r="F650" s="10"/>
      <c r="G650" s="7"/>
      <c r="H650" s="7"/>
      <c r="I650" s="7">
        <v>1</v>
      </c>
      <c r="S650" s="5">
        <f>SUM(bron[[#This Row],[Januari]:[December]])</f>
        <v>1</v>
      </c>
      <c r="T650" s="9">
        <v>45382</v>
      </c>
      <c r="U650" s="8" t="s">
        <v>407</v>
      </c>
      <c r="V650" s="8">
        <v>1</v>
      </c>
      <c r="W650" s="8"/>
      <c r="X650" t="s">
        <v>57</v>
      </c>
      <c r="Y650" t="s">
        <v>81</v>
      </c>
    </row>
    <row r="651" spans="1:25" x14ac:dyDescent="0.25">
      <c r="A651">
        <v>12124</v>
      </c>
      <c r="B651" t="e">
        <f>_xlfn.CONCAT([2]!bron[[#This Row],[personeelsnr]]," ",C651," ",D651)</f>
        <v>#REF!</v>
      </c>
      <c r="C651" t="str">
        <f>VLOOKUP(bron[[#This Row],[personeelsnr]],'data hastus'!$A:$C,2,0)</f>
        <v>Van Vliet</v>
      </c>
      <c r="D651" t="str">
        <f>VLOOKUP(bron[[#This Row],[personeelsnr]],'data hastus'!$A:$C,3,0)</f>
        <v>Tom</v>
      </c>
      <c r="E651" t="str">
        <f>VLOOKUP(bron[[#This Row],[personeelsnr]],'data hastus'!A:K,11,FALSE)</f>
        <v>Steven Storm</v>
      </c>
      <c r="F651" s="10"/>
      <c r="G651" s="7"/>
      <c r="H651" s="7"/>
      <c r="I651" s="7">
        <v>1</v>
      </c>
      <c r="S651" s="5">
        <f>SUM(bron[[#This Row],[Januari]:[December]])</f>
        <v>1</v>
      </c>
      <c r="T651" s="9">
        <v>45382</v>
      </c>
      <c r="U651" s="8" t="s">
        <v>408</v>
      </c>
      <c r="V651" s="8"/>
      <c r="W651" s="8">
        <v>1</v>
      </c>
      <c r="X651" t="s">
        <v>58</v>
      </c>
      <c r="Y651" t="s">
        <v>83</v>
      </c>
    </row>
    <row r="652" spans="1:25" x14ac:dyDescent="0.25">
      <c r="A652">
        <v>16282</v>
      </c>
      <c r="B652" t="e">
        <f>_xlfn.CONCAT([2]!bron[[#This Row],[personeelsnr]]," ",C652," ",D652)</f>
        <v>#REF!</v>
      </c>
      <c r="C652" t="str">
        <f>VLOOKUP(bron[[#This Row],[personeelsnr]],'data hastus'!$A:$C,2,0)</f>
        <v>Vandecasteele</v>
      </c>
      <c r="D652" t="str">
        <f>VLOOKUP(bron[[#This Row],[personeelsnr]],'data hastus'!$A:$C,3,0)</f>
        <v>Ruth</v>
      </c>
      <c r="E652" t="str">
        <f>VLOOKUP(bron[[#This Row],[personeelsnr]],'data hastus'!A:K,11,FALSE)</f>
        <v>Kenneth De Rick</v>
      </c>
      <c r="F652" s="10"/>
      <c r="G652" s="7"/>
      <c r="H652" s="7"/>
      <c r="I652" s="7">
        <v>1</v>
      </c>
      <c r="S652" s="5">
        <f>SUM(bron[[#This Row],[Januari]:[December]])</f>
        <v>1</v>
      </c>
      <c r="T652" s="9">
        <v>45380</v>
      </c>
      <c r="U652" s="8" t="s">
        <v>404</v>
      </c>
      <c r="V652" s="8"/>
      <c r="W652" s="8">
        <v>1</v>
      </c>
      <c r="X652" t="s">
        <v>58</v>
      </c>
      <c r="Y652" t="s">
        <v>66</v>
      </c>
    </row>
    <row r="653" spans="1:25" x14ac:dyDescent="0.25">
      <c r="A653">
        <v>9999</v>
      </c>
      <c r="B653" t="str">
        <f>_xlfn.CONCAT([2]!bron[[#This Row],[personeelsnr]]," ",C653," ",D653)</f>
        <v>9999 - -</v>
      </c>
      <c r="C653" t="s">
        <v>2919</v>
      </c>
      <c r="D653" t="s">
        <v>2919</v>
      </c>
      <c r="E653" t="s">
        <v>810</v>
      </c>
      <c r="F653" s="10"/>
      <c r="G653" s="7"/>
      <c r="H653" s="7"/>
      <c r="I653" s="7">
        <v>1</v>
      </c>
      <c r="S653" s="5">
        <f>SUM(bron[[#This Row],[Januari]:[December]])</f>
        <v>1</v>
      </c>
      <c r="T653" s="9">
        <v>45380</v>
      </c>
      <c r="U653" s="8" t="s">
        <v>405</v>
      </c>
      <c r="V653" s="8"/>
      <c r="W653" s="8">
        <v>1</v>
      </c>
      <c r="X653" t="s">
        <v>58</v>
      </c>
      <c r="Y653" t="s">
        <v>60</v>
      </c>
    </row>
    <row r="654" spans="1:25" x14ac:dyDescent="0.25">
      <c r="A654">
        <v>21382</v>
      </c>
      <c r="B654" t="e">
        <f>_xlfn.CONCAT([2]!bron[[#This Row],[personeelsnr]]," ",C654," ",D654)</f>
        <v>#REF!</v>
      </c>
      <c r="C654" t="str">
        <f>VLOOKUP(bron[[#This Row],[personeelsnr]],'data hastus'!$A:$C,2,0)</f>
        <v>De Volder</v>
      </c>
      <c r="D654" t="str">
        <f>VLOOKUP(bron[[#This Row],[personeelsnr]],'data hastus'!$A:$C,3,0)</f>
        <v>Marc</v>
      </c>
      <c r="E654" t="str">
        <f>VLOOKUP(bron[[#This Row],[personeelsnr]],'data hastus'!A:K,11,FALSE)</f>
        <v>Els Dewulf</v>
      </c>
      <c r="F654" s="10"/>
      <c r="G654" s="7"/>
      <c r="H654" s="7"/>
      <c r="I654" s="7">
        <v>1</v>
      </c>
      <c r="S654" s="5">
        <f>SUM(bron[[#This Row],[Januari]:[December]])</f>
        <v>1</v>
      </c>
      <c r="T654" s="9">
        <v>45379</v>
      </c>
      <c r="U654" s="8" t="s">
        <v>402</v>
      </c>
      <c r="V654" s="8"/>
      <c r="W654" s="8">
        <v>1</v>
      </c>
      <c r="X654" t="s">
        <v>58</v>
      </c>
      <c r="Y654" t="s">
        <v>34</v>
      </c>
    </row>
    <row r="655" spans="1:25" x14ac:dyDescent="0.25">
      <c r="A655">
        <v>34286</v>
      </c>
      <c r="B655" t="e">
        <f>_xlfn.CONCAT([2]!bron[[#This Row],[personeelsnr]]," ",C655," ",D655)</f>
        <v>#REF!</v>
      </c>
      <c r="C655" t="str">
        <f>VLOOKUP(bron[[#This Row],[personeelsnr]],'data hastus'!$A:$C,2,0)</f>
        <v>Ghani</v>
      </c>
      <c r="D655" t="str">
        <f>VLOOKUP(bron[[#This Row],[personeelsnr]],'data hastus'!$A:$C,3,0)</f>
        <v>Mozamil</v>
      </c>
      <c r="E655" t="str">
        <f>VLOOKUP(bron[[#This Row],[personeelsnr]],'data hastus'!A:K,11,FALSE)</f>
        <v>Steven Storm</v>
      </c>
      <c r="F655" s="10"/>
      <c r="G655" s="7"/>
      <c r="H655" s="7"/>
      <c r="I655" s="7">
        <v>1</v>
      </c>
      <c r="S655" s="5">
        <f>SUM(bron[[#This Row],[Januari]:[December]])</f>
        <v>1</v>
      </c>
      <c r="T655" s="9">
        <v>45379</v>
      </c>
      <c r="U655" s="8" t="s">
        <v>403</v>
      </c>
      <c r="V655" s="8"/>
      <c r="W655" s="8">
        <v>1</v>
      </c>
      <c r="X655" t="s">
        <v>58</v>
      </c>
      <c r="Y655" t="s">
        <v>19</v>
      </c>
    </row>
    <row r="656" spans="1:25" x14ac:dyDescent="0.25">
      <c r="A656">
        <v>32951</v>
      </c>
      <c r="B656" t="e">
        <f>_xlfn.CONCAT([2]!bron[[#This Row],[personeelsnr]]," ",C656," ",D656)</f>
        <v>#REF!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7"/>
      <c r="H656" s="7"/>
      <c r="I656" s="7">
        <v>1</v>
      </c>
      <c r="S656" s="5">
        <f>SUM(bron[[#This Row],[Januari]:[December]])</f>
        <v>1</v>
      </c>
      <c r="T656" s="9">
        <v>45377</v>
      </c>
      <c r="U656" s="8" t="s">
        <v>401</v>
      </c>
      <c r="V656" s="8">
        <v>1</v>
      </c>
      <c r="W656" s="8"/>
      <c r="X656" t="s">
        <v>57</v>
      </c>
      <c r="Y656" t="s">
        <v>21</v>
      </c>
    </row>
    <row r="657" spans="1:25" x14ac:dyDescent="0.25">
      <c r="A657">
        <v>33450</v>
      </c>
      <c r="B657" t="e">
        <f>_xlfn.CONCAT([2]!bron[[#This Row],[personeelsnr]]," ",C657," ",D657)</f>
        <v>#REF!</v>
      </c>
      <c r="C657" t="str">
        <f>VLOOKUP(bron[[#This Row],[personeelsnr]],'data hastus'!$A:$C,2,0)</f>
        <v>Verroeye</v>
      </c>
      <c r="D657" t="str">
        <f>VLOOKUP(bron[[#This Row],[personeelsnr]],'data hastus'!$A:$C,3,0)</f>
        <v>Chris</v>
      </c>
      <c r="E657" t="str">
        <f>VLOOKUP(bron[[#This Row],[personeelsnr]],'data hastus'!A:K,11,FALSE)</f>
        <v>Kenneth De Rick</v>
      </c>
      <c r="F657" s="10"/>
      <c r="G657" s="7"/>
      <c r="H657" s="7"/>
      <c r="I657" s="7">
        <v>1</v>
      </c>
      <c r="S657" s="5">
        <f>SUM(bron[[#This Row],[Januari]:[December]])</f>
        <v>1</v>
      </c>
      <c r="T657" s="9">
        <v>45376</v>
      </c>
      <c r="U657" s="8" t="s">
        <v>400</v>
      </c>
      <c r="V657" s="8"/>
      <c r="W657" s="8">
        <v>1</v>
      </c>
      <c r="X657" t="s">
        <v>58</v>
      </c>
      <c r="Y657" t="s">
        <v>18</v>
      </c>
    </row>
    <row r="658" spans="1:25" x14ac:dyDescent="0.25">
      <c r="A658">
        <v>26960</v>
      </c>
      <c r="B658" t="e">
        <f>_xlfn.CONCAT([2]!bron[[#This Row],[personeelsnr]]," ",C658," ",D658)</f>
        <v>#REF!</v>
      </c>
      <c r="C658" t="str">
        <f>VLOOKUP(bron[[#This Row],[personeelsnr]],'data hastus'!$A:$C,2,0)</f>
        <v>Toubadie</v>
      </c>
      <c r="D658" t="str">
        <f>VLOOKUP(bron[[#This Row],[personeelsnr]],'data hastus'!$A:$C,3,0)</f>
        <v>Mossa</v>
      </c>
      <c r="E658" t="str">
        <f>VLOOKUP(bron[[#This Row],[personeelsnr]],'data hastus'!A:K,11,FALSE)</f>
        <v>Els Vanhoe</v>
      </c>
      <c r="F658" s="10"/>
      <c r="G658" s="7"/>
      <c r="H658" s="7"/>
      <c r="I658" s="7">
        <v>1</v>
      </c>
      <c r="S658" s="5">
        <f>SUM(bron[[#This Row],[Januari]:[December]])</f>
        <v>1</v>
      </c>
      <c r="T658" s="9">
        <v>45375</v>
      </c>
      <c r="U658" s="8" t="s">
        <v>399</v>
      </c>
      <c r="V658" s="8">
        <v>1</v>
      </c>
      <c r="W658" s="8"/>
      <c r="X658" t="s">
        <v>57</v>
      </c>
      <c r="Y658" t="s">
        <v>74</v>
      </c>
    </row>
    <row r="659" spans="1:25" x14ac:dyDescent="0.25">
      <c r="A659">
        <v>5559</v>
      </c>
      <c r="B659" t="e">
        <f>_xlfn.CONCAT([2]!bron[[#This Row],[personeelsnr]]," ",C659," ",D659)</f>
        <v>#REF!</v>
      </c>
      <c r="C659" t="str">
        <f>VLOOKUP(bron[[#This Row],[personeelsnr]],'data hastus'!$A:$C,2,0)</f>
        <v>Hoste</v>
      </c>
      <c r="D659" t="str">
        <f>VLOOKUP(bron[[#This Row],[personeelsnr]],'data hastus'!$A:$C,3,0)</f>
        <v>Tania</v>
      </c>
      <c r="E659" t="str">
        <f>VLOOKUP(bron[[#This Row],[personeelsnr]],'data hastus'!A:K,11,FALSE)</f>
        <v>Steven Storm</v>
      </c>
      <c r="F659" s="10"/>
      <c r="G659" s="7"/>
      <c r="H659" s="7"/>
      <c r="I659" s="7">
        <v>1</v>
      </c>
      <c r="S659" s="5">
        <f>SUM(bron[[#This Row],[Januari]:[December]])</f>
        <v>1</v>
      </c>
      <c r="T659" s="9">
        <v>45374</v>
      </c>
      <c r="U659" s="8" t="s">
        <v>398</v>
      </c>
      <c r="V659" s="8"/>
      <c r="W659" s="8">
        <v>1</v>
      </c>
      <c r="X659" t="s">
        <v>58</v>
      </c>
      <c r="Y659" t="s">
        <v>107</v>
      </c>
    </row>
    <row r="660" spans="1:25" x14ac:dyDescent="0.25">
      <c r="A660">
        <v>34445</v>
      </c>
      <c r="B660" t="e">
        <f>_xlfn.CONCAT([2]!bron[[#This Row],[personeelsnr]]," ",C660," ",D660)</f>
        <v>#REF!</v>
      </c>
      <c r="C660" t="str">
        <f>VLOOKUP(bron[[#This Row],[personeelsnr]],'data hastus'!$A:$C,2,0)</f>
        <v>Wulleput</v>
      </c>
      <c r="D660" t="str">
        <f>VLOOKUP(bron[[#This Row],[personeelsnr]],'data hastus'!$A:$C,3,0)</f>
        <v>Illya</v>
      </c>
      <c r="E660" t="str">
        <f>VLOOKUP(bron[[#This Row],[personeelsnr]],'data hastus'!A:K,11,FALSE)</f>
        <v>Dominique De Clercq</v>
      </c>
      <c r="F660" s="10"/>
      <c r="G660" s="7"/>
      <c r="H660" s="7"/>
      <c r="I660" s="7">
        <v>1</v>
      </c>
      <c r="S660" s="5">
        <f>SUM(bron[[#This Row],[Januari]:[December]])</f>
        <v>1</v>
      </c>
      <c r="T660" s="9">
        <v>45373</v>
      </c>
      <c r="U660" s="8" t="s">
        <v>391</v>
      </c>
      <c r="V660" s="8">
        <v>1</v>
      </c>
      <c r="W660" s="8"/>
      <c r="X660" t="s">
        <v>57</v>
      </c>
      <c r="Y660" t="s">
        <v>35</v>
      </c>
    </row>
    <row r="661" spans="1:25" x14ac:dyDescent="0.25">
      <c r="A661">
        <v>38931</v>
      </c>
      <c r="B661" t="e">
        <f>_xlfn.CONCAT([2]!bron[[#This Row],[personeelsnr]]," ",C661," ",D661)</f>
        <v>#REF!</v>
      </c>
      <c r="C661" t="str">
        <f>VLOOKUP(bron[[#This Row],[personeelsnr]],'data hastus'!$A:$C,2,0)</f>
        <v>Sancak</v>
      </c>
      <c r="D661" t="str">
        <f>VLOOKUP(bron[[#This Row],[personeelsnr]],'data hastus'!$A:$C,3,0)</f>
        <v>Eyuphan</v>
      </c>
      <c r="E661" t="str">
        <f>VLOOKUP(bron[[#This Row],[personeelsnr]],'data hastus'!A:K,11,FALSE)</f>
        <v>Bart Van Der Beken</v>
      </c>
      <c r="F661" s="10"/>
      <c r="G661" s="7"/>
      <c r="H661" s="7"/>
      <c r="I661" s="7">
        <v>1</v>
      </c>
      <c r="S661" s="5">
        <f>SUM(bron[[#This Row],[Januari]:[December]])</f>
        <v>1</v>
      </c>
      <c r="T661" s="9">
        <v>45373</v>
      </c>
      <c r="U661" s="8" t="s">
        <v>392</v>
      </c>
      <c r="V661" s="8">
        <v>1</v>
      </c>
      <c r="W661" s="8"/>
      <c r="X661" t="s">
        <v>57</v>
      </c>
      <c r="Y661" t="s">
        <v>26</v>
      </c>
    </row>
    <row r="662" spans="1:25" x14ac:dyDescent="0.25">
      <c r="A662">
        <v>31231</v>
      </c>
      <c r="B662" t="e">
        <f>_xlfn.CONCAT([2]!bron[[#This Row],[personeelsnr]]," ",C662," ",D662)</f>
        <v>#REF!</v>
      </c>
      <c r="C662" t="str">
        <f>VLOOKUP(bron[[#This Row],[personeelsnr]],'data hastus'!$A:$C,2,0)</f>
        <v>Colaes</v>
      </c>
      <c r="D662" t="str">
        <f>VLOOKUP(bron[[#This Row],[personeelsnr]],'data hastus'!$A:$C,3,0)</f>
        <v>Dylan</v>
      </c>
      <c r="E662" t="str">
        <f>VLOOKUP(bron[[#This Row],[personeelsnr]],'data hastus'!A:K,11,FALSE)</f>
        <v>Els Vanhoe</v>
      </c>
      <c r="F662" s="10"/>
      <c r="G662" s="7"/>
      <c r="H662" s="7"/>
      <c r="I662" s="7">
        <v>1</v>
      </c>
      <c r="S662" s="5">
        <f>SUM(bron[[#This Row],[Januari]:[December]])</f>
        <v>1</v>
      </c>
      <c r="T662" s="9">
        <v>45373</v>
      </c>
      <c r="U662" s="8" t="s">
        <v>393</v>
      </c>
      <c r="V662" s="8"/>
      <c r="W662" s="8">
        <v>1</v>
      </c>
      <c r="X662" t="s">
        <v>58</v>
      </c>
      <c r="Y662" t="s">
        <v>83</v>
      </c>
    </row>
    <row r="663" spans="1:25" x14ac:dyDescent="0.25">
      <c r="A663">
        <v>36626</v>
      </c>
      <c r="B663" t="e">
        <f>_xlfn.CONCAT([2]!bron[[#This Row],[personeelsnr]]," ",C663," ",D663)</f>
        <v>#REF!</v>
      </c>
      <c r="C663" t="str">
        <f>VLOOKUP(bron[[#This Row],[personeelsnr]],'data hastus'!$A:$C,2,0)</f>
        <v>Kartal</v>
      </c>
      <c r="D663" t="str">
        <f>VLOOKUP(bron[[#This Row],[personeelsnr]],'data hastus'!$A:$C,3,0)</f>
        <v>Kadir</v>
      </c>
      <c r="E663" t="str">
        <f>VLOOKUP(bron[[#This Row],[personeelsnr]],'data hastus'!A:K,11,FALSE)</f>
        <v>Els Dewulf</v>
      </c>
      <c r="F663" s="10"/>
      <c r="G663" s="7"/>
      <c r="H663" s="7"/>
      <c r="I663" s="7">
        <v>1</v>
      </c>
      <c r="S663" s="5">
        <f>SUM(bron[[#This Row],[Januari]:[December]])</f>
        <v>1</v>
      </c>
      <c r="T663" s="9">
        <v>45373</v>
      </c>
      <c r="U663" s="8" t="s">
        <v>394</v>
      </c>
      <c r="V663" s="8"/>
      <c r="W663" s="8">
        <v>1</v>
      </c>
      <c r="X663" t="s">
        <v>58</v>
      </c>
      <c r="Y663" t="s">
        <v>18</v>
      </c>
    </row>
    <row r="664" spans="1:25" x14ac:dyDescent="0.25">
      <c r="A664">
        <v>40223</v>
      </c>
      <c r="B664" t="e">
        <f>_xlfn.CONCAT([2]!bron[[#This Row],[personeelsnr]]," ",C664," ",D664)</f>
        <v>#REF!</v>
      </c>
      <c r="C664" t="str">
        <f>VLOOKUP(bron[[#This Row],[personeelsnr]],'data hastus'!$A:$C,2,0)</f>
        <v>Teetaert</v>
      </c>
      <c r="D664" t="str">
        <f>VLOOKUP(bron[[#This Row],[personeelsnr]],'data hastus'!$A:$C,3,0)</f>
        <v>Billy</v>
      </c>
      <c r="E664" t="str">
        <f>VLOOKUP(bron[[#This Row],[personeelsnr]],'data hastus'!A:K,11,FALSE)</f>
        <v>Dominique De Clercq</v>
      </c>
      <c r="F664" s="10"/>
      <c r="G664" s="7"/>
      <c r="H664" s="7"/>
      <c r="I664" s="7">
        <v>1</v>
      </c>
      <c r="S664" s="5">
        <f>SUM(bron[[#This Row],[Januari]:[December]])</f>
        <v>1</v>
      </c>
      <c r="T664" s="9">
        <v>45373</v>
      </c>
      <c r="U664" s="8" t="s">
        <v>395</v>
      </c>
      <c r="V664" s="8">
        <v>1</v>
      </c>
      <c r="W664" s="8"/>
      <c r="X664" t="s">
        <v>57</v>
      </c>
      <c r="Y664" t="s">
        <v>26</v>
      </c>
    </row>
    <row r="665" spans="1:25" x14ac:dyDescent="0.25">
      <c r="A665">
        <v>9999</v>
      </c>
      <c r="B665" t="str">
        <f>_xlfn.CONCAT([2]!bron[[#This Row],[personeelsnr]]," ",C665," ",D665)</f>
        <v>9999 - -</v>
      </c>
      <c r="C665" t="s">
        <v>2919</v>
      </c>
      <c r="D665" t="s">
        <v>2919</v>
      </c>
      <c r="E665" t="s">
        <v>810</v>
      </c>
      <c r="F665" s="10"/>
      <c r="G665" s="7"/>
      <c r="H665" s="7"/>
      <c r="I665" s="7">
        <v>1</v>
      </c>
      <c r="S665" s="5">
        <f>SUM(bron[[#This Row],[Januari]:[December]])</f>
        <v>1</v>
      </c>
      <c r="T665" s="9">
        <v>45373</v>
      </c>
      <c r="U665" s="8" t="s">
        <v>396</v>
      </c>
      <c r="V665" s="8"/>
      <c r="W665" s="8">
        <v>1</v>
      </c>
      <c r="X665" t="s">
        <v>58</v>
      </c>
      <c r="Y665" t="s">
        <v>25</v>
      </c>
    </row>
    <row r="666" spans="1:25" x14ac:dyDescent="0.25">
      <c r="A666">
        <v>35107</v>
      </c>
      <c r="B666" t="e">
        <f>_xlfn.CONCAT([2]!bron[[#This Row],[personeelsnr]]," ",C666," ",D666)</f>
        <v>#REF!</v>
      </c>
      <c r="C666" t="str">
        <f>VLOOKUP(bron[[#This Row],[personeelsnr]],'data hastus'!$A:$C,2,0)</f>
        <v>Rotsaert</v>
      </c>
      <c r="D666" t="str">
        <f>VLOOKUP(bron[[#This Row],[personeelsnr]],'data hastus'!$A:$C,3,0)</f>
        <v>Dominique</v>
      </c>
      <c r="E666" t="str">
        <f>VLOOKUP(bron[[#This Row],[personeelsnr]],'data hastus'!A:K,11,FALSE)</f>
        <v>Bart Van Der Beken</v>
      </c>
      <c r="F666" s="10"/>
      <c r="G666" s="7"/>
      <c r="H666" s="7"/>
      <c r="I666" s="7">
        <v>1</v>
      </c>
      <c r="S666" s="5">
        <f>SUM(bron[[#This Row],[Januari]:[December]])</f>
        <v>1</v>
      </c>
      <c r="T666" s="9">
        <v>45373</v>
      </c>
      <c r="U666" s="8" t="s">
        <v>397</v>
      </c>
      <c r="V666" s="8">
        <v>1</v>
      </c>
      <c r="W666" s="8"/>
      <c r="X666" t="s">
        <v>57</v>
      </c>
      <c r="Y666" t="s">
        <v>45</v>
      </c>
    </row>
    <row r="667" spans="1:25" x14ac:dyDescent="0.25">
      <c r="A667">
        <v>15320</v>
      </c>
      <c r="B667" t="e">
        <f>_xlfn.CONCAT([2]!bron[[#This Row],[personeelsnr]]," ",C667," ",D667)</f>
        <v>#REF!</v>
      </c>
      <c r="C667" t="str">
        <f>VLOOKUP(bron[[#This Row],[personeelsnr]],'data hastus'!$A:$C,2,0)</f>
        <v>Vandenberghe</v>
      </c>
      <c r="D667" t="str">
        <f>VLOOKUP(bron[[#This Row],[personeelsnr]],'data hastus'!$A:$C,3,0)</f>
        <v>Filip</v>
      </c>
      <c r="E667" t="str">
        <f>VLOOKUP(bron[[#This Row],[personeelsnr]],'data hastus'!A:K,11,FALSE)</f>
        <v>Els Vanhoe</v>
      </c>
      <c r="F667" s="10"/>
      <c r="G667" s="7"/>
      <c r="H667" s="7"/>
      <c r="I667" s="7">
        <v>1</v>
      </c>
      <c r="S667" s="5">
        <f>SUM(bron[[#This Row],[Januari]:[December]])</f>
        <v>1</v>
      </c>
      <c r="T667" s="9">
        <v>45372</v>
      </c>
      <c r="U667" s="8" t="s">
        <v>390</v>
      </c>
      <c r="V667" s="8">
        <v>1</v>
      </c>
      <c r="W667" s="8"/>
      <c r="X667" t="s">
        <v>57</v>
      </c>
      <c r="Y667" t="s">
        <v>31</v>
      </c>
    </row>
    <row r="668" spans="1:25" x14ac:dyDescent="0.25">
      <c r="A668">
        <v>38648</v>
      </c>
      <c r="B668" t="e">
        <f>_xlfn.CONCAT([2]!bron[[#This Row],[personeelsnr]]," ",C668," ",D668)</f>
        <v>#REF!</v>
      </c>
      <c r="C668" t="str">
        <f>VLOOKUP(bron[[#This Row],[personeelsnr]],'data hastus'!$A:$C,2,0)</f>
        <v>Uckuyulu</v>
      </c>
      <c r="D668" t="str">
        <f>VLOOKUP(bron[[#This Row],[personeelsnr]],'data hastus'!$A:$C,3,0)</f>
        <v>Muhammet Emin</v>
      </c>
      <c r="E668" t="str">
        <f>VLOOKUP(bron[[#This Row],[personeelsnr]],'data hastus'!A:K,11,FALSE)</f>
        <v>Lucie Vande Velde</v>
      </c>
      <c r="F668" s="10"/>
      <c r="G668" s="7"/>
      <c r="H668" s="7"/>
      <c r="I668" s="7">
        <v>1</v>
      </c>
      <c r="S668" s="5">
        <f>SUM(bron[[#This Row],[Januari]:[December]])</f>
        <v>1</v>
      </c>
      <c r="T668" s="9">
        <v>45371</v>
      </c>
      <c r="U668" s="8" t="s">
        <v>385</v>
      </c>
      <c r="V668" s="8">
        <v>1</v>
      </c>
      <c r="W668" s="8"/>
      <c r="X668" t="s">
        <v>57</v>
      </c>
      <c r="Y668" t="s">
        <v>188</v>
      </c>
    </row>
    <row r="669" spans="1:25" x14ac:dyDescent="0.25">
      <c r="A669">
        <v>21809</v>
      </c>
      <c r="B669" t="e">
        <f>_xlfn.CONCAT([2]!bron[[#This Row],[personeelsnr]]," ",C669," ",D669)</f>
        <v>#REF!</v>
      </c>
      <c r="C669" t="str">
        <f>VLOOKUP(bron[[#This Row],[personeelsnr]],'data hastus'!$A:$C,2,0)</f>
        <v>Dejonghe</v>
      </c>
      <c r="D669" t="str">
        <f>VLOOKUP(bron[[#This Row],[personeelsnr]],'data hastus'!$A:$C,3,0)</f>
        <v>Elisa</v>
      </c>
      <c r="E669" t="str">
        <f>VLOOKUP(bron[[#This Row],[personeelsnr]],'data hastus'!A:K,11,FALSE)</f>
        <v>Els Dewulf</v>
      </c>
      <c r="F669" s="10"/>
      <c r="G669" s="7"/>
      <c r="H669" s="7"/>
      <c r="I669" s="7">
        <v>1</v>
      </c>
      <c r="S669" s="5">
        <f>SUM(bron[[#This Row],[Januari]:[December]])</f>
        <v>1</v>
      </c>
      <c r="T669" s="9">
        <v>45371</v>
      </c>
      <c r="U669" s="8" t="s">
        <v>386</v>
      </c>
      <c r="V669" s="8"/>
      <c r="W669" s="8">
        <v>1</v>
      </c>
      <c r="X669" t="s">
        <v>58</v>
      </c>
      <c r="Y669" t="s">
        <v>78</v>
      </c>
    </row>
    <row r="670" spans="1:25" x14ac:dyDescent="0.25">
      <c r="A670">
        <v>23880</v>
      </c>
      <c r="B670" t="e">
        <f>_xlfn.CONCAT([2]!bron[[#This Row],[personeelsnr]]," ",C670," ",D670)</f>
        <v>#REF!</v>
      </c>
      <c r="C670" t="str">
        <f>VLOOKUP(bron[[#This Row],[personeelsnr]],'data hastus'!$A:$C,2,0)</f>
        <v>Wyffels</v>
      </c>
      <c r="D670" t="str">
        <f>VLOOKUP(bron[[#This Row],[personeelsnr]],'data hastus'!$A:$C,3,0)</f>
        <v>Jean-Pierre</v>
      </c>
      <c r="E670" t="str">
        <f>VLOOKUP(bron[[#This Row],[personeelsnr]],'data hastus'!A:K,11,FALSE)</f>
        <v>Dominique De Clercq</v>
      </c>
      <c r="F670" s="10"/>
      <c r="G670" s="7"/>
      <c r="H670" s="7"/>
      <c r="I670" s="7">
        <v>1</v>
      </c>
      <c r="S670" s="5">
        <f>SUM(bron[[#This Row],[Januari]:[December]])</f>
        <v>1</v>
      </c>
      <c r="T670" s="9">
        <v>45371</v>
      </c>
      <c r="U670" s="8" t="s">
        <v>387</v>
      </c>
      <c r="V670" s="8"/>
      <c r="W670" s="8">
        <v>1</v>
      </c>
      <c r="X670" t="s">
        <v>58</v>
      </c>
      <c r="Y670" t="s">
        <v>165</v>
      </c>
    </row>
    <row r="671" spans="1:25" x14ac:dyDescent="0.25">
      <c r="A671">
        <v>26331</v>
      </c>
      <c r="B671" t="e">
        <f>_xlfn.CONCAT([2]!bron[[#This Row],[personeelsnr]]," ",C671," ",D671)</f>
        <v>#REF!</v>
      </c>
      <c r="C671" t="str">
        <f>VLOOKUP(bron[[#This Row],[personeelsnr]],'data hastus'!$A:$C,2,0)</f>
        <v>Van Semmertier</v>
      </c>
      <c r="D671" t="str">
        <f>VLOOKUP(bron[[#This Row],[personeelsnr]],'data hastus'!$A:$C,3,0)</f>
        <v>Pascal</v>
      </c>
      <c r="E671" t="str">
        <f>VLOOKUP(bron[[#This Row],[personeelsnr]],'data hastus'!A:K,11,FALSE)</f>
        <v>Bart Van Der Beken</v>
      </c>
      <c r="F671" s="10"/>
      <c r="G671" s="7"/>
      <c r="H671" s="7"/>
      <c r="I671" s="7">
        <v>1</v>
      </c>
      <c r="S671" s="5">
        <f>SUM(bron[[#This Row],[Januari]:[December]])</f>
        <v>1</v>
      </c>
      <c r="T671" s="9">
        <v>45371</v>
      </c>
      <c r="U671" s="8" t="s">
        <v>388</v>
      </c>
      <c r="V671" s="8">
        <v>1</v>
      </c>
      <c r="W671" s="8"/>
      <c r="X671" t="s">
        <v>57</v>
      </c>
      <c r="Y671" t="s">
        <v>389</v>
      </c>
    </row>
    <row r="672" spans="1:25" x14ac:dyDescent="0.25">
      <c r="A672">
        <v>32528</v>
      </c>
      <c r="B672" t="e">
        <f>_xlfn.CONCAT([2]!bron[[#This Row],[personeelsnr]]," ",C672," ",D672)</f>
        <v>#REF!</v>
      </c>
      <c r="C672" t="str">
        <f>VLOOKUP(bron[[#This Row],[personeelsnr]],'data hastus'!$A:$C,2,0)</f>
        <v>Benjilali</v>
      </c>
      <c r="D672" t="str">
        <f>VLOOKUP(bron[[#This Row],[personeelsnr]],'data hastus'!$A:$C,3,0)</f>
        <v>Abdelhak</v>
      </c>
      <c r="E672" t="str">
        <f>VLOOKUP(bron[[#This Row],[personeelsnr]],'data hastus'!A:K,11,FALSE)</f>
        <v>Steven Storm</v>
      </c>
      <c r="F672" s="10"/>
      <c r="G672" s="7"/>
      <c r="H672" s="7"/>
      <c r="I672" s="7">
        <v>1</v>
      </c>
      <c r="S672" s="5">
        <f>SUM(bron[[#This Row],[Januari]:[December]])</f>
        <v>1</v>
      </c>
      <c r="T672" s="9">
        <v>45370</v>
      </c>
      <c r="U672" s="8" t="s">
        <v>383</v>
      </c>
      <c r="V672" s="8">
        <v>1</v>
      </c>
      <c r="W672" s="8"/>
      <c r="X672" t="s">
        <v>57</v>
      </c>
      <c r="Y672" t="s">
        <v>35</v>
      </c>
    </row>
    <row r="673" spans="1:25" x14ac:dyDescent="0.25">
      <c r="A673">
        <v>25993</v>
      </c>
      <c r="B673" t="e">
        <f>_xlfn.CONCAT([2]!bron[[#This Row],[personeelsnr]]," ",C673," ",D673)</f>
        <v>#REF!</v>
      </c>
      <c r="C673" t="str">
        <f>VLOOKUP(bron[[#This Row],[personeelsnr]],'data hastus'!$A:$C,2,0)</f>
        <v>De Wit</v>
      </c>
      <c r="D673" t="str">
        <f>VLOOKUP(bron[[#This Row],[personeelsnr]],'data hastus'!$A:$C,3,0)</f>
        <v>Bruno</v>
      </c>
      <c r="E673" t="str">
        <f>VLOOKUP(bron[[#This Row],[personeelsnr]],'data hastus'!A:K,11,FALSE)</f>
        <v>Christoff Rotty</v>
      </c>
      <c r="F673" s="10"/>
      <c r="G673" s="7"/>
      <c r="H673" s="7"/>
      <c r="I673" s="7">
        <v>1</v>
      </c>
      <c r="S673" s="5">
        <f>SUM(bron[[#This Row],[Januari]:[December]])</f>
        <v>1</v>
      </c>
      <c r="T673" s="9">
        <v>45370</v>
      </c>
      <c r="U673" s="8" t="s">
        <v>384</v>
      </c>
      <c r="V673" s="8"/>
      <c r="W673" s="8">
        <v>1</v>
      </c>
      <c r="X673" t="s">
        <v>58</v>
      </c>
      <c r="Y673" t="s">
        <v>33</v>
      </c>
    </row>
    <row r="674" spans="1:25" x14ac:dyDescent="0.25">
      <c r="A674">
        <v>19088</v>
      </c>
      <c r="B674" t="e">
        <f>_xlfn.CONCAT([2]!bron[[#This Row],[personeelsnr]]," ",C674," ",D674)</f>
        <v>#REF!</v>
      </c>
      <c r="C674" t="str">
        <f>VLOOKUP(bron[[#This Row],[personeelsnr]],'data hastus'!$A:$C,2,0)</f>
        <v>Remmery</v>
      </c>
      <c r="D674" t="str">
        <f>VLOOKUP(bron[[#This Row],[personeelsnr]],'data hastus'!$A:$C,3,0)</f>
        <v>David</v>
      </c>
      <c r="E674" t="str">
        <f>VLOOKUP(bron[[#This Row],[personeelsnr]],'data hastus'!A:K,11,FALSE)</f>
        <v>Kenneth De Rick</v>
      </c>
      <c r="F674" s="10"/>
      <c r="G674" s="7"/>
      <c r="H674" s="7"/>
      <c r="I674" s="7">
        <v>1</v>
      </c>
      <c r="S674" s="5">
        <f>SUM(bron[[#This Row],[Januari]:[December]])</f>
        <v>1</v>
      </c>
      <c r="T674" s="9">
        <v>45369</v>
      </c>
      <c r="U674" s="8" t="s">
        <v>381</v>
      </c>
      <c r="V674" s="8">
        <v>1</v>
      </c>
      <c r="W674" s="8"/>
      <c r="X674" t="s">
        <v>57</v>
      </c>
      <c r="Y674" t="s">
        <v>26</v>
      </c>
    </row>
    <row r="675" spans="1:25" x14ac:dyDescent="0.25">
      <c r="A675">
        <v>39779</v>
      </c>
      <c r="B675" t="e">
        <f>_xlfn.CONCAT([2]!bron[[#This Row],[personeelsnr]]," ",C675," ",D675)</f>
        <v>#REF!</v>
      </c>
      <c r="C675" t="str">
        <f>VLOOKUP(bron[[#This Row],[personeelsnr]],'data hastus'!$A:$C,2,0)</f>
        <v>Avci</v>
      </c>
      <c r="D675" t="str">
        <f>VLOOKUP(bron[[#This Row],[personeelsnr]],'data hastus'!$A:$C,3,0)</f>
        <v>Muhammet Abdullah</v>
      </c>
      <c r="E675" t="str">
        <f>VLOOKUP(bron[[#This Row],[personeelsnr]],'data hastus'!A:K,11,FALSE)</f>
        <v>Bart Van Der Beken</v>
      </c>
      <c r="F675" s="10"/>
      <c r="G675" s="7"/>
      <c r="H675" s="7"/>
      <c r="I675" s="7">
        <v>1</v>
      </c>
      <c r="S675" s="5">
        <f>SUM(bron[[#This Row],[Januari]:[December]])</f>
        <v>1</v>
      </c>
      <c r="T675" s="9">
        <v>45369</v>
      </c>
      <c r="U675" s="8" t="s">
        <v>382</v>
      </c>
      <c r="V675" s="8">
        <v>1</v>
      </c>
      <c r="W675" s="8"/>
      <c r="X675" t="s">
        <v>57</v>
      </c>
      <c r="Y675" t="s">
        <v>18</v>
      </c>
    </row>
    <row r="676" spans="1:25" x14ac:dyDescent="0.25">
      <c r="A676">
        <v>39146</v>
      </c>
      <c r="B676" t="e">
        <f>_xlfn.CONCAT([2]!bron[[#This Row],[personeelsnr]]," ",C676," ",D676)</f>
        <v>#REF!</v>
      </c>
      <c r="C676" t="str">
        <f>VLOOKUP(bron[[#This Row],[personeelsnr]],'data hastus'!$A:$C,2,0)</f>
        <v>Burrick</v>
      </c>
      <c r="D676" t="str">
        <f>VLOOKUP(bron[[#This Row],[personeelsnr]],'data hastus'!$A:$C,3,0)</f>
        <v>Alex</v>
      </c>
      <c r="E676" t="str">
        <f>VLOOKUP(bron[[#This Row],[personeelsnr]],'data hastus'!A:K,11,FALSE)</f>
        <v>Els Dewulf</v>
      </c>
      <c r="F676" s="10"/>
      <c r="G676" s="7"/>
      <c r="H676" s="7"/>
      <c r="I676" s="7">
        <v>1</v>
      </c>
      <c r="S676" s="5">
        <f>SUM(bron[[#This Row],[Januari]:[December]])</f>
        <v>1</v>
      </c>
      <c r="T676" s="9">
        <v>45367</v>
      </c>
      <c r="U676" s="8" t="s">
        <v>380</v>
      </c>
      <c r="V676" s="8">
        <v>1</v>
      </c>
      <c r="W676" s="8"/>
      <c r="X676" t="s">
        <v>57</v>
      </c>
      <c r="Y676" t="s">
        <v>21</v>
      </c>
    </row>
    <row r="677" spans="1:25" x14ac:dyDescent="0.25">
      <c r="A677">
        <v>26198</v>
      </c>
      <c r="B677" t="e">
        <f>_xlfn.CONCAT([2]!bron[[#This Row],[personeelsnr]]," ",C677," ",D677)</f>
        <v>#REF!</v>
      </c>
      <c r="C677" t="str">
        <f>VLOOKUP(bron[[#This Row],[personeelsnr]],'data hastus'!$A:$C,2,0)</f>
        <v>Justé</v>
      </c>
      <c r="D677" t="str">
        <f>VLOOKUP(bron[[#This Row],[personeelsnr]],'data hastus'!$A:$C,3,0)</f>
        <v>Steven</v>
      </c>
      <c r="E677" t="str">
        <f>VLOOKUP(bron[[#This Row],[personeelsnr]],'data hastus'!A:K,11,FALSE)</f>
        <v>Kenneth De Rick</v>
      </c>
      <c r="F677" s="10"/>
      <c r="G677" s="7"/>
      <c r="H677" s="7"/>
      <c r="I677" s="7">
        <v>1</v>
      </c>
      <c r="S677" s="5">
        <f>SUM(bron[[#This Row],[Januari]:[December]])</f>
        <v>1</v>
      </c>
      <c r="T677" s="9">
        <v>45365</v>
      </c>
      <c r="U677" s="8" t="s">
        <v>379</v>
      </c>
      <c r="V677" s="8">
        <v>1</v>
      </c>
      <c r="W677" s="8"/>
      <c r="X677" t="s">
        <v>57</v>
      </c>
      <c r="Y677" t="s">
        <v>195</v>
      </c>
    </row>
    <row r="678" spans="1:25" x14ac:dyDescent="0.25">
      <c r="A678">
        <v>39558</v>
      </c>
      <c r="B678" t="e">
        <f>_xlfn.CONCAT([2]!bron[[#This Row],[personeelsnr]]," ",C678," ",D678)</f>
        <v>#REF!</v>
      </c>
      <c r="C678" t="str">
        <f>VLOOKUP(bron[[#This Row],[personeelsnr]],'data hastus'!$A:$C,2,0)</f>
        <v>De Groote</v>
      </c>
      <c r="D678" t="str">
        <f>VLOOKUP(bron[[#This Row],[personeelsnr]],'data hastus'!$A:$C,3,0)</f>
        <v>Cedric</v>
      </c>
      <c r="E678" t="str">
        <f>VLOOKUP(bron[[#This Row],[personeelsnr]],'data hastus'!A:K,11,FALSE)</f>
        <v>Steven Storm</v>
      </c>
      <c r="F678" s="10"/>
      <c r="G678" s="7"/>
      <c r="H678" s="7"/>
      <c r="I678" s="7">
        <v>1</v>
      </c>
      <c r="S678" s="5">
        <f>SUM(bron[[#This Row],[Januari]:[December]])</f>
        <v>1</v>
      </c>
      <c r="T678" s="9">
        <v>45364</v>
      </c>
      <c r="U678" s="8" t="s">
        <v>374</v>
      </c>
      <c r="V678" s="8">
        <v>1</v>
      </c>
      <c r="W678" s="8"/>
      <c r="X678" t="s">
        <v>57</v>
      </c>
      <c r="Y678" t="s">
        <v>20</v>
      </c>
    </row>
    <row r="679" spans="1:25" x14ac:dyDescent="0.25">
      <c r="A679">
        <v>39660</v>
      </c>
      <c r="B679" t="e">
        <f>_xlfn.CONCAT([2]!bron[[#This Row],[personeelsnr]]," ",C679," ",D679)</f>
        <v>#REF!</v>
      </c>
      <c r="C679" t="str">
        <f>VLOOKUP(bron[[#This Row],[personeelsnr]],'data hastus'!$A:$C,2,0)</f>
        <v>Lloyd</v>
      </c>
      <c r="D679" t="str">
        <f>VLOOKUP(bron[[#This Row],[personeelsnr]],'data hastus'!$A:$C,3,0)</f>
        <v>Glenn</v>
      </c>
      <c r="E679" t="str">
        <f>VLOOKUP(bron[[#This Row],[personeelsnr]],'data hastus'!A:K,11,FALSE)</f>
        <v>Bart Van Der Beken</v>
      </c>
      <c r="F679" s="10"/>
      <c r="G679" s="7"/>
      <c r="H679" s="7"/>
      <c r="I679" s="7">
        <v>1</v>
      </c>
      <c r="S679" s="5">
        <f>SUM(bron[[#This Row],[Januari]:[December]])</f>
        <v>1</v>
      </c>
      <c r="T679" s="9">
        <v>45364</v>
      </c>
      <c r="U679" s="8" t="s">
        <v>375</v>
      </c>
      <c r="V679" s="8">
        <v>1</v>
      </c>
      <c r="W679" s="8"/>
      <c r="X679" t="s">
        <v>57</v>
      </c>
      <c r="Y679" t="s">
        <v>82</v>
      </c>
    </row>
    <row r="680" spans="1:25" x14ac:dyDescent="0.25">
      <c r="A680">
        <v>36626</v>
      </c>
      <c r="B680" t="e">
        <f>_xlfn.CONCAT([2]!bron[[#This Row],[personeelsnr]]," ",C680," ",D680)</f>
        <v>#REF!</v>
      </c>
      <c r="C680" t="str">
        <f>VLOOKUP(bron[[#This Row],[personeelsnr]],'data hastus'!$A:$C,2,0)</f>
        <v>Kartal</v>
      </c>
      <c r="D680" t="str">
        <f>VLOOKUP(bron[[#This Row],[personeelsnr]],'data hastus'!$A:$C,3,0)</f>
        <v>Kadir</v>
      </c>
      <c r="E680" t="str">
        <f>VLOOKUP(bron[[#This Row],[personeelsnr]],'data hastus'!A:K,11,FALSE)</f>
        <v>Els Dewulf</v>
      </c>
      <c r="F680" s="10"/>
      <c r="G680" s="7"/>
      <c r="H680" s="7"/>
      <c r="I680" s="7">
        <v>1</v>
      </c>
      <c r="S680" s="5">
        <f>SUM(bron[[#This Row],[Januari]:[December]])</f>
        <v>1</v>
      </c>
      <c r="T680" s="9">
        <v>45364</v>
      </c>
      <c r="U680" s="8" t="s">
        <v>376</v>
      </c>
      <c r="V680" s="8"/>
      <c r="W680" s="8">
        <v>1</v>
      </c>
      <c r="X680" t="s">
        <v>58</v>
      </c>
      <c r="Y680" t="s">
        <v>31</v>
      </c>
    </row>
    <row r="681" spans="1:25" x14ac:dyDescent="0.25">
      <c r="A681">
        <v>22240</v>
      </c>
      <c r="B681" t="e">
        <f>_xlfn.CONCAT([2]!bron[[#This Row],[personeelsnr]]," ",C681," ",D681)</f>
        <v>#REF!</v>
      </c>
      <c r="C681" t="str">
        <f>VLOOKUP(bron[[#This Row],[personeelsnr]],'data hastus'!$A:$C,2,0)</f>
        <v>Delahaye</v>
      </c>
      <c r="D681" t="str">
        <f>VLOOKUP(bron[[#This Row],[personeelsnr]],'data hastus'!$A:$C,3,0)</f>
        <v>Karina</v>
      </c>
      <c r="E681" t="str">
        <f>VLOOKUP(bron[[#This Row],[personeelsnr]],'data hastus'!A:K,11,FALSE)</f>
        <v>Els Dewulf</v>
      </c>
      <c r="F681" s="10"/>
      <c r="G681" s="7"/>
      <c r="H681" s="7"/>
      <c r="I681" s="7">
        <v>1</v>
      </c>
      <c r="S681" s="5">
        <f>SUM(bron[[#This Row],[Januari]:[December]])</f>
        <v>1</v>
      </c>
      <c r="T681" s="9">
        <v>45364</v>
      </c>
      <c r="U681" s="8" t="s">
        <v>377</v>
      </c>
      <c r="V681" s="8"/>
      <c r="W681" s="8">
        <v>1</v>
      </c>
      <c r="X681" t="s">
        <v>58</v>
      </c>
      <c r="Y681" t="s">
        <v>19</v>
      </c>
    </row>
    <row r="682" spans="1:25" x14ac:dyDescent="0.25">
      <c r="A682">
        <v>40200</v>
      </c>
      <c r="B682" t="e">
        <f>_xlfn.CONCAT([2]!bron[[#This Row],[personeelsnr]]," ",C682," ",D682)</f>
        <v>#REF!</v>
      </c>
      <c r="C682" t="str">
        <f>VLOOKUP(bron[[#This Row],[personeelsnr]],'data hastus'!$A:$C,2,0)</f>
        <v>Shahriyari</v>
      </c>
      <c r="D682" t="str">
        <f>VLOOKUP(bron[[#This Row],[personeelsnr]],'data hastus'!$A:$C,3,0)</f>
        <v>Khalil</v>
      </c>
      <c r="E682" t="str">
        <f>VLOOKUP(bron[[#This Row],[personeelsnr]],'data hastus'!A:K,11,FALSE)</f>
        <v>Dominique De Clercq</v>
      </c>
      <c r="F682" s="10"/>
      <c r="G682" s="7"/>
      <c r="H682" s="7"/>
      <c r="I682" s="7">
        <v>1</v>
      </c>
      <c r="S682" s="5">
        <f>SUM(bron[[#This Row],[Januari]:[December]])</f>
        <v>1</v>
      </c>
      <c r="T682" s="9">
        <v>45364</v>
      </c>
      <c r="U682" s="8" t="s">
        <v>378</v>
      </c>
      <c r="V682" s="8">
        <v>1</v>
      </c>
      <c r="W682" s="8"/>
      <c r="X682" t="s">
        <v>57</v>
      </c>
      <c r="Y682" t="s">
        <v>137</v>
      </c>
    </row>
    <row r="683" spans="1:25" x14ac:dyDescent="0.25">
      <c r="A683">
        <v>15628</v>
      </c>
      <c r="B683" t="e">
        <f>_xlfn.CONCAT([2]!bron[[#This Row],[personeelsnr]]," ",C683," ",D683)</f>
        <v>#REF!</v>
      </c>
      <c r="C683" t="str">
        <f>VLOOKUP(bron[[#This Row],[personeelsnr]],'data hastus'!$A:$C,2,0)</f>
        <v>Wulfranck</v>
      </c>
      <c r="D683" t="str">
        <f>VLOOKUP(bron[[#This Row],[personeelsnr]],'data hastus'!$A:$C,3,0)</f>
        <v>Dominique</v>
      </c>
      <c r="E683" t="str">
        <f>VLOOKUP(bron[[#This Row],[personeelsnr]],'data hastus'!A:K,11,FALSE)</f>
        <v>Kenneth De Rick</v>
      </c>
      <c r="F683" s="10"/>
      <c r="G683" s="7"/>
      <c r="H683" s="7"/>
      <c r="I683" s="7">
        <v>1</v>
      </c>
      <c r="S683" s="5">
        <f>SUM(bron[[#This Row],[Januari]:[December]])</f>
        <v>1</v>
      </c>
      <c r="T683" s="9">
        <v>45363</v>
      </c>
      <c r="U683" s="8" t="s">
        <v>371</v>
      </c>
      <c r="V683" s="8">
        <v>1</v>
      </c>
      <c r="W683" s="8"/>
      <c r="X683" t="s">
        <v>57</v>
      </c>
      <c r="Y683" t="s">
        <v>372</v>
      </c>
    </row>
    <row r="684" spans="1:25" x14ac:dyDescent="0.25">
      <c r="A684">
        <v>9999</v>
      </c>
      <c r="B684" t="str">
        <f>_xlfn.CONCAT([2]!bron[[#This Row],[personeelsnr]]," ",C684," ",D684)</f>
        <v>9999 - -</v>
      </c>
      <c r="C684" t="s">
        <v>2919</v>
      </c>
      <c r="D684" t="s">
        <v>2919</v>
      </c>
      <c r="E684" t="s">
        <v>810</v>
      </c>
      <c r="F684" s="10"/>
      <c r="G684" s="7"/>
      <c r="H684" s="7"/>
      <c r="I684" s="7">
        <v>1</v>
      </c>
      <c r="S684" s="5">
        <f>SUM(bron[[#This Row],[Januari]:[December]])</f>
        <v>1</v>
      </c>
      <c r="T684" s="9">
        <v>45363</v>
      </c>
      <c r="U684" s="8" t="s">
        <v>373</v>
      </c>
      <c r="V684" s="8">
        <v>1</v>
      </c>
      <c r="W684" s="8"/>
      <c r="X684" t="s">
        <v>57</v>
      </c>
      <c r="Y684" t="s">
        <v>240</v>
      </c>
    </row>
    <row r="685" spans="1:25" x14ac:dyDescent="0.25">
      <c r="A685">
        <v>8394</v>
      </c>
      <c r="B685" t="e">
        <f>_xlfn.CONCAT([2]!bron[[#This Row],[personeelsnr]]," ",C685," ",D685)</f>
        <v>#REF!</v>
      </c>
      <c r="C685" t="str">
        <f>VLOOKUP(bron[[#This Row],[personeelsnr]],'data hastus'!$A:$C,2,0)</f>
        <v>Smet</v>
      </c>
      <c r="D685" t="str">
        <f>VLOOKUP(bron[[#This Row],[personeelsnr]],'data hastus'!$A:$C,3,0)</f>
        <v>Antoon</v>
      </c>
      <c r="E685" t="str">
        <f>VLOOKUP(bron[[#This Row],[personeelsnr]],'data hastus'!A:K,11,FALSE)</f>
        <v>Lucie Vande Velde</v>
      </c>
      <c r="F685" s="10"/>
      <c r="G685" s="7"/>
      <c r="H685" s="7"/>
      <c r="I685" s="7">
        <v>1</v>
      </c>
      <c r="S685" s="5">
        <f>SUM(bron[[#This Row],[Januari]:[December]])</f>
        <v>1</v>
      </c>
      <c r="T685" s="9">
        <v>45360</v>
      </c>
      <c r="U685" s="8" t="s">
        <v>370</v>
      </c>
      <c r="V685" s="8">
        <v>1</v>
      </c>
      <c r="W685" s="8"/>
      <c r="X685" t="s">
        <v>57</v>
      </c>
      <c r="Y685" t="s">
        <v>94</v>
      </c>
    </row>
    <row r="686" spans="1:25" x14ac:dyDescent="0.25">
      <c r="A686">
        <v>37543</v>
      </c>
      <c r="B686" t="e">
        <f>_xlfn.CONCAT([2]!bron[[#This Row],[personeelsnr]]," ",C686," ",D686)</f>
        <v>#REF!</v>
      </c>
      <c r="C686" t="str">
        <f>VLOOKUP(bron[[#This Row],[personeelsnr]],'data hastus'!$A:$C,2,0)</f>
        <v>Öztürk</v>
      </c>
      <c r="D686" t="str">
        <f>VLOOKUP(bron[[#This Row],[personeelsnr]],'data hastus'!$A:$C,3,0)</f>
        <v>Bilgehan</v>
      </c>
      <c r="E686" t="str">
        <f>VLOOKUP(bron[[#This Row],[personeelsnr]],'data hastus'!A:K,11,FALSE)</f>
        <v>Kenneth De Rick</v>
      </c>
      <c r="F686" s="10"/>
      <c r="G686" s="7"/>
      <c r="H686" s="7"/>
      <c r="I686" s="7">
        <v>1</v>
      </c>
      <c r="S686" s="5">
        <f>SUM(bron[[#This Row],[Januari]:[December]])</f>
        <v>1</v>
      </c>
      <c r="T686" s="9">
        <v>45359</v>
      </c>
      <c r="U686" s="8" t="s">
        <v>367</v>
      </c>
      <c r="V686" s="8">
        <v>1</v>
      </c>
      <c r="W686" s="8"/>
      <c r="X686" t="s">
        <v>57</v>
      </c>
      <c r="Y686" t="s">
        <v>190</v>
      </c>
    </row>
    <row r="687" spans="1:25" x14ac:dyDescent="0.25">
      <c r="A687">
        <v>39929</v>
      </c>
      <c r="B687" t="e">
        <f>_xlfn.CONCAT([2]!bron[[#This Row],[personeelsnr]]," ",C687," ",D687)</f>
        <v>#REF!</v>
      </c>
      <c r="C687" t="str">
        <f>VLOOKUP(bron[[#This Row],[personeelsnr]],'data hastus'!$A:$C,2,0)</f>
        <v>Staneva</v>
      </c>
      <c r="D687" t="str">
        <f>VLOOKUP(bron[[#This Row],[personeelsnr]],'data hastus'!$A:$C,3,0)</f>
        <v>Mariyana</v>
      </c>
      <c r="E687" t="str">
        <f>VLOOKUP(bron[[#This Row],[personeelsnr]],'data hastus'!A:K,11,FALSE)</f>
        <v>Christoff Rotty</v>
      </c>
      <c r="F687" s="10"/>
      <c r="G687" s="7"/>
      <c r="H687" s="7"/>
      <c r="I687" s="7">
        <v>1</v>
      </c>
      <c r="S687" s="5">
        <f>SUM(bron[[#This Row],[Januari]:[December]])</f>
        <v>1</v>
      </c>
      <c r="T687" s="9">
        <v>45359</v>
      </c>
      <c r="U687" s="8" t="s">
        <v>368</v>
      </c>
      <c r="V687" s="8">
        <v>1</v>
      </c>
      <c r="W687" s="8"/>
      <c r="X687" t="s">
        <v>57</v>
      </c>
      <c r="Y687" t="s">
        <v>135</v>
      </c>
    </row>
    <row r="688" spans="1:25" x14ac:dyDescent="0.25">
      <c r="A688">
        <v>32951</v>
      </c>
      <c r="B688" t="e">
        <f>_xlfn.CONCAT([2]!bron[[#This Row],[personeelsnr]]," ",C688," ",D688)</f>
        <v>#REF!</v>
      </c>
      <c r="C688" t="str">
        <f>VLOOKUP(bron[[#This Row],[personeelsnr]],'data hastus'!$A:$C,2,0)</f>
        <v>De Bruyne</v>
      </c>
      <c r="D688" t="str">
        <f>VLOOKUP(bron[[#This Row],[personeelsnr]],'data hastus'!$A:$C,3,0)</f>
        <v>Sonia</v>
      </c>
      <c r="E688" t="str">
        <f>VLOOKUP(bron[[#This Row],[personeelsnr]],'data hastus'!A:K,11,FALSE)</f>
        <v>Lucie Vande Velde</v>
      </c>
      <c r="F688" s="10"/>
      <c r="G688" s="7"/>
      <c r="H688" s="7"/>
      <c r="I688" s="7">
        <v>1</v>
      </c>
      <c r="S688" s="5">
        <f>SUM(bron[[#This Row],[Januari]:[December]])</f>
        <v>1</v>
      </c>
      <c r="T688" s="9">
        <v>45359</v>
      </c>
      <c r="U688" s="8" t="s">
        <v>369</v>
      </c>
      <c r="V688" s="8">
        <v>1</v>
      </c>
      <c r="W688" s="8"/>
      <c r="X688" t="s">
        <v>57</v>
      </c>
      <c r="Y688" t="s">
        <v>28</v>
      </c>
    </row>
    <row r="689" spans="1:25" x14ac:dyDescent="0.25">
      <c r="A689">
        <v>35463</v>
      </c>
      <c r="B689" t="e">
        <f>_xlfn.CONCAT([2]!bron[[#This Row],[personeelsnr]]," ",C689," ",D689)</f>
        <v>#REF!</v>
      </c>
      <c r="C689" t="str">
        <f>VLOOKUP(bron[[#This Row],[personeelsnr]],'data hastus'!$A:$C,2,0)</f>
        <v>Vandaele</v>
      </c>
      <c r="D689" t="str">
        <f>VLOOKUP(bron[[#This Row],[personeelsnr]],'data hastus'!$A:$C,3,0)</f>
        <v>Tom</v>
      </c>
      <c r="E689" t="str">
        <f>VLOOKUP(bron[[#This Row],[personeelsnr]],'data hastus'!A:K,11,FALSE)</f>
        <v>Dominique De Clercq</v>
      </c>
      <c r="F689" s="10"/>
      <c r="G689" s="7"/>
      <c r="H689" s="7"/>
      <c r="I689" s="7">
        <v>1</v>
      </c>
      <c r="S689" s="5">
        <f>SUM(bron[[#This Row],[Januari]:[December]])</f>
        <v>1</v>
      </c>
      <c r="T689" s="9">
        <v>45357</v>
      </c>
      <c r="U689" s="8" t="s">
        <v>365</v>
      </c>
      <c r="V689" s="8"/>
      <c r="W689" s="8">
        <v>1</v>
      </c>
      <c r="X689" t="s">
        <v>58</v>
      </c>
      <c r="Y689" t="s">
        <v>27</v>
      </c>
    </row>
    <row r="690" spans="1:25" x14ac:dyDescent="0.25">
      <c r="A690">
        <v>9999</v>
      </c>
      <c r="B690" t="str">
        <f>_xlfn.CONCAT([2]!bron[[#This Row],[personeelsnr]]," ",C690," ",D690)</f>
        <v>9999 - -</v>
      </c>
      <c r="C690" t="s">
        <v>2919</v>
      </c>
      <c r="D690" t="s">
        <v>2919</v>
      </c>
      <c r="E690" t="s">
        <v>810</v>
      </c>
      <c r="F690" s="10"/>
      <c r="G690" s="7"/>
      <c r="H690" s="7"/>
      <c r="I690" s="7">
        <v>1</v>
      </c>
      <c r="S690" s="5">
        <f>SUM(bron[[#This Row],[Januari]:[December]])</f>
        <v>1</v>
      </c>
      <c r="T690" s="9">
        <v>45357</v>
      </c>
      <c r="U690" s="8" t="s">
        <v>366</v>
      </c>
      <c r="V690" s="8"/>
      <c r="W690" s="8">
        <v>1</v>
      </c>
      <c r="X690" t="s">
        <v>58</v>
      </c>
      <c r="Y690" t="s">
        <v>27</v>
      </c>
    </row>
    <row r="691" spans="1:25" x14ac:dyDescent="0.25">
      <c r="A691">
        <v>27186</v>
      </c>
      <c r="B691" t="e">
        <f>_xlfn.CONCAT([2]!bron[[#This Row],[personeelsnr]]," ",C691," ",D691)</f>
        <v>#REF!</v>
      </c>
      <c r="C691" t="str">
        <f>VLOOKUP(bron[[#This Row],[personeelsnr]],'data hastus'!$A:$C,2,0)</f>
        <v>Neghli</v>
      </c>
      <c r="D691" t="str">
        <f>VLOOKUP(bron[[#This Row],[personeelsnr]],'data hastus'!$A:$C,3,0)</f>
        <v>Farid</v>
      </c>
      <c r="E691" t="str">
        <f>VLOOKUP(bron[[#This Row],[personeelsnr]],'data hastus'!A:K,11,FALSE)</f>
        <v>Christoff Rotty</v>
      </c>
      <c r="F691" s="10"/>
      <c r="G691" s="7"/>
      <c r="H691" s="7"/>
      <c r="I691" s="7">
        <v>1</v>
      </c>
      <c r="S691" s="5">
        <f>SUM(bron[[#This Row],[Januari]:[December]])</f>
        <v>1</v>
      </c>
      <c r="T691" s="9">
        <v>45356</v>
      </c>
      <c r="U691" s="8" t="s">
        <v>359</v>
      </c>
      <c r="V691" s="8">
        <v>1</v>
      </c>
      <c r="W691" s="8"/>
      <c r="X691" t="s">
        <v>57</v>
      </c>
      <c r="Y691" t="s">
        <v>80</v>
      </c>
    </row>
    <row r="692" spans="1:25" x14ac:dyDescent="0.25">
      <c r="A692">
        <v>39633</v>
      </c>
      <c r="B692" t="e">
        <f>_xlfn.CONCAT([2]!bron[[#This Row],[personeelsnr]]," ",C692," ",D692)</f>
        <v>#REF!</v>
      </c>
      <c r="C692" t="str">
        <f>VLOOKUP(bron[[#This Row],[personeelsnr]],'data hastus'!$A:$C,2,0)</f>
        <v>Duyck</v>
      </c>
      <c r="D692" t="str">
        <f>VLOOKUP(bron[[#This Row],[personeelsnr]],'data hastus'!$A:$C,3,0)</f>
        <v>Kimberly</v>
      </c>
      <c r="E692" t="str">
        <f>VLOOKUP(bron[[#This Row],[personeelsnr]],'data hastus'!A:K,11,FALSE)</f>
        <v>Lucie Vande Velde</v>
      </c>
      <c r="F692" s="10"/>
      <c r="G692" s="7"/>
      <c r="H692" s="7"/>
      <c r="I692" s="7">
        <v>1</v>
      </c>
      <c r="S692" s="5">
        <f>SUM(bron[[#This Row],[Januari]:[December]])</f>
        <v>1</v>
      </c>
      <c r="T692" s="9">
        <v>45356</v>
      </c>
      <c r="U692" s="8" t="s">
        <v>360</v>
      </c>
      <c r="V692" s="8">
        <v>1</v>
      </c>
      <c r="W692" s="8"/>
      <c r="X692" t="s">
        <v>57</v>
      </c>
      <c r="Y692" t="s">
        <v>37</v>
      </c>
    </row>
    <row r="693" spans="1:25" x14ac:dyDescent="0.25">
      <c r="A693">
        <v>38648</v>
      </c>
      <c r="B693" t="e">
        <f>_xlfn.CONCAT([2]!bron[[#This Row],[personeelsnr]]," ",C693," ",D693)</f>
        <v>#REF!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>
        <v>1</v>
      </c>
      <c r="S693" s="5">
        <f>SUM(bron[[#This Row],[Januari]:[December]])</f>
        <v>1</v>
      </c>
      <c r="T693" s="9">
        <v>45356</v>
      </c>
      <c r="U693" s="8" t="s">
        <v>361</v>
      </c>
      <c r="V693" s="8">
        <v>1</v>
      </c>
      <c r="W693" s="8"/>
      <c r="X693" t="s">
        <v>57</v>
      </c>
      <c r="Y693" t="s">
        <v>24</v>
      </c>
    </row>
    <row r="694" spans="1:25" x14ac:dyDescent="0.25">
      <c r="A694">
        <v>33965</v>
      </c>
      <c r="B694" t="e">
        <f>_xlfn.CONCAT([2]!bron[[#This Row],[personeelsnr]]," ",C694," ",D694)</f>
        <v>#REF!</v>
      </c>
      <c r="C694" t="str">
        <f>VLOOKUP(bron[[#This Row],[personeelsnr]],'data hastus'!$A:$C,2,0)</f>
        <v>Van de Gehuchte</v>
      </c>
      <c r="D694" t="str">
        <f>VLOOKUP(bron[[#This Row],[personeelsnr]],'data hastus'!$A:$C,3,0)</f>
        <v>Gilles</v>
      </c>
      <c r="E694" t="str">
        <f>VLOOKUP(bron[[#This Row],[personeelsnr]],'data hastus'!A:K,11,FALSE)</f>
        <v>Kenneth De Rick</v>
      </c>
      <c r="F694" s="10"/>
      <c r="G694" s="7"/>
      <c r="H694" s="7"/>
      <c r="I694" s="7">
        <v>1</v>
      </c>
      <c r="S694" s="5">
        <f>SUM(bron[[#This Row],[Januari]:[December]])</f>
        <v>1</v>
      </c>
      <c r="T694" s="9">
        <v>45356</v>
      </c>
      <c r="U694" s="8" t="s">
        <v>362</v>
      </c>
      <c r="V694" s="8">
        <v>1</v>
      </c>
      <c r="W694" s="8"/>
      <c r="X694" t="s">
        <v>57</v>
      </c>
      <c r="Y694" t="s">
        <v>34</v>
      </c>
    </row>
    <row r="695" spans="1:25" x14ac:dyDescent="0.25">
      <c r="A695">
        <v>37543</v>
      </c>
      <c r="B695" t="e">
        <f>_xlfn.CONCAT([2]!bron[[#This Row],[personeelsnr]]," ",C695," ",D695)</f>
        <v>#REF!</v>
      </c>
      <c r="C695" t="str">
        <f>VLOOKUP(bron[[#This Row],[personeelsnr]],'data hastus'!$A:$C,2,0)</f>
        <v>Öztürk</v>
      </c>
      <c r="D695" t="str">
        <f>VLOOKUP(bron[[#This Row],[personeelsnr]],'data hastus'!$A:$C,3,0)</f>
        <v>Bilgehan</v>
      </c>
      <c r="E695" t="str">
        <f>VLOOKUP(bron[[#This Row],[personeelsnr]],'data hastus'!A:K,11,FALSE)</f>
        <v>Kenneth De Rick</v>
      </c>
      <c r="F695" s="10"/>
      <c r="G695" s="7"/>
      <c r="H695" s="7"/>
      <c r="I695" s="7">
        <v>1</v>
      </c>
      <c r="S695" s="5">
        <f>SUM(bron[[#This Row],[Januari]:[December]])</f>
        <v>1</v>
      </c>
      <c r="T695" s="9">
        <v>45356</v>
      </c>
      <c r="U695" s="8" t="s">
        <v>363</v>
      </c>
      <c r="V695" s="8">
        <v>1</v>
      </c>
      <c r="W695" s="8"/>
      <c r="X695" t="s">
        <v>57</v>
      </c>
      <c r="Y695" t="s">
        <v>43</v>
      </c>
    </row>
    <row r="696" spans="1:25" x14ac:dyDescent="0.25">
      <c r="A696">
        <v>39712</v>
      </c>
      <c r="B696" t="e">
        <f>_xlfn.CONCAT([2]!bron[[#This Row],[personeelsnr]]," ",C696," ",D696)</f>
        <v>#REF!</v>
      </c>
      <c r="C696" t="str">
        <f>VLOOKUP(bron[[#This Row],[personeelsnr]],'data hastus'!$A:$C,2,0)</f>
        <v>Repaj</v>
      </c>
      <c r="D696" t="str">
        <f>VLOOKUP(bron[[#This Row],[personeelsnr]],'data hastus'!$A:$C,3,0)</f>
        <v>Ramazan</v>
      </c>
      <c r="E696" t="str">
        <f>VLOOKUP(bron[[#This Row],[personeelsnr]],'data hastus'!A:K,11,FALSE)</f>
        <v>Bart Van Der Beken</v>
      </c>
      <c r="F696" s="10"/>
      <c r="G696" s="7"/>
      <c r="H696" s="7"/>
      <c r="I696" s="7">
        <v>1</v>
      </c>
      <c r="S696" s="5">
        <f>SUM(bron[[#This Row],[Januari]:[December]])</f>
        <v>1</v>
      </c>
      <c r="T696" s="9">
        <v>45356</v>
      </c>
      <c r="U696" s="8" t="s">
        <v>364</v>
      </c>
      <c r="V696" s="8">
        <v>1</v>
      </c>
      <c r="W696" s="8"/>
      <c r="X696" t="s">
        <v>57</v>
      </c>
      <c r="Y696" t="s">
        <v>163</v>
      </c>
    </row>
    <row r="697" spans="1:25" x14ac:dyDescent="0.25">
      <c r="A697">
        <v>39014</v>
      </c>
      <c r="B697" t="e">
        <f>_xlfn.CONCAT([2]!bron[[#This Row],[personeelsnr]]," ",C697," ",D697)</f>
        <v>#REF!</v>
      </c>
      <c r="C697" t="str">
        <f>VLOOKUP(bron[[#This Row],[personeelsnr]],'data hastus'!$A:$C,2,0)</f>
        <v>Genbrugge</v>
      </c>
      <c r="D697" t="str">
        <f>VLOOKUP(bron[[#This Row],[personeelsnr]],'data hastus'!$A:$C,3,0)</f>
        <v>Kyllian</v>
      </c>
      <c r="E697" t="str">
        <f>VLOOKUP(bron[[#This Row],[personeelsnr]],'data hastus'!A:K,11,FALSE)</f>
        <v>Bart Van Der Beken</v>
      </c>
      <c r="F697" s="10"/>
      <c r="G697" s="7"/>
      <c r="H697" s="7"/>
      <c r="I697" s="7">
        <v>1</v>
      </c>
      <c r="S697" s="5">
        <f>SUM(bron[[#This Row],[Januari]:[December]])</f>
        <v>1</v>
      </c>
      <c r="T697" s="9">
        <v>45353</v>
      </c>
      <c r="U697" s="8" t="s">
        <v>357</v>
      </c>
      <c r="V697" s="8">
        <v>1</v>
      </c>
      <c r="W697" s="8"/>
      <c r="X697" t="s">
        <v>57</v>
      </c>
      <c r="Y697" t="s">
        <v>80</v>
      </c>
    </row>
    <row r="698" spans="1:25" x14ac:dyDescent="0.25">
      <c r="A698">
        <v>39929</v>
      </c>
      <c r="B698" t="e">
        <f>_xlfn.CONCAT([2]!bron[[#This Row],[personeelsnr]]," ",C698," ",D698)</f>
        <v>#REF!</v>
      </c>
      <c r="C698" t="str">
        <f>VLOOKUP(bron[[#This Row],[personeelsnr]],'data hastus'!$A:$C,2,0)</f>
        <v>Staneva</v>
      </c>
      <c r="D698" t="str">
        <f>VLOOKUP(bron[[#This Row],[personeelsnr]],'data hastus'!$A:$C,3,0)</f>
        <v>Mariyana</v>
      </c>
      <c r="E698" t="str">
        <f>VLOOKUP(bron[[#This Row],[personeelsnr]],'data hastus'!A:K,11,FALSE)</f>
        <v>Christoff Rotty</v>
      </c>
      <c r="F698" s="10"/>
      <c r="G698" s="7"/>
      <c r="H698" s="7"/>
      <c r="I698" s="7">
        <v>1</v>
      </c>
      <c r="S698" s="5">
        <f>SUM(bron[[#This Row],[Januari]:[December]])</f>
        <v>1</v>
      </c>
      <c r="T698" s="9">
        <v>45353</v>
      </c>
      <c r="U698" s="8" t="s">
        <v>358</v>
      </c>
      <c r="V698" s="8">
        <v>1</v>
      </c>
      <c r="W698" s="8"/>
      <c r="X698" t="s">
        <v>57</v>
      </c>
      <c r="Y698" t="s">
        <v>18</v>
      </c>
    </row>
    <row r="699" spans="1:25" x14ac:dyDescent="0.25">
      <c r="A699">
        <v>36626</v>
      </c>
      <c r="B699" t="e">
        <f>_xlfn.CONCAT([2]!bron[[#This Row],[personeelsnr]]," ",C699," ",D699)</f>
        <v>#REF!</v>
      </c>
      <c r="C699" t="str">
        <f>VLOOKUP(bron[[#This Row],[personeelsnr]],'data hastus'!$A:$C,2,0)</f>
        <v>Kartal</v>
      </c>
      <c r="D699" t="str">
        <f>VLOOKUP(bron[[#This Row],[personeelsnr]],'data hastus'!$A:$C,3,0)</f>
        <v>Kadir</v>
      </c>
      <c r="E699" t="str">
        <f>VLOOKUP(bron[[#This Row],[personeelsnr]],'data hastus'!A:K,11,FALSE)</f>
        <v>Els Dewulf</v>
      </c>
      <c r="F699" s="10"/>
      <c r="G699" s="7"/>
      <c r="H699" s="7"/>
      <c r="I699" s="7">
        <v>1</v>
      </c>
      <c r="S699" s="5">
        <f>SUM(bron[[#This Row],[Januari]:[December]])</f>
        <v>1</v>
      </c>
      <c r="T699" s="9">
        <v>45352</v>
      </c>
      <c r="U699" s="8" t="s">
        <v>352</v>
      </c>
      <c r="V699" s="8">
        <v>1</v>
      </c>
      <c r="W699" s="8"/>
      <c r="X699" t="s">
        <v>57</v>
      </c>
      <c r="Y699" t="s">
        <v>23</v>
      </c>
    </row>
    <row r="700" spans="1:25" x14ac:dyDescent="0.25">
      <c r="A700">
        <v>36627</v>
      </c>
      <c r="B700" t="e">
        <f>_xlfn.CONCAT([2]!bron[[#This Row],[personeelsnr]]," ",C700," ",D700)</f>
        <v>#REF!</v>
      </c>
      <c r="C700" t="str">
        <f>VLOOKUP(bron[[#This Row],[personeelsnr]],'data hastus'!$A:$C,2,0)</f>
        <v>Dobbelaere</v>
      </c>
      <c r="D700" t="str">
        <f>VLOOKUP(bron[[#This Row],[personeelsnr]],'data hastus'!$A:$C,3,0)</f>
        <v>David</v>
      </c>
      <c r="E700" t="str">
        <f>VLOOKUP(bron[[#This Row],[personeelsnr]],'data hastus'!A:K,11,FALSE)</f>
        <v>Els Dewulf</v>
      </c>
      <c r="F700" s="10"/>
      <c r="G700" s="7"/>
      <c r="H700" s="7"/>
      <c r="I700" s="7">
        <v>1</v>
      </c>
      <c r="S700" s="5">
        <f>SUM(bron[[#This Row],[Januari]:[December]])</f>
        <v>1</v>
      </c>
      <c r="T700" s="9">
        <v>45352</v>
      </c>
      <c r="U700" s="8" t="s">
        <v>353</v>
      </c>
      <c r="V700" s="8">
        <v>1</v>
      </c>
      <c r="W700" s="8"/>
      <c r="X700" t="s">
        <v>57</v>
      </c>
      <c r="Y700" t="s">
        <v>64</v>
      </c>
    </row>
    <row r="701" spans="1:25" x14ac:dyDescent="0.25">
      <c r="A701">
        <v>36275</v>
      </c>
      <c r="B701" t="e">
        <f>_xlfn.CONCAT([2]!bron[[#This Row],[personeelsnr]]," ",C701," ",D701)</f>
        <v>#REF!</v>
      </c>
      <c r="C701" t="str">
        <f>VLOOKUP(bron[[#This Row],[personeelsnr]],'data hastus'!$A:$C,2,0)</f>
        <v>Acosta Salinas</v>
      </c>
      <c r="D701" t="str">
        <f>VLOOKUP(bron[[#This Row],[personeelsnr]],'data hastus'!$A:$C,3,0)</f>
        <v>Benigna</v>
      </c>
      <c r="E701" t="str">
        <f>VLOOKUP(bron[[#This Row],[personeelsnr]],'data hastus'!A:K,11,FALSE)</f>
        <v>Dominique De Clercq</v>
      </c>
      <c r="F701" s="10"/>
      <c r="G701" s="7"/>
      <c r="H701" s="7"/>
      <c r="I701" s="7">
        <v>1</v>
      </c>
      <c r="S701" s="5">
        <f>SUM(bron[[#This Row],[Januari]:[December]])</f>
        <v>1</v>
      </c>
      <c r="T701" s="9">
        <v>45352</v>
      </c>
      <c r="U701" s="8" t="s">
        <v>354</v>
      </c>
      <c r="V701" s="8">
        <v>1</v>
      </c>
      <c r="W701" s="8"/>
      <c r="X701" t="s">
        <v>57</v>
      </c>
      <c r="Y701" t="s">
        <v>18</v>
      </c>
    </row>
    <row r="702" spans="1:25" x14ac:dyDescent="0.25">
      <c r="A702">
        <v>39013</v>
      </c>
      <c r="B702" t="e">
        <f>_xlfn.CONCAT([2]!bron[[#This Row],[personeelsnr]]," ",C702," ",D702)</f>
        <v>#REF!</v>
      </c>
      <c r="C702" t="str">
        <f>VLOOKUP(bron[[#This Row],[personeelsnr]],'data hastus'!$A:$C,2,0)</f>
        <v>Asrih</v>
      </c>
      <c r="D702" t="str">
        <f>VLOOKUP(bron[[#This Row],[personeelsnr]],'data hastus'!$A:$C,3,0)</f>
        <v>Habib</v>
      </c>
      <c r="E702" t="str">
        <f>VLOOKUP(bron[[#This Row],[personeelsnr]],'data hastus'!A:K,11,FALSE)</f>
        <v>Els Dewulf</v>
      </c>
      <c r="F702" s="10"/>
      <c r="G702" s="7"/>
      <c r="H702" s="7"/>
      <c r="I702" s="7">
        <v>1</v>
      </c>
      <c r="S702" s="5">
        <f>SUM(bron[[#This Row],[Januari]:[December]])</f>
        <v>1</v>
      </c>
      <c r="T702" s="9">
        <v>45352</v>
      </c>
      <c r="U702" s="8" t="s">
        <v>355</v>
      </c>
      <c r="V702" s="8">
        <v>1</v>
      </c>
      <c r="W702" s="8"/>
      <c r="X702" t="s">
        <v>57</v>
      </c>
      <c r="Y702" t="s">
        <v>98</v>
      </c>
    </row>
    <row r="703" spans="1:25" x14ac:dyDescent="0.25">
      <c r="A703">
        <v>20653</v>
      </c>
      <c r="B703" t="e">
        <f>_xlfn.CONCAT([2]!bron[[#This Row],[personeelsnr]]," ",C703," ",D703)</f>
        <v>#REF!</v>
      </c>
      <c r="C703" t="str">
        <f>VLOOKUP(bron[[#This Row],[personeelsnr]],'data hastus'!$A:$C,2,0)</f>
        <v>Mestdag</v>
      </c>
      <c r="D703" t="str">
        <f>VLOOKUP(bron[[#This Row],[personeelsnr]],'data hastus'!$A:$C,3,0)</f>
        <v>Marius</v>
      </c>
      <c r="E703" t="str">
        <f>VLOOKUP(bron[[#This Row],[personeelsnr]],'data hastus'!A:K,11,FALSE)</f>
        <v>Bart Van Der Beken</v>
      </c>
      <c r="F703" s="10"/>
      <c r="G703" s="7"/>
      <c r="H703" s="7"/>
      <c r="I703" s="7">
        <v>1</v>
      </c>
      <c r="S703" s="5">
        <f>SUM(bron[[#This Row],[Januari]:[December]])</f>
        <v>1</v>
      </c>
      <c r="T703" s="9">
        <v>45352</v>
      </c>
      <c r="U703" s="8" t="s">
        <v>356</v>
      </c>
      <c r="V703" s="8">
        <v>1</v>
      </c>
      <c r="W703" s="8"/>
      <c r="X703" t="s">
        <v>57</v>
      </c>
      <c r="Y703" t="s">
        <v>121</v>
      </c>
    </row>
    <row r="704" spans="1:25" x14ac:dyDescent="0.25">
      <c r="A704">
        <v>11236</v>
      </c>
      <c r="B704" t="e">
        <f>_xlfn.CONCAT([2]!bron[[#This Row],[personeelsnr]]," ",C704," ",D704)</f>
        <v>#REF!</v>
      </c>
      <c r="C704" t="str">
        <f>VLOOKUP(bron[[#This Row],[personeelsnr]],'data hastus'!$A:$C,2,0)</f>
        <v>Baert</v>
      </c>
      <c r="D704" t="str">
        <f>VLOOKUP(bron[[#This Row],[personeelsnr]],'data hastus'!$A:$C,3,0)</f>
        <v>Freddy</v>
      </c>
      <c r="E704" t="str">
        <f>VLOOKUP(bron[[#This Row],[personeelsnr]],'data hastus'!A:K,11,FALSE)</f>
        <v>Bart Van Der Beken</v>
      </c>
      <c r="F704" s="10"/>
      <c r="G704" s="7"/>
      <c r="H704" s="7">
        <v>1</v>
      </c>
      <c r="I704" s="7"/>
      <c r="S704" s="5">
        <f>SUM(bron[[#This Row],[Januari]:[December]])</f>
        <v>1</v>
      </c>
      <c r="T704" s="9">
        <v>45351</v>
      </c>
      <c r="U704" s="8" t="s">
        <v>348</v>
      </c>
      <c r="V704" s="8">
        <v>1</v>
      </c>
      <c r="W704" s="8"/>
      <c r="X704" t="s">
        <v>57</v>
      </c>
      <c r="Y704" t="s">
        <v>85</v>
      </c>
    </row>
    <row r="705" spans="1:25" x14ac:dyDescent="0.25">
      <c r="A705">
        <v>38475</v>
      </c>
      <c r="B705" t="e">
        <f>_xlfn.CONCAT([2]!bron[[#This Row],[personeelsnr]]," ",C705," ",D705)</f>
        <v>#REF!</v>
      </c>
      <c r="C705" t="str">
        <f>VLOOKUP(bron[[#This Row],[personeelsnr]],'data hastus'!$A:$C,2,0)</f>
        <v>Verschraegen</v>
      </c>
      <c r="D705" t="str">
        <f>VLOOKUP(bron[[#This Row],[personeelsnr]],'data hastus'!$A:$C,3,0)</f>
        <v>Katleen</v>
      </c>
      <c r="E705" t="str">
        <f>VLOOKUP(bron[[#This Row],[personeelsnr]],'data hastus'!A:K,11,FALSE)</f>
        <v>Els Dewulf</v>
      </c>
      <c r="F705" s="10"/>
      <c r="G705" s="7"/>
      <c r="H705" s="7">
        <v>1</v>
      </c>
      <c r="I705" s="7"/>
      <c r="S705" s="5">
        <f>SUM(bron[[#This Row],[Januari]:[December]])</f>
        <v>1</v>
      </c>
      <c r="T705" s="9">
        <v>45351</v>
      </c>
      <c r="U705" s="8" t="s">
        <v>349</v>
      </c>
      <c r="V705" s="8">
        <v>1</v>
      </c>
      <c r="W705" s="8"/>
      <c r="X705" t="s">
        <v>57</v>
      </c>
      <c r="Y705" t="s">
        <v>98</v>
      </c>
    </row>
    <row r="706" spans="1:25" x14ac:dyDescent="0.25">
      <c r="A706">
        <v>35709</v>
      </c>
      <c r="B706" t="e">
        <f>_xlfn.CONCAT([2]!bron[[#This Row],[personeelsnr]]," ",C706," ",D706)</f>
        <v>#REF!</v>
      </c>
      <c r="C706" t="str">
        <f>VLOOKUP(bron[[#This Row],[personeelsnr]],'data hastus'!$A:$C,2,0)</f>
        <v>El Gasmi</v>
      </c>
      <c r="D706" t="str">
        <f>VLOOKUP(bron[[#This Row],[personeelsnr]],'data hastus'!$A:$C,3,0)</f>
        <v>Sami</v>
      </c>
      <c r="E706" t="str">
        <f>VLOOKUP(bron[[#This Row],[personeelsnr]],'data hastus'!A:K,11,FALSE)</f>
        <v>Els Vanhoe</v>
      </c>
      <c r="F706" s="10"/>
      <c r="G706" s="7"/>
      <c r="H706" s="7">
        <v>1</v>
      </c>
      <c r="I706" s="7"/>
      <c r="S706" s="5">
        <f>SUM(bron[[#This Row],[Januari]:[December]])</f>
        <v>1</v>
      </c>
      <c r="T706" s="9">
        <v>45351</v>
      </c>
      <c r="U706" s="8" t="s">
        <v>350</v>
      </c>
      <c r="V706" s="8">
        <v>1</v>
      </c>
      <c r="W706" s="8"/>
      <c r="X706" t="s">
        <v>57</v>
      </c>
      <c r="Y706" t="s">
        <v>236</v>
      </c>
    </row>
    <row r="707" spans="1:25" x14ac:dyDescent="0.25">
      <c r="A707">
        <v>21509</v>
      </c>
      <c r="B707" t="e">
        <f>_xlfn.CONCAT([2]!bron[[#This Row],[personeelsnr]]," ",C707," ",D707)</f>
        <v>#REF!</v>
      </c>
      <c r="C707" t="str">
        <f>VLOOKUP(bron[[#This Row],[personeelsnr]],'data hastus'!$A:$C,2,0)</f>
        <v>De Craemer</v>
      </c>
      <c r="D707" t="str">
        <f>VLOOKUP(bron[[#This Row],[personeelsnr]],'data hastus'!$A:$C,3,0)</f>
        <v>Kris</v>
      </c>
      <c r="E707" t="str">
        <f>VLOOKUP(bron[[#This Row],[personeelsnr]],'data hastus'!A:K,11,FALSE)</f>
        <v>Dominique De Clercq</v>
      </c>
      <c r="F707" s="10"/>
      <c r="G707" s="7"/>
      <c r="H707" s="7">
        <v>1</v>
      </c>
      <c r="I707" s="7"/>
      <c r="S707" s="5">
        <f>SUM(bron[[#This Row],[Januari]:[December]])</f>
        <v>1</v>
      </c>
      <c r="T707" s="9">
        <v>45351</v>
      </c>
      <c r="U707" s="8" t="s">
        <v>351</v>
      </c>
      <c r="V707" s="8"/>
      <c r="W707" s="8">
        <v>1</v>
      </c>
      <c r="X707" t="s">
        <v>58</v>
      </c>
      <c r="Y707" t="s">
        <v>33</v>
      </c>
    </row>
    <row r="708" spans="1:25" x14ac:dyDescent="0.25">
      <c r="A708">
        <v>9999</v>
      </c>
      <c r="B708" t="str">
        <f>_xlfn.CONCAT([2]!bron[[#This Row],[personeelsnr]]," ",C708," ",D708)</f>
        <v>9999 - -</v>
      </c>
      <c r="C708" t="s">
        <v>2919</v>
      </c>
      <c r="D708" t="s">
        <v>2919</v>
      </c>
      <c r="E708" t="s">
        <v>810</v>
      </c>
      <c r="F708" s="10"/>
      <c r="G708" s="7"/>
      <c r="H708" s="7">
        <v>1</v>
      </c>
      <c r="I708" s="7"/>
      <c r="S708" s="5">
        <f>SUM(bron[[#This Row],[Januari]:[December]])</f>
        <v>1</v>
      </c>
      <c r="T708" s="9">
        <v>45350</v>
      </c>
      <c r="U708" s="8" t="s">
        <v>345</v>
      </c>
      <c r="V708" s="8">
        <v>1</v>
      </c>
      <c r="W708" s="8"/>
      <c r="X708" t="s">
        <v>57</v>
      </c>
      <c r="Y708" t="s">
        <v>204</v>
      </c>
    </row>
    <row r="709" spans="1:25" x14ac:dyDescent="0.25">
      <c r="A709">
        <v>39184</v>
      </c>
      <c r="B709" t="e">
        <f>_xlfn.CONCAT([2]!bron[[#This Row],[personeelsnr]]," ",C709," ",D709)</f>
        <v>#REF!</v>
      </c>
      <c r="C709" t="str">
        <f>VLOOKUP(bron[[#This Row],[personeelsnr]],'data hastus'!$A:$C,2,0)</f>
        <v>Shinwari</v>
      </c>
      <c r="D709" t="str">
        <f>VLOOKUP(bron[[#This Row],[personeelsnr]],'data hastus'!$A:$C,3,0)</f>
        <v>Yasin</v>
      </c>
      <c r="E709" t="str">
        <f>VLOOKUP(bron[[#This Row],[personeelsnr]],'data hastus'!A:K,11,FALSE)</f>
        <v>Christoff Rotty</v>
      </c>
      <c r="F709" s="10"/>
      <c r="G709" s="7"/>
      <c r="H709" s="7">
        <v>1</v>
      </c>
      <c r="I709" s="7"/>
      <c r="S709" s="5">
        <f>SUM(bron[[#This Row],[Januari]:[December]])</f>
        <v>1</v>
      </c>
      <c r="T709" s="9">
        <v>45350</v>
      </c>
      <c r="U709" s="8" t="s">
        <v>346</v>
      </c>
      <c r="V709" s="8">
        <v>1</v>
      </c>
      <c r="W709" s="8"/>
      <c r="X709" t="s">
        <v>57</v>
      </c>
      <c r="Y709" t="s">
        <v>49</v>
      </c>
    </row>
    <row r="710" spans="1:25" x14ac:dyDescent="0.25">
      <c r="A710">
        <v>24367</v>
      </c>
      <c r="B710" t="e">
        <f>_xlfn.CONCAT([2]!bron[[#This Row],[personeelsnr]]," ",C710," ",D710)</f>
        <v>#REF!</v>
      </c>
      <c r="C710" t="str">
        <f>VLOOKUP(bron[[#This Row],[personeelsnr]],'data hastus'!$A:$C,2,0)</f>
        <v>Tayefeh Arbab</v>
      </c>
      <c r="D710" t="str">
        <f>VLOOKUP(bron[[#This Row],[personeelsnr]],'data hastus'!$A:$C,3,0)</f>
        <v>Ali</v>
      </c>
      <c r="E710" t="str">
        <f>VLOOKUP(bron[[#This Row],[personeelsnr]],'data hastus'!A:K,11,FALSE)</f>
        <v>Bart Van Der Beken</v>
      </c>
      <c r="F710" s="10"/>
      <c r="G710" s="7"/>
      <c r="H710" s="7">
        <v>1</v>
      </c>
      <c r="I710" s="7"/>
      <c r="S710" s="5">
        <f>SUM(bron[[#This Row],[Januari]:[December]])</f>
        <v>1</v>
      </c>
      <c r="T710" s="9">
        <v>45350</v>
      </c>
      <c r="U710" s="8" t="s">
        <v>347</v>
      </c>
      <c r="V710" s="8">
        <v>1</v>
      </c>
      <c r="W710" s="8"/>
      <c r="X710" t="s">
        <v>57</v>
      </c>
      <c r="Y710" t="s">
        <v>24</v>
      </c>
    </row>
    <row r="711" spans="1:25" x14ac:dyDescent="0.25">
      <c r="A711">
        <v>35120</v>
      </c>
      <c r="B711" t="e">
        <f>_xlfn.CONCAT([2]!bron[[#This Row],[personeelsnr]]," ",C711," ",D711)</f>
        <v>#REF!</v>
      </c>
      <c r="C711" t="str">
        <f>VLOOKUP(bron[[#This Row],[personeelsnr]],'data hastus'!$A:$C,2,0)</f>
        <v>Delcourt</v>
      </c>
      <c r="D711" t="str">
        <f>VLOOKUP(bron[[#This Row],[personeelsnr]],'data hastus'!$A:$C,3,0)</f>
        <v>Daniel</v>
      </c>
      <c r="E711" t="str">
        <f>VLOOKUP(bron[[#This Row],[personeelsnr]],'data hastus'!A:K,11,FALSE)</f>
        <v>Els Dewulf</v>
      </c>
      <c r="F711" s="10"/>
      <c r="G711" s="7"/>
      <c r="H711" s="7">
        <v>1</v>
      </c>
      <c r="I711" s="7"/>
      <c r="S711" s="5">
        <f>SUM(bron[[#This Row],[Januari]:[December]])</f>
        <v>1</v>
      </c>
      <c r="T711" s="9">
        <v>45349</v>
      </c>
      <c r="U711" s="8" t="s">
        <v>344</v>
      </c>
      <c r="V711" s="8">
        <v>1</v>
      </c>
      <c r="W711" s="8"/>
      <c r="X711" t="s">
        <v>57</v>
      </c>
      <c r="Y711" t="s">
        <v>18</v>
      </c>
    </row>
    <row r="712" spans="1:25" x14ac:dyDescent="0.25">
      <c r="A712">
        <v>38475</v>
      </c>
      <c r="B712" t="e">
        <f>_xlfn.CONCAT([2]!bron[[#This Row],[personeelsnr]]," ",C712," ",D712)</f>
        <v>#REF!</v>
      </c>
      <c r="C712" t="str">
        <f>VLOOKUP(bron[[#This Row],[personeelsnr]],'data hastus'!$A:$C,2,0)</f>
        <v>Verschraegen</v>
      </c>
      <c r="D712" t="str">
        <f>VLOOKUP(bron[[#This Row],[personeelsnr]],'data hastus'!$A:$C,3,0)</f>
        <v>Katleen</v>
      </c>
      <c r="E712" t="str">
        <f>VLOOKUP(bron[[#This Row],[personeelsnr]],'data hastus'!A:K,11,FALSE)</f>
        <v>Els Dewulf</v>
      </c>
      <c r="F712" s="10"/>
      <c r="G712" s="7"/>
      <c r="H712" s="7">
        <v>1</v>
      </c>
      <c r="I712" s="7"/>
      <c r="S712" s="5">
        <f>SUM(bron[[#This Row],[Januari]:[December]])</f>
        <v>1</v>
      </c>
      <c r="T712" s="9">
        <v>45345</v>
      </c>
      <c r="U712" s="8" t="s">
        <v>343</v>
      </c>
      <c r="V712" s="8">
        <v>1</v>
      </c>
      <c r="W712" s="8"/>
      <c r="X712" t="s">
        <v>57</v>
      </c>
      <c r="Y712" t="s">
        <v>23</v>
      </c>
    </row>
    <row r="713" spans="1:25" x14ac:dyDescent="0.25">
      <c r="A713">
        <v>36569</v>
      </c>
      <c r="B713" t="e">
        <f>_xlfn.CONCAT([2]!bron[[#This Row],[personeelsnr]]," ",C713," ",D713)</f>
        <v>#REF!</v>
      </c>
      <c r="C713" t="str">
        <f>VLOOKUP(bron[[#This Row],[personeelsnr]],'data hastus'!$A:$C,2,0)</f>
        <v>Stroobandt</v>
      </c>
      <c r="D713" t="str">
        <f>VLOOKUP(bron[[#This Row],[personeelsnr]],'data hastus'!$A:$C,3,0)</f>
        <v>Jonas</v>
      </c>
      <c r="E713" t="str">
        <f>VLOOKUP(bron[[#This Row],[personeelsnr]],'data hastus'!A:K,11,FALSE)</f>
        <v>Els Vanhoe</v>
      </c>
      <c r="F713" s="10"/>
      <c r="G713" s="7"/>
      <c r="H713" s="7">
        <v>1</v>
      </c>
      <c r="I713" s="7"/>
      <c r="S713" s="5">
        <f>SUM(bron[[#This Row],[Januari]:[December]])</f>
        <v>1</v>
      </c>
      <c r="T713" s="9">
        <v>45344</v>
      </c>
      <c r="U713" s="8" t="s">
        <v>340</v>
      </c>
      <c r="V713" s="8">
        <v>1</v>
      </c>
      <c r="W713" s="8"/>
      <c r="X713" t="s">
        <v>57</v>
      </c>
      <c r="Y713" t="s">
        <v>31</v>
      </c>
    </row>
    <row r="714" spans="1:25" x14ac:dyDescent="0.25">
      <c r="A714">
        <v>32369</v>
      </c>
      <c r="B714" t="e">
        <f>_xlfn.CONCAT([2]!bron[[#This Row],[personeelsnr]]," ",C714," ",D714)</f>
        <v>#REF!</v>
      </c>
      <c r="C714" t="str">
        <f>VLOOKUP(bron[[#This Row],[personeelsnr]],'data hastus'!$A:$C,2,0)</f>
        <v>Vandenborre</v>
      </c>
      <c r="D714" t="str">
        <f>VLOOKUP(bron[[#This Row],[personeelsnr]],'data hastus'!$A:$C,3,0)</f>
        <v>Patrick</v>
      </c>
      <c r="E714" t="str">
        <f>VLOOKUP(bron[[#This Row],[personeelsnr]],'data hastus'!A:K,11,FALSE)</f>
        <v>Els Vanhoe</v>
      </c>
      <c r="F714" s="10"/>
      <c r="G714" s="7"/>
      <c r="H714" s="7">
        <v>1</v>
      </c>
      <c r="I714" s="7"/>
      <c r="S714" s="5">
        <f>SUM(bron[[#This Row],[Januari]:[December]])</f>
        <v>1</v>
      </c>
      <c r="T714" s="9">
        <v>45344</v>
      </c>
      <c r="U714" s="8" t="s">
        <v>341</v>
      </c>
      <c r="V714" s="8">
        <v>1</v>
      </c>
      <c r="W714" s="8"/>
      <c r="X714" t="s">
        <v>57</v>
      </c>
      <c r="Y714" t="s">
        <v>21</v>
      </c>
    </row>
    <row r="715" spans="1:25" x14ac:dyDescent="0.25">
      <c r="A715">
        <v>27713</v>
      </c>
      <c r="B715" t="e">
        <f>_xlfn.CONCAT([2]!bron[[#This Row],[personeelsnr]]," ",C715," ",D715)</f>
        <v>#REF!</v>
      </c>
      <c r="C715" t="str">
        <f>VLOOKUP(bron[[#This Row],[personeelsnr]],'data hastus'!$A:$C,2,0)</f>
        <v>Parmentier</v>
      </c>
      <c r="D715" t="str">
        <f>VLOOKUP(bron[[#This Row],[personeelsnr]],'data hastus'!$A:$C,3,0)</f>
        <v>Bart</v>
      </c>
      <c r="E715" t="str">
        <f>VLOOKUP(bron[[#This Row],[personeelsnr]],'data hastus'!A:K,11,FALSE)</f>
        <v>Els Dewulf</v>
      </c>
      <c r="F715" s="10"/>
      <c r="G715" s="7"/>
      <c r="H715" s="7">
        <v>1</v>
      </c>
      <c r="I715" s="7"/>
      <c r="S715" s="5">
        <f>SUM(bron[[#This Row],[Januari]:[December]])</f>
        <v>1</v>
      </c>
      <c r="T715" s="9">
        <v>45344</v>
      </c>
      <c r="U715" s="8" t="s">
        <v>342</v>
      </c>
      <c r="V715" s="8"/>
      <c r="W715" s="8">
        <v>1</v>
      </c>
      <c r="X715" t="s">
        <v>58</v>
      </c>
      <c r="Y715" t="s">
        <v>37</v>
      </c>
    </row>
    <row r="716" spans="1:25" x14ac:dyDescent="0.25">
      <c r="A716">
        <v>25994</v>
      </c>
      <c r="B716" t="e">
        <f>_xlfn.CONCAT([2]!bron[[#This Row],[personeelsnr]]," ",C716," ",D716)</f>
        <v>#REF!</v>
      </c>
      <c r="C716" t="str">
        <f>VLOOKUP(bron[[#This Row],[personeelsnr]],'data hastus'!$A:$C,2,0)</f>
        <v>Peers</v>
      </c>
      <c r="D716" t="str">
        <f>VLOOKUP(bron[[#This Row],[personeelsnr]],'data hastus'!$A:$C,3,0)</f>
        <v>Mario</v>
      </c>
      <c r="E716" t="str">
        <f>VLOOKUP(bron[[#This Row],[personeelsnr]],'data hastus'!A:K,11,FALSE)</f>
        <v>Els Dewulf</v>
      </c>
      <c r="F716" s="10"/>
      <c r="G716" s="7"/>
      <c r="H716" s="7">
        <v>1</v>
      </c>
      <c r="I716" s="7"/>
      <c r="S716" s="5">
        <f>SUM(bron[[#This Row],[Januari]:[December]])</f>
        <v>1</v>
      </c>
      <c r="T716" s="9">
        <v>45343</v>
      </c>
      <c r="U716" s="8" t="s">
        <v>339</v>
      </c>
      <c r="V716" s="8">
        <v>1</v>
      </c>
      <c r="W716" s="8"/>
      <c r="X716" t="s">
        <v>57</v>
      </c>
      <c r="Y716" t="s">
        <v>119</v>
      </c>
    </row>
    <row r="717" spans="1:25" x14ac:dyDescent="0.25">
      <c r="A717">
        <v>13345</v>
      </c>
      <c r="B717" t="e">
        <f>_xlfn.CONCAT([2]!bron[[#This Row],[personeelsnr]]," ",C717," ",D717)</f>
        <v>#REF!</v>
      </c>
      <c r="C717" t="str">
        <f>VLOOKUP(bron[[#This Row],[personeelsnr]],'data hastus'!$A:$C,2,0)</f>
        <v>Schijvens</v>
      </c>
      <c r="D717" t="str">
        <f>VLOOKUP(bron[[#This Row],[personeelsnr]],'data hastus'!$A:$C,3,0)</f>
        <v>Ronny</v>
      </c>
      <c r="E717" t="str">
        <f>VLOOKUP(bron[[#This Row],[personeelsnr]],'data hastus'!A:K,11,FALSE)</f>
        <v>Kenneth De Rick</v>
      </c>
      <c r="F717" s="10"/>
      <c r="G717" s="7"/>
      <c r="H717" s="7">
        <v>1</v>
      </c>
      <c r="I717" s="7"/>
      <c r="S717" s="5">
        <f>SUM(bron[[#This Row],[Januari]:[December]])</f>
        <v>1</v>
      </c>
      <c r="T717" s="9">
        <v>45342</v>
      </c>
      <c r="U717" s="8" t="s">
        <v>337</v>
      </c>
      <c r="V717" s="8">
        <v>1</v>
      </c>
      <c r="W717" s="8"/>
      <c r="X717" t="s">
        <v>57</v>
      </c>
      <c r="Y717" t="s">
        <v>39</v>
      </c>
    </row>
    <row r="718" spans="1:25" x14ac:dyDescent="0.25">
      <c r="A718">
        <v>39779</v>
      </c>
      <c r="B718" t="e">
        <f>_xlfn.CONCAT([2]!bron[[#This Row],[personeelsnr]]," ",C718," ",D718)</f>
        <v>#REF!</v>
      </c>
      <c r="C718" t="str">
        <f>VLOOKUP(bron[[#This Row],[personeelsnr]],'data hastus'!$A:$C,2,0)</f>
        <v>Avci</v>
      </c>
      <c r="D718" t="str">
        <f>VLOOKUP(bron[[#This Row],[personeelsnr]],'data hastus'!$A:$C,3,0)</f>
        <v>Muhammet Abdullah</v>
      </c>
      <c r="E718" t="str">
        <f>VLOOKUP(bron[[#This Row],[personeelsnr]],'data hastus'!A:K,11,FALSE)</f>
        <v>Bart Van Der Beken</v>
      </c>
      <c r="F718" s="10"/>
      <c r="G718" s="7"/>
      <c r="H718" s="7">
        <v>1</v>
      </c>
      <c r="I718" s="7"/>
      <c r="S718" s="5">
        <f>SUM(bron[[#This Row],[Januari]:[December]])</f>
        <v>1</v>
      </c>
      <c r="T718" s="9">
        <v>45342</v>
      </c>
      <c r="U718" s="8" t="s">
        <v>338</v>
      </c>
      <c r="V718" s="8">
        <v>1</v>
      </c>
      <c r="W718" s="8"/>
      <c r="X718" t="s">
        <v>57</v>
      </c>
      <c r="Y718" t="s">
        <v>41</v>
      </c>
    </row>
    <row r="719" spans="1:25" x14ac:dyDescent="0.25">
      <c r="A719">
        <v>21582</v>
      </c>
      <c r="B719" t="e">
        <f>_xlfn.CONCAT([2]!bron[[#This Row],[personeelsnr]]," ",C719," ",D719)</f>
        <v>#REF!</v>
      </c>
      <c r="C719" t="str">
        <f>VLOOKUP(bron[[#This Row],[personeelsnr]],'data hastus'!$A:$C,2,0)</f>
        <v>De Grom</v>
      </c>
      <c r="D719" t="str">
        <f>VLOOKUP(bron[[#This Row],[personeelsnr]],'data hastus'!$A:$C,3,0)</f>
        <v>Patrick</v>
      </c>
      <c r="E719" t="str">
        <f>VLOOKUP(bron[[#This Row],[personeelsnr]],'data hastus'!A:K,11,FALSE)</f>
        <v>Steven Storm</v>
      </c>
      <c r="F719" s="10"/>
      <c r="G719" s="7"/>
      <c r="H719" s="7">
        <v>1</v>
      </c>
      <c r="I719" s="7"/>
      <c r="S719" s="5">
        <f>SUM(bron[[#This Row],[Januari]:[December]])</f>
        <v>1</v>
      </c>
      <c r="T719" s="9">
        <v>45341</v>
      </c>
      <c r="U719" s="8" t="s">
        <v>335</v>
      </c>
      <c r="V719" s="8"/>
      <c r="W719" s="8">
        <v>1</v>
      </c>
      <c r="X719" t="s">
        <v>58</v>
      </c>
      <c r="Y719" t="s">
        <v>68</v>
      </c>
    </row>
    <row r="720" spans="1:25" x14ac:dyDescent="0.25">
      <c r="A720">
        <v>34325</v>
      </c>
      <c r="B720" t="e">
        <f>_xlfn.CONCAT([2]!bron[[#This Row],[personeelsnr]]," ",C720," ",D720)</f>
        <v>#REF!</v>
      </c>
      <c r="C720" t="str">
        <f>VLOOKUP(bron[[#This Row],[personeelsnr]],'data hastus'!$A:$C,2,0)</f>
        <v>Eid</v>
      </c>
      <c r="D720" t="str">
        <f>VLOOKUP(bron[[#This Row],[personeelsnr]],'data hastus'!$A:$C,3,0)</f>
        <v>Mathyn</v>
      </c>
      <c r="E720" t="str">
        <f>VLOOKUP(bron[[#This Row],[personeelsnr]],'data hastus'!A:K,11,FALSE)</f>
        <v>Steven Storm</v>
      </c>
      <c r="F720" s="10"/>
      <c r="G720" s="7"/>
      <c r="H720" s="7">
        <v>1</v>
      </c>
      <c r="I720" s="7"/>
      <c r="S720" s="5">
        <f>SUM(bron[[#This Row],[Januari]:[December]])</f>
        <v>1</v>
      </c>
      <c r="T720" s="9">
        <v>45341</v>
      </c>
      <c r="U720" s="8" t="s">
        <v>336</v>
      </c>
      <c r="V720" s="8"/>
      <c r="W720" s="8">
        <v>1</v>
      </c>
      <c r="X720" t="s">
        <v>58</v>
      </c>
      <c r="Y720" t="s">
        <v>167</v>
      </c>
    </row>
    <row r="721" spans="1:25" x14ac:dyDescent="0.25">
      <c r="A721">
        <v>36275</v>
      </c>
      <c r="B721" t="e">
        <f>_xlfn.CONCAT([2]!bron[[#This Row],[personeelsnr]]," ",C721," ",D721)</f>
        <v>#REF!</v>
      </c>
      <c r="C721" t="str">
        <f>VLOOKUP(bron[[#This Row],[personeelsnr]],'data hastus'!$A:$C,2,0)</f>
        <v>Acosta Salinas</v>
      </c>
      <c r="D721" t="str">
        <f>VLOOKUP(bron[[#This Row],[personeelsnr]],'data hastus'!$A:$C,3,0)</f>
        <v>Benigna</v>
      </c>
      <c r="E721" t="str">
        <f>VLOOKUP(bron[[#This Row],[personeelsnr]],'data hastus'!A:K,11,FALSE)</f>
        <v>Dominique De Clercq</v>
      </c>
      <c r="F721" s="10"/>
      <c r="G721" s="7"/>
      <c r="H721" s="7">
        <v>1</v>
      </c>
      <c r="I721" s="7"/>
      <c r="S721" s="5">
        <f>SUM(bron[[#This Row],[Januari]:[December]])</f>
        <v>1</v>
      </c>
      <c r="T721" s="9">
        <v>45339</v>
      </c>
      <c r="U721" s="8" t="s">
        <v>332</v>
      </c>
      <c r="V721" s="8">
        <v>1</v>
      </c>
      <c r="W721" s="8"/>
      <c r="X721" t="s">
        <v>57</v>
      </c>
      <c r="Y721" t="s">
        <v>99</v>
      </c>
    </row>
    <row r="722" spans="1:25" x14ac:dyDescent="0.25">
      <c r="A722">
        <v>37261</v>
      </c>
      <c r="B722" t="e">
        <f>_xlfn.CONCAT([2]!bron[[#This Row],[personeelsnr]]," ",C722," ",D722)</f>
        <v>#REF!</v>
      </c>
      <c r="C722" t="str">
        <f>VLOOKUP(bron[[#This Row],[personeelsnr]],'data hastus'!$A:$C,2,0)</f>
        <v>Van Wayenbergh</v>
      </c>
      <c r="D722" t="str">
        <f>VLOOKUP(bron[[#This Row],[personeelsnr]],'data hastus'!$A:$C,3,0)</f>
        <v>Yordi</v>
      </c>
      <c r="E722" t="str">
        <f>VLOOKUP(bron[[#This Row],[personeelsnr]],'data hastus'!A:K,11,FALSE)</f>
        <v>Dominique De Clercq</v>
      </c>
      <c r="F722" s="10"/>
      <c r="G722" s="7"/>
      <c r="H722" s="7">
        <v>1</v>
      </c>
      <c r="I722" s="7"/>
      <c r="S722" s="5">
        <f>SUM(bron[[#This Row],[Januari]:[December]])</f>
        <v>1</v>
      </c>
      <c r="T722" s="9">
        <v>45339</v>
      </c>
      <c r="U722" s="8" t="s">
        <v>333</v>
      </c>
      <c r="V722" s="8">
        <v>1</v>
      </c>
      <c r="W722" s="8"/>
      <c r="X722" t="s">
        <v>57</v>
      </c>
      <c r="Y722" t="s">
        <v>226</v>
      </c>
    </row>
    <row r="723" spans="1:25" x14ac:dyDescent="0.25">
      <c r="A723">
        <v>39358</v>
      </c>
      <c r="B723" t="e">
        <f>_xlfn.CONCAT([2]!bron[[#This Row],[personeelsnr]]," ",C723," ",D723)</f>
        <v>#REF!</v>
      </c>
      <c r="C723" t="str">
        <f>VLOOKUP(bron[[#This Row],[personeelsnr]],'data hastus'!$A:$C,2,0)</f>
        <v>Weeks Aracena</v>
      </c>
      <c r="D723" t="str">
        <f>VLOOKUP(bron[[#This Row],[personeelsnr]],'data hastus'!$A:$C,3,0)</f>
        <v>Jimmy Alexander</v>
      </c>
      <c r="E723" t="str">
        <f>VLOOKUP(bron[[#This Row],[personeelsnr]],'data hastus'!A:K,11,FALSE)</f>
        <v>Christoff Rotty</v>
      </c>
      <c r="F723" s="10"/>
      <c r="G723" s="7"/>
      <c r="H723" s="7">
        <v>1</v>
      </c>
      <c r="I723" s="7"/>
      <c r="S723" s="5">
        <f>SUM(bron[[#This Row],[Januari]:[December]])</f>
        <v>1</v>
      </c>
      <c r="T723" s="9">
        <v>45339</v>
      </c>
      <c r="U723" s="8" t="s">
        <v>334</v>
      </c>
      <c r="V723" s="8">
        <v>1</v>
      </c>
      <c r="W723" s="8"/>
      <c r="X723" t="s">
        <v>57</v>
      </c>
      <c r="Y723" t="s">
        <v>92</v>
      </c>
    </row>
    <row r="724" spans="1:25" x14ac:dyDescent="0.25">
      <c r="A724">
        <v>31668</v>
      </c>
      <c r="B724" t="e">
        <f>_xlfn.CONCAT([2]!bron[[#This Row],[personeelsnr]]," ",C724," ",D724)</f>
        <v>#REF!</v>
      </c>
      <c r="C724" t="str">
        <f>VLOOKUP(bron[[#This Row],[personeelsnr]],'data hastus'!$A:$C,2,0)</f>
        <v>Weemhof</v>
      </c>
      <c r="D724" t="str">
        <f>VLOOKUP(bron[[#This Row],[personeelsnr]],'data hastus'!$A:$C,3,0)</f>
        <v>Maurice</v>
      </c>
      <c r="E724" t="str">
        <f>VLOOKUP(bron[[#This Row],[personeelsnr]],'data hastus'!A:K,11,FALSE)</f>
        <v>Dominique De Clercq</v>
      </c>
      <c r="F724" s="10"/>
      <c r="G724" s="7"/>
      <c r="H724" s="7">
        <v>1</v>
      </c>
      <c r="I724" s="7"/>
      <c r="S724" s="5">
        <f>SUM(bron[[#This Row],[Januari]:[December]])</f>
        <v>1</v>
      </c>
      <c r="T724" s="9">
        <v>45338</v>
      </c>
      <c r="U724" s="8" t="s">
        <v>331</v>
      </c>
      <c r="V724" s="8">
        <v>1</v>
      </c>
      <c r="W724" s="8"/>
      <c r="X724" t="s">
        <v>57</v>
      </c>
      <c r="Y724" t="s">
        <v>18</v>
      </c>
    </row>
    <row r="725" spans="1:25" x14ac:dyDescent="0.25">
      <c r="A725">
        <v>36635</v>
      </c>
      <c r="B725" t="e">
        <f>_xlfn.CONCAT([2]!bron[[#This Row],[personeelsnr]]," ",C725," ",D725)</f>
        <v>#REF!</v>
      </c>
      <c r="C725" t="str">
        <f>VLOOKUP(bron[[#This Row],[personeelsnr]],'data hastus'!$A:$C,2,0)</f>
        <v>Fadel</v>
      </c>
      <c r="D725" t="str">
        <f>VLOOKUP(bron[[#This Row],[personeelsnr]],'data hastus'!$A:$C,3,0)</f>
        <v>Husam</v>
      </c>
      <c r="E725" t="str">
        <f>VLOOKUP(bron[[#This Row],[personeelsnr]],'data hastus'!A:K,11,FALSE)</f>
        <v>Kenneth De Rick</v>
      </c>
      <c r="F725" s="10"/>
      <c r="G725" s="7"/>
      <c r="H725" s="7">
        <v>1</v>
      </c>
      <c r="I725" s="7"/>
      <c r="S725" s="5">
        <f>SUM(bron[[#This Row],[Januari]:[December]])</f>
        <v>1</v>
      </c>
      <c r="T725" s="9">
        <v>45337</v>
      </c>
      <c r="U725" s="8" t="s">
        <v>329</v>
      </c>
      <c r="V725" s="8">
        <v>1</v>
      </c>
      <c r="W725" s="8"/>
      <c r="X725" t="s">
        <v>57</v>
      </c>
      <c r="Y725" t="s">
        <v>55</v>
      </c>
    </row>
    <row r="726" spans="1:25" x14ac:dyDescent="0.25">
      <c r="A726">
        <v>35055</v>
      </c>
      <c r="B726" t="e">
        <f>_xlfn.CONCAT([2]!bron[[#This Row],[personeelsnr]]," ",C726," ",D726)</f>
        <v>#REF!</v>
      </c>
      <c r="C726" t="str">
        <f>VLOOKUP(bron[[#This Row],[personeelsnr]],'data hastus'!$A:$C,2,0)</f>
        <v>Kocabas</v>
      </c>
      <c r="D726" t="str">
        <f>VLOOKUP(bron[[#This Row],[personeelsnr]],'data hastus'!$A:$C,3,0)</f>
        <v>Abdülkadir</v>
      </c>
      <c r="E726" t="str">
        <f>VLOOKUP(bron[[#This Row],[personeelsnr]],'data hastus'!A:K,11,FALSE)</f>
        <v>Els Vanhoe</v>
      </c>
      <c r="F726" s="10"/>
      <c r="G726" s="7"/>
      <c r="H726" s="7">
        <v>1</v>
      </c>
      <c r="I726" s="7"/>
      <c r="S726" s="5">
        <f>SUM(bron[[#This Row],[Januari]:[December]])</f>
        <v>1</v>
      </c>
      <c r="T726" s="9">
        <v>45337</v>
      </c>
      <c r="U726" s="8" t="s">
        <v>330</v>
      </c>
      <c r="V726" s="8">
        <v>1</v>
      </c>
      <c r="W726" s="8"/>
      <c r="X726" t="s">
        <v>57</v>
      </c>
      <c r="Y726" t="s">
        <v>35</v>
      </c>
    </row>
    <row r="727" spans="1:25" x14ac:dyDescent="0.25">
      <c r="A727">
        <v>9999</v>
      </c>
      <c r="B727" t="str">
        <f>_xlfn.CONCAT([2]!bron[[#This Row],[personeelsnr]]," ",C727," ",D727)</f>
        <v>9999 - -</v>
      </c>
      <c r="C727" t="s">
        <v>2919</v>
      </c>
      <c r="D727" t="s">
        <v>2919</v>
      </c>
      <c r="E727" t="s">
        <v>810</v>
      </c>
      <c r="F727" s="10"/>
      <c r="G727" s="7"/>
      <c r="H727" s="7">
        <v>1</v>
      </c>
      <c r="I727" s="7"/>
      <c r="S727" s="5">
        <f>SUM(bron[[#This Row],[Januari]:[December]])</f>
        <v>1</v>
      </c>
      <c r="T727" s="9">
        <v>45336</v>
      </c>
      <c r="U727" s="8" t="s">
        <v>328</v>
      </c>
      <c r="V727" s="8">
        <v>1</v>
      </c>
      <c r="W727" s="8"/>
      <c r="X727" t="s">
        <v>57</v>
      </c>
      <c r="Y727" t="s">
        <v>119</v>
      </c>
    </row>
    <row r="728" spans="1:25" x14ac:dyDescent="0.25">
      <c r="A728">
        <v>39779</v>
      </c>
      <c r="B728" t="e">
        <f>_xlfn.CONCAT([2]!bron[[#This Row],[personeelsnr]]," ",C728," ",D728)</f>
        <v>#REF!</v>
      </c>
      <c r="C728" t="str">
        <f>VLOOKUP(bron[[#This Row],[personeelsnr]],'data hastus'!$A:$C,2,0)</f>
        <v>Avci</v>
      </c>
      <c r="D728" t="str">
        <f>VLOOKUP(bron[[#This Row],[personeelsnr]],'data hastus'!$A:$C,3,0)</f>
        <v>Muhammet Abdullah</v>
      </c>
      <c r="E728" t="str">
        <f>VLOOKUP(bron[[#This Row],[personeelsnr]],'data hastus'!A:K,11,FALSE)</f>
        <v>Bart Van Der Beken</v>
      </c>
      <c r="F728" s="10"/>
      <c r="G728" s="7"/>
      <c r="H728" s="7">
        <v>1</v>
      </c>
      <c r="I728" s="7"/>
      <c r="S728" s="5">
        <f>SUM(bron[[#This Row],[Januari]:[December]])</f>
        <v>1</v>
      </c>
      <c r="T728" s="9">
        <v>45335</v>
      </c>
      <c r="U728" s="8" t="s">
        <v>327</v>
      </c>
      <c r="V728" s="8">
        <v>1</v>
      </c>
      <c r="W728" s="8"/>
      <c r="X728" t="s">
        <v>57</v>
      </c>
      <c r="Y728" t="s">
        <v>18</v>
      </c>
    </row>
    <row r="729" spans="1:25" x14ac:dyDescent="0.25">
      <c r="A729">
        <v>36289</v>
      </c>
      <c r="B729" t="e">
        <f>_xlfn.CONCAT([2]!bron[[#This Row],[personeelsnr]]," ",C729," ",D729)</f>
        <v>#REF!</v>
      </c>
      <c r="C729" t="str">
        <f>VLOOKUP(bron[[#This Row],[personeelsnr]],'data hastus'!$A:$C,2,0)</f>
        <v>Van Rentergem</v>
      </c>
      <c r="D729" t="str">
        <f>VLOOKUP(bron[[#This Row],[personeelsnr]],'data hastus'!$A:$C,3,0)</f>
        <v>Steve</v>
      </c>
      <c r="E729" t="str">
        <f>VLOOKUP(bron[[#This Row],[personeelsnr]],'data hastus'!A:K,11,FALSE)</f>
        <v>Els Vanhoe</v>
      </c>
      <c r="F729" s="10"/>
      <c r="G729" s="7"/>
      <c r="H729" s="7">
        <v>1</v>
      </c>
      <c r="I729" s="7"/>
      <c r="S729" s="5">
        <f>SUM(bron[[#This Row],[Januari]:[December]])</f>
        <v>1</v>
      </c>
      <c r="T729" s="9">
        <v>45331</v>
      </c>
      <c r="U729" s="8" t="s">
        <v>326</v>
      </c>
      <c r="V729" s="8">
        <v>1</v>
      </c>
      <c r="W729" s="8"/>
      <c r="X729" t="s">
        <v>57</v>
      </c>
      <c r="Y729" t="s">
        <v>29</v>
      </c>
    </row>
    <row r="730" spans="1:25" x14ac:dyDescent="0.25">
      <c r="A730">
        <v>38529</v>
      </c>
      <c r="B730" t="e">
        <f>_xlfn.CONCAT([2]!bron[[#This Row],[personeelsnr]]," ",C730," ",D730)</f>
        <v>#REF!</v>
      </c>
      <c r="C730" t="str">
        <f>VLOOKUP(bron[[#This Row],[personeelsnr]],'data hastus'!$A:$C,2,0)</f>
        <v>Huyghe</v>
      </c>
      <c r="D730" t="str">
        <f>VLOOKUP(bron[[#This Row],[personeelsnr]],'data hastus'!$A:$C,3,0)</f>
        <v>Jan</v>
      </c>
      <c r="E730" t="str">
        <f>VLOOKUP(bron[[#This Row],[personeelsnr]],'data hastus'!A:K,11,FALSE)</f>
        <v>Els Dewulf</v>
      </c>
      <c r="F730" s="10"/>
      <c r="G730" s="7"/>
      <c r="H730" s="7">
        <v>1</v>
      </c>
      <c r="I730" s="7"/>
      <c r="S730" s="5">
        <f>SUM(bron[[#This Row],[Januari]:[December]])</f>
        <v>1</v>
      </c>
      <c r="T730" s="9">
        <v>45330</v>
      </c>
      <c r="U730" s="8" t="s">
        <v>324</v>
      </c>
      <c r="V730" s="8">
        <v>1</v>
      </c>
      <c r="W730" s="8"/>
      <c r="X730" t="s">
        <v>57</v>
      </c>
      <c r="Y730" t="s">
        <v>18</v>
      </c>
    </row>
    <row r="731" spans="1:25" x14ac:dyDescent="0.25">
      <c r="A731">
        <v>10324</v>
      </c>
      <c r="B731" t="e">
        <f>_xlfn.CONCAT([2]!bron[[#This Row],[personeelsnr]]," ",C731," ",D731)</f>
        <v>#REF!</v>
      </c>
      <c r="C731" t="str">
        <f>VLOOKUP(bron[[#This Row],[personeelsnr]],'data hastus'!$A:$C,2,0)</f>
        <v>Eggermont</v>
      </c>
      <c r="D731" t="str">
        <f>VLOOKUP(bron[[#This Row],[personeelsnr]],'data hastus'!$A:$C,3,0)</f>
        <v>Wim</v>
      </c>
      <c r="E731" t="str">
        <f>VLOOKUP(bron[[#This Row],[personeelsnr]],'data hastus'!A:K,11,FALSE)</f>
        <v>Bart Van Der Beken</v>
      </c>
      <c r="F731" s="10"/>
      <c r="G731" s="7"/>
      <c r="H731" s="7">
        <v>1</v>
      </c>
      <c r="I731" s="7"/>
      <c r="S731" s="5">
        <f>SUM(bron[[#This Row],[Januari]:[December]])</f>
        <v>1</v>
      </c>
      <c r="T731" s="9">
        <v>45330</v>
      </c>
      <c r="U731" s="8" t="s">
        <v>325</v>
      </c>
      <c r="V731" s="8"/>
      <c r="W731" s="8">
        <v>1</v>
      </c>
      <c r="X731" t="s">
        <v>58</v>
      </c>
      <c r="Y731" t="s">
        <v>18</v>
      </c>
    </row>
    <row r="732" spans="1:25" x14ac:dyDescent="0.25">
      <c r="A732">
        <v>18987</v>
      </c>
      <c r="B732" t="e">
        <f>_xlfn.CONCAT([2]!bron[[#This Row],[personeelsnr]]," ",C732," ",D732)</f>
        <v>#REF!</v>
      </c>
      <c r="C732" t="str">
        <f>VLOOKUP(bron[[#This Row],[personeelsnr]],'data hastus'!$A:$C,2,0)</f>
        <v>De Geyter</v>
      </c>
      <c r="D732" t="str">
        <f>VLOOKUP(bron[[#This Row],[personeelsnr]],'data hastus'!$A:$C,3,0)</f>
        <v>Dolly</v>
      </c>
      <c r="E732" t="str">
        <f>VLOOKUP(bron[[#This Row],[personeelsnr]],'data hastus'!A:K,11,FALSE)</f>
        <v>Steven Storm</v>
      </c>
      <c r="F732" s="10"/>
      <c r="G732" s="7"/>
      <c r="H732" s="7">
        <v>1</v>
      </c>
      <c r="I732" s="7"/>
      <c r="S732" s="5">
        <f>SUM(bron[[#This Row],[Januari]:[December]])</f>
        <v>1</v>
      </c>
      <c r="T732" s="9">
        <v>45329</v>
      </c>
      <c r="U732" s="8" t="s">
        <v>322</v>
      </c>
      <c r="V732" s="8">
        <v>1</v>
      </c>
      <c r="W732" s="8"/>
      <c r="X732" t="s">
        <v>57</v>
      </c>
      <c r="Y732" t="s">
        <v>141</v>
      </c>
    </row>
    <row r="733" spans="1:25" x14ac:dyDescent="0.25">
      <c r="A733">
        <v>5813</v>
      </c>
      <c r="B733" t="e">
        <f>_xlfn.CONCAT([2]!bron[[#This Row],[personeelsnr]]," ",C733," ",D733)</f>
        <v>#REF!</v>
      </c>
      <c r="C733" t="str">
        <f>VLOOKUP(bron[[#This Row],[personeelsnr]],'data hastus'!$A:$C,2,0)</f>
        <v>Binard</v>
      </c>
      <c r="D733" t="str">
        <f>VLOOKUP(bron[[#This Row],[personeelsnr]],'data hastus'!$A:$C,3,0)</f>
        <v>Sabine</v>
      </c>
      <c r="E733" t="str">
        <f>VLOOKUP(bron[[#This Row],[personeelsnr]],'data hastus'!A:K,11,FALSE)</f>
        <v>Lucie Vande Velde</v>
      </c>
      <c r="F733" s="10"/>
      <c r="G733" s="7"/>
      <c r="H733" s="7">
        <v>1</v>
      </c>
      <c r="I733" s="7"/>
      <c r="S733" s="5">
        <f>SUM(bron[[#This Row],[Januari]:[December]])</f>
        <v>1</v>
      </c>
      <c r="T733" s="9">
        <v>45329</v>
      </c>
      <c r="U733" s="8" t="s">
        <v>323</v>
      </c>
      <c r="V733" s="8"/>
      <c r="W733" s="8">
        <v>1</v>
      </c>
      <c r="X733" t="s">
        <v>58</v>
      </c>
      <c r="Y733" t="s">
        <v>76</v>
      </c>
    </row>
    <row r="734" spans="1:25" x14ac:dyDescent="0.25">
      <c r="A734">
        <v>34198</v>
      </c>
      <c r="B734" t="e">
        <f>_xlfn.CONCAT([2]!bron[[#This Row],[personeelsnr]]," ",C734," ",D734)</f>
        <v>#REF!</v>
      </c>
      <c r="C734" t="str">
        <f>VLOOKUP(bron[[#This Row],[personeelsnr]],'data hastus'!$A:$C,2,0)</f>
        <v>Pelfrene</v>
      </c>
      <c r="D734" t="str">
        <f>VLOOKUP(bron[[#This Row],[personeelsnr]],'data hastus'!$A:$C,3,0)</f>
        <v>Toby</v>
      </c>
      <c r="E734" t="str">
        <f>VLOOKUP(bron[[#This Row],[personeelsnr]],'data hastus'!A:K,11,FALSE)</f>
        <v>Els Vanhoe</v>
      </c>
      <c r="F734" s="10"/>
      <c r="G734" s="7"/>
      <c r="H734" s="7">
        <v>1</v>
      </c>
      <c r="I734" s="7"/>
      <c r="S734" s="5">
        <f>SUM(bron[[#This Row],[Januari]:[December]])</f>
        <v>1</v>
      </c>
      <c r="T734" s="9">
        <v>45328</v>
      </c>
      <c r="U734" s="8" t="s">
        <v>321</v>
      </c>
      <c r="V734" s="8">
        <v>1</v>
      </c>
      <c r="W734" s="8"/>
      <c r="X734" t="s">
        <v>57</v>
      </c>
      <c r="Y734" t="s">
        <v>18</v>
      </c>
    </row>
    <row r="735" spans="1:25" x14ac:dyDescent="0.25">
      <c r="A735">
        <v>39358</v>
      </c>
      <c r="B735" t="e">
        <f>_xlfn.CONCAT([2]!bron[[#This Row],[personeelsnr]]," ",C735," ",D735)</f>
        <v>#REF!</v>
      </c>
      <c r="C735" t="str">
        <f>VLOOKUP(bron[[#This Row],[personeelsnr]],'data hastus'!$A:$C,2,0)</f>
        <v>Weeks Aracena</v>
      </c>
      <c r="D735" t="str">
        <f>VLOOKUP(bron[[#This Row],[personeelsnr]],'data hastus'!$A:$C,3,0)</f>
        <v>Jimmy Alexander</v>
      </c>
      <c r="E735" t="str">
        <f>VLOOKUP(bron[[#This Row],[personeelsnr]],'data hastus'!A:K,11,FALSE)</f>
        <v>Christoff Rotty</v>
      </c>
      <c r="F735" s="10"/>
      <c r="G735" s="7"/>
      <c r="H735" s="7">
        <v>1</v>
      </c>
      <c r="I735" s="7"/>
      <c r="S735" s="5">
        <f>SUM(bron[[#This Row],[Januari]:[December]])</f>
        <v>1</v>
      </c>
      <c r="T735" s="9">
        <v>45327</v>
      </c>
      <c r="U735" s="8" t="s">
        <v>320</v>
      </c>
      <c r="V735" s="8">
        <v>1</v>
      </c>
      <c r="W735" s="8"/>
      <c r="X735" t="s">
        <v>57</v>
      </c>
      <c r="Y735" t="s">
        <v>61</v>
      </c>
    </row>
    <row r="736" spans="1:25" x14ac:dyDescent="0.25">
      <c r="A736">
        <v>38529</v>
      </c>
      <c r="B736" t="e">
        <f>_xlfn.CONCAT([2]!bron[[#This Row],[personeelsnr]]," ",C736," ",D736)</f>
        <v>#REF!</v>
      </c>
      <c r="C736" t="str">
        <f>VLOOKUP(bron[[#This Row],[personeelsnr]],'data hastus'!$A:$C,2,0)</f>
        <v>Huyghe</v>
      </c>
      <c r="D736" t="str">
        <f>VLOOKUP(bron[[#This Row],[personeelsnr]],'data hastus'!$A:$C,3,0)</f>
        <v>Jan</v>
      </c>
      <c r="E736" t="str">
        <f>VLOOKUP(bron[[#This Row],[personeelsnr]],'data hastus'!A:K,11,FALSE)</f>
        <v>Els Dewulf</v>
      </c>
      <c r="F736" s="10"/>
      <c r="G736" s="7"/>
      <c r="H736" s="7">
        <v>1</v>
      </c>
      <c r="I736" s="7"/>
      <c r="S736" s="5">
        <f>SUM(bron[[#This Row],[Januari]:[December]])</f>
        <v>1</v>
      </c>
      <c r="T736" s="9">
        <v>45326</v>
      </c>
      <c r="U736" s="8" t="s">
        <v>316</v>
      </c>
      <c r="V736" s="8">
        <v>1</v>
      </c>
      <c r="W736" s="8"/>
      <c r="X736" t="s">
        <v>57</v>
      </c>
      <c r="Y736" t="s">
        <v>31</v>
      </c>
    </row>
    <row r="737" spans="1:25" x14ac:dyDescent="0.25">
      <c r="A737">
        <v>37564</v>
      </c>
      <c r="B737" t="e">
        <f>_xlfn.CONCAT([2]!bron[[#This Row],[personeelsnr]]," ",C737," ",D737)</f>
        <v>#REF!</v>
      </c>
      <c r="C737" t="str">
        <f>VLOOKUP(bron[[#This Row],[personeelsnr]],'data hastus'!$A:$C,2,0)</f>
        <v>Damlakhi</v>
      </c>
      <c r="D737" t="str">
        <f>VLOOKUP(bron[[#This Row],[personeelsnr]],'data hastus'!$A:$C,3,0)</f>
        <v>Nawras</v>
      </c>
      <c r="E737" t="str">
        <f>VLOOKUP(bron[[#This Row],[personeelsnr]],'data hastus'!A:K,11,FALSE)</f>
        <v>Els Vanhoe</v>
      </c>
      <c r="F737" s="10"/>
      <c r="G737" s="7"/>
      <c r="H737" s="7">
        <v>1</v>
      </c>
      <c r="I737" s="7"/>
      <c r="S737" s="5">
        <f>SUM(bron[[#This Row],[Januari]:[December]])</f>
        <v>1</v>
      </c>
      <c r="T737" s="9">
        <v>45326</v>
      </c>
      <c r="U737" s="8" t="s">
        <v>317</v>
      </c>
      <c r="V737" s="8">
        <v>1</v>
      </c>
      <c r="W737" s="8"/>
      <c r="X737" t="s">
        <v>57</v>
      </c>
      <c r="Y737" t="s">
        <v>22</v>
      </c>
    </row>
    <row r="738" spans="1:25" x14ac:dyDescent="0.25">
      <c r="A738">
        <v>38529</v>
      </c>
      <c r="B738" t="e">
        <f>_xlfn.CONCAT([2]!bron[[#This Row],[personeelsnr]]," ",C738," ",D738)</f>
        <v>#REF!</v>
      </c>
      <c r="C738" t="str">
        <f>VLOOKUP(bron[[#This Row],[personeelsnr]],'data hastus'!$A:$C,2,0)</f>
        <v>Huyghe</v>
      </c>
      <c r="D738" t="str">
        <f>VLOOKUP(bron[[#This Row],[personeelsnr]],'data hastus'!$A:$C,3,0)</f>
        <v>Jan</v>
      </c>
      <c r="E738" t="str">
        <f>VLOOKUP(bron[[#This Row],[personeelsnr]],'data hastus'!A:K,11,FALSE)</f>
        <v>Els Dewulf</v>
      </c>
      <c r="F738" s="10"/>
      <c r="G738" s="7"/>
      <c r="H738" s="7">
        <v>1</v>
      </c>
      <c r="I738" s="7"/>
      <c r="S738" s="5">
        <f>SUM(bron[[#This Row],[Januari]:[December]])</f>
        <v>1</v>
      </c>
      <c r="T738" s="9">
        <v>45326</v>
      </c>
      <c r="U738" s="8" t="s">
        <v>318</v>
      </c>
      <c r="V738" s="8">
        <v>1</v>
      </c>
      <c r="W738" s="8"/>
      <c r="X738" t="s">
        <v>57</v>
      </c>
      <c r="Y738" t="s">
        <v>211</v>
      </c>
    </row>
    <row r="739" spans="1:25" x14ac:dyDescent="0.25">
      <c r="A739">
        <v>27209</v>
      </c>
      <c r="B739" t="e">
        <f>_xlfn.CONCAT([2]!bron[[#This Row],[personeelsnr]]," ",C739," ",D739)</f>
        <v>#REF!</v>
      </c>
      <c r="C739" t="str">
        <f>VLOOKUP(bron[[#This Row],[personeelsnr]],'data hastus'!$A:$C,2,0)</f>
        <v>Meyvaert</v>
      </c>
      <c r="D739" t="str">
        <f>VLOOKUP(bron[[#This Row],[personeelsnr]],'data hastus'!$A:$C,3,0)</f>
        <v>Steven</v>
      </c>
      <c r="E739" t="str">
        <f>VLOOKUP(bron[[#This Row],[personeelsnr]],'data hastus'!A:K,11,FALSE)</f>
        <v>Els Dewulf</v>
      </c>
      <c r="F739" s="10"/>
      <c r="G739" s="7"/>
      <c r="H739" s="7">
        <v>1</v>
      </c>
      <c r="I739" s="7"/>
      <c r="S739" s="5">
        <f>SUM(bron[[#This Row],[Januari]:[December]])</f>
        <v>1</v>
      </c>
      <c r="T739" s="9">
        <v>45326</v>
      </c>
      <c r="U739" s="8" t="s">
        <v>319</v>
      </c>
      <c r="V739" s="8"/>
      <c r="W739" s="8">
        <v>1</v>
      </c>
      <c r="X739" t="s">
        <v>58</v>
      </c>
      <c r="Y739" t="s">
        <v>31</v>
      </c>
    </row>
    <row r="740" spans="1:25" x14ac:dyDescent="0.25">
      <c r="A740">
        <v>35463</v>
      </c>
      <c r="B740" t="e">
        <f>_xlfn.CONCAT([2]!bron[[#This Row],[personeelsnr]]," ",C740," ",D740)</f>
        <v>#REF!</v>
      </c>
      <c r="C740" t="str">
        <f>VLOOKUP(bron[[#This Row],[personeelsnr]],'data hastus'!$A:$C,2,0)</f>
        <v>Vandaele</v>
      </c>
      <c r="D740" t="str">
        <f>VLOOKUP(bron[[#This Row],[personeelsnr]],'data hastus'!$A:$C,3,0)</f>
        <v>Tom</v>
      </c>
      <c r="E740" t="str">
        <f>VLOOKUP(bron[[#This Row],[personeelsnr]],'data hastus'!A:K,11,FALSE)</f>
        <v>Dominique De Clercq</v>
      </c>
      <c r="F740" s="10"/>
      <c r="G740" s="7"/>
      <c r="H740" s="7">
        <v>1</v>
      </c>
      <c r="I740" s="7"/>
      <c r="S740" s="5">
        <f>SUM(bron[[#This Row],[Januari]:[December]])</f>
        <v>1</v>
      </c>
      <c r="T740" s="9">
        <v>45325</v>
      </c>
      <c r="U740" s="8" t="s">
        <v>314</v>
      </c>
      <c r="V740" s="8">
        <v>1</v>
      </c>
      <c r="W740" s="8"/>
      <c r="X740" t="s">
        <v>57</v>
      </c>
      <c r="Y740" t="s">
        <v>20</v>
      </c>
    </row>
    <row r="741" spans="1:25" x14ac:dyDescent="0.25">
      <c r="A741">
        <v>38808</v>
      </c>
      <c r="B741" t="e">
        <f>_xlfn.CONCAT([2]!bron[[#This Row],[personeelsnr]]," ",C741," ",D741)</f>
        <v>#REF!</v>
      </c>
      <c r="C741" t="str">
        <f>VLOOKUP(bron[[#This Row],[personeelsnr]],'data hastus'!$A:$C,2,0)</f>
        <v>Wasen</v>
      </c>
      <c r="D741" t="str">
        <f>VLOOKUP(bron[[#This Row],[personeelsnr]],'data hastus'!$A:$C,3,0)</f>
        <v>Jens</v>
      </c>
      <c r="E741" t="str">
        <f>VLOOKUP(bron[[#This Row],[personeelsnr]],'data hastus'!A:K,11,FALSE)</f>
        <v>Els Dewulf</v>
      </c>
      <c r="F741" s="10"/>
      <c r="G741" s="7"/>
      <c r="H741" s="7">
        <v>1</v>
      </c>
      <c r="I741" s="7"/>
      <c r="S741" s="5">
        <f>SUM(bron[[#This Row],[Januari]:[December]])</f>
        <v>1</v>
      </c>
      <c r="T741" s="9">
        <v>45325</v>
      </c>
      <c r="U741" s="8" t="s">
        <v>315</v>
      </c>
      <c r="V741" s="8">
        <v>1</v>
      </c>
      <c r="W741" s="8"/>
      <c r="X741" t="s">
        <v>57</v>
      </c>
      <c r="Y741" t="s">
        <v>80</v>
      </c>
    </row>
    <row r="742" spans="1:25" x14ac:dyDescent="0.25">
      <c r="A742">
        <v>39146</v>
      </c>
      <c r="B742" t="e">
        <f>_xlfn.CONCAT([2]!bron[[#This Row],[personeelsnr]]," ",C742," ",D742)</f>
        <v>#REF!</v>
      </c>
      <c r="C742" t="str">
        <f>VLOOKUP(bron[[#This Row],[personeelsnr]],'data hastus'!$A:$C,2,0)</f>
        <v>Burrick</v>
      </c>
      <c r="D742" t="str">
        <f>VLOOKUP(bron[[#This Row],[personeelsnr]],'data hastus'!$A:$C,3,0)</f>
        <v>Alex</v>
      </c>
      <c r="E742" t="str">
        <f>VLOOKUP(bron[[#This Row],[personeelsnr]],'data hastus'!A:K,11,FALSE)</f>
        <v>Els Dewulf</v>
      </c>
      <c r="F742" s="10"/>
      <c r="G742" s="7"/>
      <c r="H742" s="7">
        <v>1</v>
      </c>
      <c r="I742" s="7"/>
      <c r="S742" s="5">
        <f>SUM(bron[[#This Row],[Januari]:[December]])</f>
        <v>1</v>
      </c>
      <c r="T742" s="9">
        <v>45324</v>
      </c>
      <c r="U742" s="8" t="s">
        <v>312</v>
      </c>
      <c r="V742" s="8">
        <v>1</v>
      </c>
      <c r="W742" s="8"/>
      <c r="X742" t="s">
        <v>57</v>
      </c>
      <c r="Y742" t="s">
        <v>23</v>
      </c>
    </row>
    <row r="743" spans="1:25" x14ac:dyDescent="0.25">
      <c r="A743">
        <v>39146</v>
      </c>
      <c r="B743" t="e">
        <f>_xlfn.CONCAT([2]!bron[[#This Row],[personeelsnr]]," ",C743," ",D743)</f>
        <v>#REF!</v>
      </c>
      <c r="C743" t="str">
        <f>VLOOKUP(bron[[#This Row],[personeelsnr]],'data hastus'!$A:$C,2,0)</f>
        <v>Burrick</v>
      </c>
      <c r="D743" t="str">
        <f>VLOOKUP(bron[[#This Row],[personeelsnr]],'data hastus'!$A:$C,3,0)</f>
        <v>Alex</v>
      </c>
      <c r="E743" t="str">
        <f>VLOOKUP(bron[[#This Row],[personeelsnr]],'data hastus'!A:K,11,FALSE)</f>
        <v>Els Dewulf</v>
      </c>
      <c r="F743" s="10"/>
      <c r="G743" s="7"/>
      <c r="H743" s="7">
        <v>1</v>
      </c>
      <c r="I743" s="7"/>
      <c r="S743" s="5">
        <f>SUM(bron[[#This Row],[Januari]:[December]])</f>
        <v>1</v>
      </c>
      <c r="T743" s="9">
        <v>45324</v>
      </c>
      <c r="U743" s="8" t="s">
        <v>313</v>
      </c>
      <c r="V743" s="8">
        <v>1</v>
      </c>
      <c r="W743" s="8"/>
      <c r="X743" t="s">
        <v>57</v>
      </c>
      <c r="Y743" t="s">
        <v>23</v>
      </c>
    </row>
    <row r="744" spans="1:25" x14ac:dyDescent="0.25">
      <c r="A744">
        <v>19219</v>
      </c>
      <c r="B744" t="e">
        <f>_xlfn.CONCAT([2]!bron[[#This Row],[personeelsnr]]," ",C744," ",D744)</f>
        <v>#REF!</v>
      </c>
      <c r="C744" t="str">
        <f>VLOOKUP(bron[[#This Row],[personeelsnr]],'data hastus'!$A:$C,2,0)</f>
        <v>Aspeslagh</v>
      </c>
      <c r="D744" t="str">
        <f>VLOOKUP(bron[[#This Row],[personeelsnr]],'data hastus'!$A:$C,3,0)</f>
        <v>Geert</v>
      </c>
      <c r="E744" t="str">
        <f>VLOOKUP(bron[[#This Row],[personeelsnr]],'data hastus'!A:K,11,FALSE)</f>
        <v>Lucie Vande Velde</v>
      </c>
      <c r="F744" s="10"/>
      <c r="G744" s="7"/>
      <c r="H744" s="7">
        <v>1</v>
      </c>
      <c r="I744" s="7"/>
      <c r="S744" s="5">
        <f>SUM(bron[[#This Row],[Januari]:[December]])</f>
        <v>1</v>
      </c>
      <c r="T744" s="9">
        <v>45323</v>
      </c>
      <c r="U744" s="8" t="s">
        <v>311</v>
      </c>
      <c r="V744" s="8">
        <v>1</v>
      </c>
      <c r="W744" s="8"/>
      <c r="X744" t="s">
        <v>57</v>
      </c>
      <c r="Y744" t="s">
        <v>122</v>
      </c>
    </row>
    <row r="745" spans="1:25" x14ac:dyDescent="0.25">
      <c r="A745">
        <v>31092</v>
      </c>
      <c r="B745" t="e">
        <f>_xlfn.CONCAT([2]!bron[[#This Row],[personeelsnr]]," ",C745," ",D745)</f>
        <v>#REF!</v>
      </c>
      <c r="C745" t="str">
        <f>VLOOKUP(bron[[#This Row],[personeelsnr]],'data hastus'!$A:$C,2,0)</f>
        <v>De Jaeger</v>
      </c>
      <c r="D745" t="str">
        <f>VLOOKUP(bron[[#This Row],[personeelsnr]],'data hastus'!$A:$C,3,0)</f>
        <v>Kevin</v>
      </c>
      <c r="E745" t="str">
        <f>VLOOKUP(bron[[#This Row],[personeelsnr]],'data hastus'!A:K,11,FALSE)</f>
        <v>Lucie Vande Velde</v>
      </c>
      <c r="F745" s="10"/>
      <c r="G745" s="7">
        <v>1</v>
      </c>
      <c r="H745" s="7"/>
      <c r="I745" s="7"/>
      <c r="S745" s="5">
        <f>SUM(bron[[#This Row],[Januari]:[December]])</f>
        <v>1</v>
      </c>
      <c r="T745" s="9">
        <v>45322</v>
      </c>
      <c r="U745" s="8" t="s">
        <v>307</v>
      </c>
      <c r="V745" s="8">
        <v>1</v>
      </c>
      <c r="W745" s="8"/>
      <c r="X745" t="s">
        <v>57</v>
      </c>
      <c r="Y745" t="s">
        <v>43</v>
      </c>
    </row>
    <row r="746" spans="1:25" x14ac:dyDescent="0.25">
      <c r="A746">
        <v>38013</v>
      </c>
      <c r="B746" t="e">
        <f>_xlfn.CONCAT([2]!bron[[#This Row],[personeelsnr]]," ",C746," ",D746)</f>
        <v>#REF!</v>
      </c>
      <c r="C746" t="str">
        <f>VLOOKUP(bron[[#This Row],[personeelsnr]],'data hastus'!$A:$C,2,0)</f>
        <v>Mine</v>
      </c>
      <c r="D746" t="str">
        <f>VLOOKUP(bron[[#This Row],[personeelsnr]],'data hastus'!$A:$C,3,0)</f>
        <v>Akin</v>
      </c>
      <c r="E746" t="str">
        <f>VLOOKUP(bron[[#This Row],[personeelsnr]],'data hastus'!A:K,11,FALSE)</f>
        <v>Lucie Vande Velde</v>
      </c>
      <c r="F746" s="10"/>
      <c r="G746" s="7">
        <v>1</v>
      </c>
      <c r="H746" s="7"/>
      <c r="I746" s="7"/>
      <c r="S746" s="5">
        <f>SUM(bron[[#This Row],[Januari]:[December]])</f>
        <v>1</v>
      </c>
      <c r="T746" s="9">
        <v>45322</v>
      </c>
      <c r="U746" s="8" t="s">
        <v>308</v>
      </c>
      <c r="V746" s="8">
        <v>1</v>
      </c>
      <c r="W746" s="8"/>
      <c r="X746" t="s">
        <v>57</v>
      </c>
      <c r="Y746" t="s">
        <v>18</v>
      </c>
    </row>
    <row r="747" spans="1:25" x14ac:dyDescent="0.25">
      <c r="A747">
        <v>27153</v>
      </c>
      <c r="B747" t="e">
        <f>_xlfn.CONCAT([2]!bron[[#This Row],[personeelsnr]]," ",C747," ",D747)</f>
        <v>#REF!</v>
      </c>
      <c r="C747" t="str">
        <f>VLOOKUP(bron[[#This Row],[personeelsnr]],'data hastus'!$A:$C,2,0)</f>
        <v>Oben</v>
      </c>
      <c r="D747" t="str">
        <f>VLOOKUP(bron[[#This Row],[personeelsnr]],'data hastus'!$A:$C,3,0)</f>
        <v>Thibaud</v>
      </c>
      <c r="E747" t="str">
        <f>VLOOKUP(bron[[#This Row],[personeelsnr]],'data hastus'!A:K,11,FALSE)</f>
        <v>Christoff Rotty</v>
      </c>
      <c r="F747" s="10"/>
      <c r="G747" s="7">
        <v>1</v>
      </c>
      <c r="H747" s="7"/>
      <c r="I747" s="7"/>
      <c r="S747" s="5">
        <f>SUM(bron[[#This Row],[Januari]:[December]])</f>
        <v>1</v>
      </c>
      <c r="T747" s="9">
        <v>45322</v>
      </c>
      <c r="U747" s="8" t="s">
        <v>309</v>
      </c>
      <c r="V747" s="8">
        <v>1</v>
      </c>
      <c r="W747" s="8"/>
      <c r="X747" t="s">
        <v>57</v>
      </c>
      <c r="Y747" t="s">
        <v>18</v>
      </c>
    </row>
    <row r="748" spans="1:25" x14ac:dyDescent="0.25">
      <c r="A748">
        <v>26384</v>
      </c>
      <c r="B748" t="e">
        <f>_xlfn.CONCAT([2]!bron[[#This Row],[personeelsnr]]," ",C748," ",D748)</f>
        <v>#REF!</v>
      </c>
      <c r="C748" t="str">
        <f>VLOOKUP(bron[[#This Row],[personeelsnr]],'data hastus'!$A:$C,2,0)</f>
        <v>Van Cauwenberg</v>
      </c>
      <c r="D748" t="str">
        <f>VLOOKUP(bron[[#This Row],[personeelsnr]],'data hastus'!$A:$C,3,0)</f>
        <v>Steven</v>
      </c>
      <c r="E748" t="str">
        <f>VLOOKUP(bron[[#This Row],[personeelsnr]],'data hastus'!A:K,11,FALSE)</f>
        <v>Els Dewulf</v>
      </c>
      <c r="F748" s="10"/>
      <c r="G748" s="7">
        <v>1</v>
      </c>
      <c r="H748" s="7"/>
      <c r="I748" s="7"/>
      <c r="S748" s="5">
        <f>SUM(bron[[#This Row],[Januari]:[December]])</f>
        <v>1</v>
      </c>
      <c r="T748" s="9">
        <v>45322</v>
      </c>
      <c r="U748" s="8" t="s">
        <v>310</v>
      </c>
      <c r="V748" s="8">
        <v>1</v>
      </c>
      <c r="W748" s="8"/>
      <c r="X748" t="s">
        <v>57</v>
      </c>
      <c r="Y748" t="s">
        <v>18</v>
      </c>
    </row>
    <row r="749" spans="1:25" x14ac:dyDescent="0.25">
      <c r="A749">
        <v>38938</v>
      </c>
      <c r="B749" t="e">
        <f>_xlfn.CONCAT([2]!bron[[#This Row],[personeelsnr]]," ",C749," ",D749)</f>
        <v>#REF!</v>
      </c>
      <c r="C749" t="str">
        <f>VLOOKUP(bron[[#This Row],[personeelsnr]],'data hastus'!$A:$C,2,0)</f>
        <v>Sedighi</v>
      </c>
      <c r="D749" t="str">
        <f>VLOOKUP(bron[[#This Row],[personeelsnr]],'data hastus'!$A:$C,3,0)</f>
        <v>Hamid</v>
      </c>
      <c r="E749" t="str">
        <f>VLOOKUP(bron[[#This Row],[personeelsnr]],'data hastus'!A:K,11,FALSE)</f>
        <v>Lucie Vande Velde</v>
      </c>
      <c r="F749" s="10"/>
      <c r="G749" s="7">
        <v>1</v>
      </c>
      <c r="H749" s="7"/>
      <c r="I749" s="7"/>
      <c r="S749" s="5">
        <f>SUM(bron[[#This Row],[Januari]:[December]])</f>
        <v>1</v>
      </c>
      <c r="T749" s="9">
        <v>45321</v>
      </c>
      <c r="U749" s="8" t="s">
        <v>306</v>
      </c>
      <c r="V749" s="8">
        <v>1</v>
      </c>
      <c r="W749" s="8"/>
      <c r="X749" t="s">
        <v>57</v>
      </c>
      <c r="Y749" t="s">
        <v>23</v>
      </c>
    </row>
    <row r="750" spans="1:25" x14ac:dyDescent="0.25">
      <c r="A750">
        <v>30121</v>
      </c>
      <c r="B750" t="e">
        <f>_xlfn.CONCAT([2]!bron[[#This Row],[personeelsnr]]," ",C750," ",D750)</f>
        <v>#REF!</v>
      </c>
      <c r="C750" t="str">
        <f>VLOOKUP(bron[[#This Row],[personeelsnr]],'data hastus'!$A:$C,2,0)</f>
        <v>Simons</v>
      </c>
      <c r="D750" t="str">
        <f>VLOOKUP(bron[[#This Row],[personeelsnr]],'data hastus'!$A:$C,3,0)</f>
        <v>Andreas</v>
      </c>
      <c r="E750" t="str">
        <f>VLOOKUP(bron[[#This Row],[personeelsnr]],'data hastus'!A:K,11,FALSE)</f>
        <v>Christoff Rotty</v>
      </c>
      <c r="F750" s="10"/>
      <c r="G750" s="7">
        <v>1</v>
      </c>
      <c r="H750" s="7"/>
      <c r="I750" s="7"/>
      <c r="S750" s="5">
        <f>SUM(bron[[#This Row],[Januari]:[December]])</f>
        <v>1</v>
      </c>
      <c r="T750" s="9">
        <v>45320</v>
      </c>
      <c r="U750" s="8" t="s">
        <v>305</v>
      </c>
      <c r="V750" s="8">
        <v>1</v>
      </c>
      <c r="W750" s="8"/>
      <c r="X750" t="s">
        <v>57</v>
      </c>
      <c r="Y750" t="s">
        <v>53</v>
      </c>
    </row>
    <row r="751" spans="1:25" x14ac:dyDescent="0.25">
      <c r="A751">
        <v>31733</v>
      </c>
      <c r="B751" t="e">
        <f>_xlfn.CONCAT([2]!bron[[#This Row],[personeelsnr]]," ",C751," ",D751)</f>
        <v>#REF!</v>
      </c>
      <c r="C751" t="str">
        <f>VLOOKUP(bron[[#This Row],[personeelsnr]],'data hastus'!$A:$C,2,0)</f>
        <v>Sonck</v>
      </c>
      <c r="D751" t="str">
        <f>VLOOKUP(bron[[#This Row],[personeelsnr]],'data hastus'!$A:$C,3,0)</f>
        <v>Kristof</v>
      </c>
      <c r="E751" t="str">
        <f>VLOOKUP(bron[[#This Row],[personeelsnr]],'data hastus'!A:K,11,FALSE)</f>
        <v>Dominique De Clercq</v>
      </c>
      <c r="F751" s="10"/>
      <c r="G751" s="7">
        <v>1</v>
      </c>
      <c r="H751" s="7"/>
      <c r="I751" s="7"/>
      <c r="S751" s="5">
        <f>SUM(bron[[#This Row],[Januari]:[December]])</f>
        <v>1</v>
      </c>
      <c r="T751" s="9">
        <v>45319</v>
      </c>
      <c r="U751" s="8" t="s">
        <v>304</v>
      </c>
      <c r="V751" s="8">
        <v>1</v>
      </c>
      <c r="W751" s="8"/>
      <c r="X751" t="s">
        <v>57</v>
      </c>
      <c r="Y751" t="s">
        <v>18</v>
      </c>
    </row>
    <row r="752" spans="1:25" x14ac:dyDescent="0.25">
      <c r="A752">
        <v>15628</v>
      </c>
      <c r="B752" t="e">
        <f>_xlfn.CONCAT([2]!bron[[#This Row],[personeelsnr]]," ",C752," ",D752)</f>
        <v>#REF!</v>
      </c>
      <c r="C752" t="str">
        <f>VLOOKUP(bron[[#This Row],[personeelsnr]],'data hastus'!$A:$C,2,0)</f>
        <v>Wulfranck</v>
      </c>
      <c r="D752" t="str">
        <f>VLOOKUP(bron[[#This Row],[personeelsnr]],'data hastus'!$A:$C,3,0)</f>
        <v>Dominique</v>
      </c>
      <c r="E752" t="str">
        <f>VLOOKUP(bron[[#This Row],[personeelsnr]],'data hastus'!A:K,11,FALSE)</f>
        <v>Kenneth De Rick</v>
      </c>
      <c r="F752" s="10"/>
      <c r="G752" s="7">
        <v>1</v>
      </c>
      <c r="H752" s="7"/>
      <c r="I752" s="7"/>
      <c r="S752" s="5">
        <f>SUM(bron[[#This Row],[Januari]:[December]])</f>
        <v>1</v>
      </c>
      <c r="T752" s="9">
        <v>45317</v>
      </c>
      <c r="U752" s="8" t="s">
        <v>303</v>
      </c>
      <c r="V752" s="8">
        <v>1</v>
      </c>
      <c r="W752" s="8"/>
      <c r="X752" t="s">
        <v>57</v>
      </c>
      <c r="Y752" t="s">
        <v>30</v>
      </c>
    </row>
    <row r="753" spans="1:25" x14ac:dyDescent="0.25">
      <c r="A753">
        <v>31731</v>
      </c>
      <c r="B753" t="e">
        <f>_xlfn.CONCAT([2]!bron[[#This Row],[personeelsnr]]," ",C753," ",D753)</f>
        <v>#REF!</v>
      </c>
      <c r="C753" t="str">
        <f>VLOOKUP(bron[[#This Row],[personeelsnr]],'data hastus'!$A:$C,2,0)</f>
        <v>Dedapper</v>
      </c>
      <c r="D753" t="str">
        <f>VLOOKUP(bron[[#This Row],[personeelsnr]],'data hastus'!$A:$C,3,0)</f>
        <v>Marijke</v>
      </c>
      <c r="E753" t="str">
        <f>VLOOKUP(bron[[#This Row],[personeelsnr]],'data hastus'!A:K,11,FALSE)</f>
        <v>Els Vanhoe</v>
      </c>
      <c r="F753" s="10"/>
      <c r="G753" s="7">
        <v>1</v>
      </c>
      <c r="H753" s="7"/>
      <c r="I753" s="7"/>
      <c r="S753" s="5">
        <f>SUM(bron[[#This Row],[Januari]:[December]])</f>
        <v>1</v>
      </c>
      <c r="T753" s="9">
        <v>45316</v>
      </c>
      <c r="U753" s="8" t="s">
        <v>301</v>
      </c>
      <c r="V753" s="8">
        <v>1</v>
      </c>
      <c r="W753" s="8"/>
      <c r="X753" t="s">
        <v>57</v>
      </c>
      <c r="Y753" t="s">
        <v>49</v>
      </c>
    </row>
    <row r="754" spans="1:25" x14ac:dyDescent="0.25">
      <c r="A754">
        <v>37543</v>
      </c>
      <c r="B754" t="e">
        <f>_xlfn.CONCAT([2]!bron[[#This Row],[personeelsnr]]," ",C754," ",D754)</f>
        <v>#REF!</v>
      </c>
      <c r="C754" t="str">
        <f>VLOOKUP(bron[[#This Row],[personeelsnr]],'data hastus'!$A:$C,2,0)</f>
        <v>Öztürk</v>
      </c>
      <c r="D754" t="str">
        <f>VLOOKUP(bron[[#This Row],[personeelsnr]],'data hastus'!$A:$C,3,0)</f>
        <v>Bilgehan</v>
      </c>
      <c r="E754" t="str">
        <f>VLOOKUP(bron[[#This Row],[personeelsnr]],'data hastus'!A:K,11,FALSE)</f>
        <v>Kenneth De Rick</v>
      </c>
      <c r="F754" s="10"/>
      <c r="G754" s="7">
        <v>1</v>
      </c>
      <c r="H754" s="7"/>
      <c r="I754" s="7"/>
      <c r="S754" s="5">
        <f>SUM(bron[[#This Row],[Januari]:[December]])</f>
        <v>1</v>
      </c>
      <c r="T754" s="9">
        <v>45316</v>
      </c>
      <c r="U754" s="8" t="s">
        <v>302</v>
      </c>
      <c r="V754" s="8">
        <v>1</v>
      </c>
      <c r="W754" s="8"/>
      <c r="X754" t="s">
        <v>57</v>
      </c>
      <c r="Y754" t="s">
        <v>106</v>
      </c>
    </row>
    <row r="755" spans="1:25" x14ac:dyDescent="0.25">
      <c r="A755">
        <v>20404</v>
      </c>
      <c r="B755" t="e">
        <f>_xlfn.CONCAT([2]!bron[[#This Row],[personeelsnr]]," ",C755," ",D755)</f>
        <v>#REF!</v>
      </c>
      <c r="C755" t="str">
        <f>VLOOKUP(bron[[#This Row],[personeelsnr]],'data hastus'!$A:$C,2,0)</f>
        <v>Vranken</v>
      </c>
      <c r="D755" t="str">
        <f>VLOOKUP(bron[[#This Row],[personeelsnr]],'data hastus'!$A:$C,3,0)</f>
        <v>Kenneth</v>
      </c>
      <c r="E755" t="str">
        <f>VLOOKUP(bron[[#This Row],[personeelsnr]],'data hastus'!A:K,11,FALSE)</f>
        <v>Christoff Rotty</v>
      </c>
      <c r="F755" s="10"/>
      <c r="G755" s="7">
        <v>1</v>
      </c>
      <c r="H755" s="7"/>
      <c r="I755" s="7"/>
      <c r="S755" s="5">
        <f>SUM(bron[[#This Row],[Januari]:[December]])</f>
        <v>1</v>
      </c>
      <c r="T755" s="9">
        <v>45315</v>
      </c>
      <c r="U755" s="8" t="s">
        <v>300</v>
      </c>
      <c r="V755" s="8">
        <v>1</v>
      </c>
      <c r="W755" s="8"/>
      <c r="X755" t="s">
        <v>57</v>
      </c>
      <c r="Y755" t="s">
        <v>159</v>
      </c>
    </row>
    <row r="756" spans="1:25" x14ac:dyDescent="0.25">
      <c r="A756">
        <v>36626</v>
      </c>
      <c r="B756" t="e">
        <f>_xlfn.CONCAT([2]!bron[[#This Row],[personeelsnr]]," ",C756," ",D756)</f>
        <v>#REF!</v>
      </c>
      <c r="C756" t="str">
        <f>VLOOKUP(bron[[#This Row],[personeelsnr]],'data hastus'!$A:$C,2,0)</f>
        <v>Kartal</v>
      </c>
      <c r="D756" t="str">
        <f>VLOOKUP(bron[[#This Row],[personeelsnr]],'data hastus'!$A:$C,3,0)</f>
        <v>Kadir</v>
      </c>
      <c r="E756" t="str">
        <f>VLOOKUP(bron[[#This Row],[personeelsnr]],'data hastus'!A:K,11,FALSE)</f>
        <v>Els Dewulf</v>
      </c>
      <c r="F756" s="10"/>
      <c r="G756" s="7">
        <v>1</v>
      </c>
      <c r="H756" s="7"/>
      <c r="I756" s="7"/>
      <c r="S756" s="5">
        <f>SUM(bron[[#This Row],[Januari]:[December]])</f>
        <v>1</v>
      </c>
      <c r="T756" s="9">
        <v>45314</v>
      </c>
      <c r="U756" s="8" t="s">
        <v>298</v>
      </c>
      <c r="V756" s="8">
        <v>1</v>
      </c>
      <c r="W756" s="8"/>
      <c r="X756" t="s">
        <v>57</v>
      </c>
      <c r="Y756" t="s">
        <v>18</v>
      </c>
    </row>
    <row r="757" spans="1:25" x14ac:dyDescent="0.25">
      <c r="A757">
        <v>34445</v>
      </c>
      <c r="B757" t="e">
        <f>_xlfn.CONCAT([2]!bron[[#This Row],[personeelsnr]]," ",C757," ",D757)</f>
        <v>#REF!</v>
      </c>
      <c r="C757" t="str">
        <f>VLOOKUP(bron[[#This Row],[personeelsnr]],'data hastus'!$A:$C,2,0)</f>
        <v>Wulleput</v>
      </c>
      <c r="D757" t="str">
        <f>VLOOKUP(bron[[#This Row],[personeelsnr]],'data hastus'!$A:$C,3,0)</f>
        <v>Illya</v>
      </c>
      <c r="E757" t="str">
        <f>VLOOKUP(bron[[#This Row],[personeelsnr]],'data hastus'!A:K,11,FALSE)</f>
        <v>Dominique De Clercq</v>
      </c>
      <c r="F757" s="10"/>
      <c r="G757" s="7">
        <v>1</v>
      </c>
      <c r="H757" s="7"/>
      <c r="I757" s="7"/>
      <c r="S757" s="5">
        <f>SUM(bron[[#This Row],[Januari]:[December]])</f>
        <v>1</v>
      </c>
      <c r="T757" s="9">
        <v>45314</v>
      </c>
      <c r="U757" s="8" t="s">
        <v>299</v>
      </c>
      <c r="V757" s="8">
        <v>1</v>
      </c>
      <c r="W757" s="8"/>
      <c r="X757" t="s">
        <v>57</v>
      </c>
      <c r="Y757" t="s">
        <v>114</v>
      </c>
    </row>
    <row r="758" spans="1:25" x14ac:dyDescent="0.25">
      <c r="A758">
        <v>9999</v>
      </c>
      <c r="B758" t="str">
        <f>_xlfn.CONCAT([2]!bron[[#This Row],[personeelsnr]]," ",C758," ",D758)</f>
        <v>9999 - -</v>
      </c>
      <c r="C758" t="s">
        <v>2919</v>
      </c>
      <c r="D758" t="s">
        <v>2919</v>
      </c>
      <c r="E758" t="s">
        <v>810</v>
      </c>
      <c r="F758" s="10"/>
      <c r="G758" s="7">
        <v>1</v>
      </c>
      <c r="H758" s="7"/>
      <c r="I758" s="7"/>
      <c r="S758" s="5">
        <f>SUM(bron[[#This Row],[Januari]:[December]])</f>
        <v>1</v>
      </c>
      <c r="T758" s="9">
        <v>45313</v>
      </c>
      <c r="U758" s="8" t="s">
        <v>297</v>
      </c>
      <c r="V758" s="8">
        <v>1</v>
      </c>
      <c r="W758" s="8"/>
      <c r="X758" t="s">
        <v>57</v>
      </c>
      <c r="Y758" t="s">
        <v>203</v>
      </c>
    </row>
    <row r="759" spans="1:25" x14ac:dyDescent="0.25">
      <c r="A759">
        <v>5063</v>
      </c>
      <c r="B759" t="e">
        <f>_xlfn.CONCAT([2]!bron[[#This Row],[personeelsnr]]," ",C759," ",D759)</f>
        <v>#REF!</v>
      </c>
      <c r="C759" t="str">
        <f>VLOOKUP(bron[[#This Row],[personeelsnr]],'data hastus'!$A:$C,2,0)</f>
        <v>Merre</v>
      </c>
      <c r="D759" t="str">
        <f>VLOOKUP(bron[[#This Row],[personeelsnr]],'data hastus'!$A:$C,3,0)</f>
        <v>Bart</v>
      </c>
      <c r="E759" t="str">
        <f>VLOOKUP(bron[[#This Row],[personeelsnr]],'data hastus'!A:K,11,FALSE)</f>
        <v>Lucie Vande Velde</v>
      </c>
      <c r="F759" s="10"/>
      <c r="G759" s="7">
        <v>1</v>
      </c>
      <c r="H759" s="7"/>
      <c r="I759" s="7"/>
      <c r="S759" s="5">
        <f>SUM(bron[[#This Row],[Januari]:[December]])</f>
        <v>1</v>
      </c>
      <c r="T759" s="9">
        <v>45312</v>
      </c>
      <c r="U759" s="8" t="s">
        <v>296</v>
      </c>
      <c r="V759" s="8"/>
      <c r="W759" s="8">
        <v>1</v>
      </c>
      <c r="X759" t="s">
        <v>58</v>
      </c>
      <c r="Y759" t="s">
        <v>113</v>
      </c>
    </row>
    <row r="760" spans="1:25" x14ac:dyDescent="0.25">
      <c r="A760">
        <v>9999</v>
      </c>
      <c r="B760" t="str">
        <f>_xlfn.CONCAT([2]!bron[[#This Row],[personeelsnr]]," ",C760," ",D760)</f>
        <v>9999 - -</v>
      </c>
      <c r="C760" t="s">
        <v>2919</v>
      </c>
      <c r="D760" t="s">
        <v>2919</v>
      </c>
      <c r="E760" t="s">
        <v>810</v>
      </c>
      <c r="F760" s="10"/>
      <c r="G760" s="7">
        <v>1</v>
      </c>
      <c r="H760" s="7"/>
      <c r="I760" s="7"/>
      <c r="S760" s="5">
        <f>SUM(bron[[#This Row],[Januari]:[December]])</f>
        <v>1</v>
      </c>
      <c r="T760" s="9">
        <v>45311</v>
      </c>
      <c r="U760" s="8" t="s">
        <v>294</v>
      </c>
      <c r="V760" s="8">
        <v>1</v>
      </c>
      <c r="W760" s="8"/>
      <c r="X760" t="s">
        <v>57</v>
      </c>
      <c r="Y760" t="s">
        <v>59</v>
      </c>
    </row>
    <row r="761" spans="1:25" x14ac:dyDescent="0.25">
      <c r="A761">
        <v>9999</v>
      </c>
      <c r="B761" t="str">
        <f>_xlfn.CONCAT([2]!bron[[#This Row],[personeelsnr]]," ",C761," ",D761)</f>
        <v>9999 - -</v>
      </c>
      <c r="C761" t="s">
        <v>2919</v>
      </c>
      <c r="D761" t="s">
        <v>2919</v>
      </c>
      <c r="E761" t="s">
        <v>810</v>
      </c>
      <c r="F761" s="10"/>
      <c r="G761" s="7">
        <v>1</v>
      </c>
      <c r="H761" s="7"/>
      <c r="I761" s="7"/>
      <c r="S761" s="5">
        <f>SUM(bron[[#This Row],[Januari]:[December]])</f>
        <v>1</v>
      </c>
      <c r="T761" s="9">
        <v>45311</v>
      </c>
      <c r="U761" s="8" t="s">
        <v>295</v>
      </c>
      <c r="V761" s="8">
        <v>1</v>
      </c>
      <c r="W761" s="8"/>
      <c r="X761" t="s">
        <v>57</v>
      </c>
      <c r="Y761" t="s">
        <v>66</v>
      </c>
    </row>
    <row r="762" spans="1:25" x14ac:dyDescent="0.25">
      <c r="A762">
        <v>31668</v>
      </c>
      <c r="B762" t="e">
        <f>_xlfn.CONCAT([2]!bron[[#This Row],[personeelsnr]]," ",C762," ",D762)</f>
        <v>#REF!</v>
      </c>
      <c r="C762" t="str">
        <f>VLOOKUP(bron[[#This Row],[personeelsnr]],'data hastus'!$A:$C,2,0)</f>
        <v>Weemhof</v>
      </c>
      <c r="D762" t="str">
        <f>VLOOKUP(bron[[#This Row],[personeelsnr]],'data hastus'!$A:$C,3,0)</f>
        <v>Maurice</v>
      </c>
      <c r="E762" t="str">
        <f>VLOOKUP(bron[[#This Row],[personeelsnr]],'data hastus'!A:K,11,FALSE)</f>
        <v>Dominique De Clercq</v>
      </c>
      <c r="F762" s="10"/>
      <c r="G762" s="7">
        <v>1</v>
      </c>
      <c r="H762" s="7"/>
      <c r="I762" s="7"/>
      <c r="S762" s="5">
        <f>SUM(bron[[#This Row],[Januari]:[December]])</f>
        <v>1</v>
      </c>
      <c r="T762" s="9">
        <v>45310</v>
      </c>
      <c r="U762" s="8" t="s">
        <v>293</v>
      </c>
      <c r="V762" s="8">
        <v>1</v>
      </c>
      <c r="W762" s="8"/>
      <c r="X762" t="s">
        <v>57</v>
      </c>
      <c r="Y762" t="s">
        <v>22</v>
      </c>
    </row>
    <row r="763" spans="1:25" x14ac:dyDescent="0.25">
      <c r="A763">
        <v>36627</v>
      </c>
      <c r="B763" t="e">
        <f>_xlfn.CONCAT([2]!bron[[#This Row],[personeelsnr]]," ",C763," ",D763)</f>
        <v>#REF!</v>
      </c>
      <c r="C763" t="str">
        <f>VLOOKUP(bron[[#This Row],[personeelsnr]],'data hastus'!$A:$C,2,0)</f>
        <v>Dobbelaere</v>
      </c>
      <c r="D763" t="str">
        <f>VLOOKUP(bron[[#This Row],[personeelsnr]],'data hastus'!$A:$C,3,0)</f>
        <v>David</v>
      </c>
      <c r="E763" t="str">
        <f>VLOOKUP(bron[[#This Row],[personeelsnr]],'data hastus'!A:K,11,FALSE)</f>
        <v>Els Dewulf</v>
      </c>
      <c r="F763" s="10"/>
      <c r="G763" s="7">
        <v>1</v>
      </c>
      <c r="H763" s="7"/>
      <c r="I763" s="7"/>
      <c r="S763" s="5">
        <f>SUM(bron[[#This Row],[Januari]:[December]])</f>
        <v>1</v>
      </c>
      <c r="T763" s="9">
        <v>45309</v>
      </c>
      <c r="U763" s="8" t="s">
        <v>292</v>
      </c>
      <c r="V763" s="8">
        <v>1</v>
      </c>
      <c r="W763" s="8"/>
      <c r="X763" t="s">
        <v>57</v>
      </c>
      <c r="Y763" t="s">
        <v>239</v>
      </c>
    </row>
    <row r="764" spans="1:25" x14ac:dyDescent="0.25">
      <c r="A764">
        <v>38579</v>
      </c>
      <c r="B764" t="e">
        <f>_xlfn.CONCAT([2]!bron[[#This Row],[personeelsnr]]," ",C764," ",D764)</f>
        <v>#REF!</v>
      </c>
      <c r="C764" t="str">
        <f>VLOOKUP(bron[[#This Row],[personeelsnr]],'data hastus'!$A:$C,2,0)</f>
        <v>Haaze</v>
      </c>
      <c r="D764" t="str">
        <f>VLOOKUP(bron[[#This Row],[personeelsnr]],'data hastus'!$A:$C,3,0)</f>
        <v>Sven</v>
      </c>
      <c r="E764" t="str">
        <f>VLOOKUP(bron[[#This Row],[personeelsnr]],'data hastus'!A:K,11,FALSE)</f>
        <v>Els Dewulf</v>
      </c>
      <c r="F764" s="10"/>
      <c r="G764" s="7">
        <v>1</v>
      </c>
      <c r="H764" s="7"/>
      <c r="I764" s="7"/>
      <c r="S764" s="5">
        <f>SUM(bron[[#This Row],[Januari]:[December]])</f>
        <v>1</v>
      </c>
      <c r="T764" s="9">
        <v>45308</v>
      </c>
      <c r="U764" s="8" t="s">
        <v>289</v>
      </c>
      <c r="V764" s="8">
        <v>1</v>
      </c>
      <c r="W764" s="8"/>
      <c r="X764" t="s">
        <v>57</v>
      </c>
      <c r="Y764" t="s">
        <v>31</v>
      </c>
    </row>
    <row r="765" spans="1:25" x14ac:dyDescent="0.25">
      <c r="A765">
        <v>39019</v>
      </c>
      <c r="B765" t="e">
        <f>_xlfn.CONCAT([2]!bron[[#This Row],[personeelsnr]]," ",C765," ",D765)</f>
        <v>#REF!</v>
      </c>
      <c r="C765" t="str">
        <f>VLOOKUP(bron[[#This Row],[personeelsnr]],'data hastus'!$A:$C,2,0)</f>
        <v>De taeye</v>
      </c>
      <c r="D765" t="str">
        <f>VLOOKUP(bron[[#This Row],[personeelsnr]],'data hastus'!$A:$C,3,0)</f>
        <v>Kelly</v>
      </c>
      <c r="E765" t="str">
        <f>VLOOKUP(bron[[#This Row],[personeelsnr]],'data hastus'!A:K,11,FALSE)</f>
        <v>Lucie Vande Velde</v>
      </c>
      <c r="F765" s="10"/>
      <c r="G765" s="7">
        <v>1</v>
      </c>
      <c r="H765" s="7"/>
      <c r="I765" s="7"/>
      <c r="S765" s="5">
        <f>SUM(bron[[#This Row],[Januari]:[December]])</f>
        <v>1</v>
      </c>
      <c r="T765" s="9">
        <v>45308</v>
      </c>
      <c r="U765" s="8" t="s">
        <v>290</v>
      </c>
      <c r="V765" s="8">
        <v>1</v>
      </c>
      <c r="W765" s="8"/>
      <c r="X765" t="s">
        <v>57</v>
      </c>
      <c r="Y765" t="s">
        <v>39</v>
      </c>
    </row>
    <row r="766" spans="1:25" x14ac:dyDescent="0.25">
      <c r="A766">
        <v>39673</v>
      </c>
      <c r="B766" t="e">
        <f>_xlfn.CONCAT([2]!bron[[#This Row],[personeelsnr]]," ",C766," ",D766)</f>
        <v>#REF!</v>
      </c>
      <c r="C766" t="str">
        <f>VLOOKUP(bron[[#This Row],[personeelsnr]],'data hastus'!$A:$C,2,0)</f>
        <v>Steurbaut</v>
      </c>
      <c r="D766" t="str">
        <f>VLOOKUP(bron[[#This Row],[personeelsnr]],'data hastus'!$A:$C,3,0)</f>
        <v>Henri</v>
      </c>
      <c r="E766" t="str">
        <f>VLOOKUP(bron[[#This Row],[personeelsnr]],'data hastus'!A:K,11,FALSE)</f>
        <v>Els Vanhoe</v>
      </c>
      <c r="F766" s="10"/>
      <c r="G766" s="7">
        <v>1</v>
      </c>
      <c r="H766" s="7"/>
      <c r="I766" s="7"/>
      <c r="S766" s="5">
        <f>SUM(bron[[#This Row],[Januari]:[December]])</f>
        <v>1</v>
      </c>
      <c r="T766" s="9">
        <v>45308</v>
      </c>
      <c r="U766" s="8" t="s">
        <v>291</v>
      </c>
      <c r="V766" s="8">
        <v>1</v>
      </c>
      <c r="W766" s="8"/>
      <c r="X766" t="s">
        <v>57</v>
      </c>
      <c r="Y766" t="s">
        <v>25</v>
      </c>
    </row>
    <row r="767" spans="1:25" x14ac:dyDescent="0.25">
      <c r="A767">
        <v>36626</v>
      </c>
      <c r="B767" t="e">
        <f>_xlfn.CONCAT([2]!bron[[#This Row],[personeelsnr]]," ",C767," ",D767)</f>
        <v>#REF!</v>
      </c>
      <c r="C767" t="str">
        <f>VLOOKUP(bron[[#This Row],[personeelsnr]],'data hastus'!$A:$C,2,0)</f>
        <v>Kartal</v>
      </c>
      <c r="D767" t="str">
        <f>VLOOKUP(bron[[#This Row],[personeelsnr]],'data hastus'!$A:$C,3,0)</f>
        <v>Kadir</v>
      </c>
      <c r="E767" t="str">
        <f>VLOOKUP(bron[[#This Row],[personeelsnr]],'data hastus'!A:K,11,FALSE)</f>
        <v>Els Dewulf</v>
      </c>
      <c r="F767" s="10"/>
      <c r="G767" s="7">
        <v>1</v>
      </c>
      <c r="H767" s="7"/>
      <c r="I767" s="7"/>
      <c r="S767" s="5">
        <f>SUM(bron[[#This Row],[Januari]:[December]])</f>
        <v>1</v>
      </c>
      <c r="T767" s="9">
        <v>45306</v>
      </c>
      <c r="U767" s="8" t="s">
        <v>286</v>
      </c>
      <c r="V767" s="8">
        <v>1</v>
      </c>
      <c r="W767" s="8"/>
      <c r="X767" t="s">
        <v>57</v>
      </c>
      <c r="Y767" t="s">
        <v>18</v>
      </c>
    </row>
    <row r="768" spans="1:25" x14ac:dyDescent="0.25">
      <c r="A768">
        <v>39859</v>
      </c>
      <c r="B768" t="e">
        <f>_xlfn.CONCAT([2]!bron[[#This Row],[personeelsnr]]," ",C768," ",D768)</f>
        <v>#REF!</v>
      </c>
      <c r="C768" t="str">
        <f>VLOOKUP(bron[[#This Row],[personeelsnr]],'data hastus'!$A:$C,2,0)</f>
        <v>Costers</v>
      </c>
      <c r="D768" t="str">
        <f>VLOOKUP(bron[[#This Row],[personeelsnr]],'data hastus'!$A:$C,3,0)</f>
        <v>Kelly</v>
      </c>
      <c r="E768" t="str">
        <f>VLOOKUP(bron[[#This Row],[personeelsnr]],'data hastus'!A:K,11,FALSE)</f>
        <v>Bart Van Der Beken</v>
      </c>
      <c r="F768" s="10"/>
      <c r="G768" s="7">
        <v>1</v>
      </c>
      <c r="H768" s="7"/>
      <c r="I768" s="7"/>
      <c r="S768" s="5">
        <f>SUM(bron[[#This Row],[Januari]:[December]])</f>
        <v>1</v>
      </c>
      <c r="T768" s="9">
        <v>45306</v>
      </c>
      <c r="U768" s="8" t="s">
        <v>287</v>
      </c>
      <c r="V768" s="8">
        <v>1</v>
      </c>
      <c r="W768" s="8"/>
      <c r="X768" t="s">
        <v>57</v>
      </c>
      <c r="Y768" t="s">
        <v>41</v>
      </c>
    </row>
    <row r="769" spans="1:25" x14ac:dyDescent="0.25">
      <c r="A769">
        <v>38931</v>
      </c>
      <c r="B769" t="e">
        <f>_xlfn.CONCAT([2]!bron[[#This Row],[personeelsnr]]," ",C769," ",D769)</f>
        <v>#REF!</v>
      </c>
      <c r="C769" t="str">
        <f>VLOOKUP(bron[[#This Row],[personeelsnr]],'data hastus'!$A:$C,2,0)</f>
        <v>Sancak</v>
      </c>
      <c r="D769" t="str">
        <f>VLOOKUP(bron[[#This Row],[personeelsnr]],'data hastus'!$A:$C,3,0)</f>
        <v>Eyuphan</v>
      </c>
      <c r="E769" t="str">
        <f>VLOOKUP(bron[[#This Row],[personeelsnr]],'data hastus'!A:K,11,FALSE)</f>
        <v>Bart Van Der Beken</v>
      </c>
      <c r="F769" s="10"/>
      <c r="G769" s="7">
        <v>1</v>
      </c>
      <c r="H769" s="7"/>
      <c r="I769" s="7"/>
      <c r="S769" s="5">
        <f>SUM(bron[[#This Row],[Januari]:[December]])</f>
        <v>1</v>
      </c>
      <c r="T769" s="9">
        <v>45306</v>
      </c>
      <c r="U769" s="8" t="s">
        <v>288</v>
      </c>
      <c r="V769" s="8">
        <v>1</v>
      </c>
      <c r="W769" s="8"/>
      <c r="X769" t="s">
        <v>57</v>
      </c>
      <c r="Y769" t="s">
        <v>45</v>
      </c>
    </row>
    <row r="770" spans="1:25" x14ac:dyDescent="0.25">
      <c r="A770">
        <v>15282</v>
      </c>
      <c r="B770" t="e">
        <f>_xlfn.CONCAT([2]!bron[[#This Row],[personeelsnr]]," ",C770," ",D770)</f>
        <v>#REF!</v>
      </c>
      <c r="C770" t="str">
        <f>VLOOKUP(bron[[#This Row],[personeelsnr]],'data hastus'!$A:$C,2,0)</f>
        <v>Marinx</v>
      </c>
      <c r="D770" t="str">
        <f>VLOOKUP(bron[[#This Row],[personeelsnr]],'data hastus'!$A:$C,3,0)</f>
        <v>Kristoff</v>
      </c>
      <c r="E770" t="str">
        <f>VLOOKUP(bron[[#This Row],[personeelsnr]],'data hastus'!A:K,11,FALSE)</f>
        <v>Kenneth De Rick</v>
      </c>
      <c r="F770" s="10"/>
      <c r="G770" s="7">
        <v>1</v>
      </c>
      <c r="H770" s="7"/>
      <c r="I770" s="7"/>
      <c r="S770" s="5">
        <f>SUM(bron[[#This Row],[Januari]:[December]])</f>
        <v>1</v>
      </c>
      <c r="T770" s="9">
        <v>45303</v>
      </c>
      <c r="U770" s="8" t="s">
        <v>282</v>
      </c>
      <c r="V770" s="8">
        <v>1</v>
      </c>
      <c r="W770" s="8"/>
      <c r="X770" t="s">
        <v>57</v>
      </c>
      <c r="Y770" t="s">
        <v>18</v>
      </c>
    </row>
    <row r="771" spans="1:25" x14ac:dyDescent="0.25">
      <c r="A771">
        <v>9999</v>
      </c>
      <c r="B771" t="str">
        <f>_xlfn.CONCAT([2]!bron[[#This Row],[personeelsnr]]," ",C771," ",D771)</f>
        <v>9999 - -</v>
      </c>
      <c r="C771" t="s">
        <v>2919</v>
      </c>
      <c r="D771" t="s">
        <v>2919</v>
      </c>
      <c r="E771" t="s">
        <v>810</v>
      </c>
      <c r="F771" s="10"/>
      <c r="G771" s="7">
        <v>1</v>
      </c>
      <c r="H771" s="7"/>
      <c r="I771" s="7"/>
      <c r="S771" s="5">
        <f>SUM(bron[[#This Row],[Januari]:[December]])</f>
        <v>1</v>
      </c>
      <c r="T771" s="9">
        <v>45303</v>
      </c>
      <c r="U771" s="8" t="s">
        <v>283</v>
      </c>
      <c r="V771" s="8">
        <v>1</v>
      </c>
      <c r="W771" s="8"/>
      <c r="X771" t="s">
        <v>57</v>
      </c>
      <c r="Y771" t="s">
        <v>43</v>
      </c>
    </row>
    <row r="772" spans="1:25" x14ac:dyDescent="0.25">
      <c r="A772">
        <v>9999</v>
      </c>
      <c r="B772" t="str">
        <f>_xlfn.CONCAT([2]!bron[[#This Row],[personeelsnr]]," ",C772," ",D772)</f>
        <v>9999 - -</v>
      </c>
      <c r="C772" t="s">
        <v>2919</v>
      </c>
      <c r="D772" t="s">
        <v>2919</v>
      </c>
      <c r="E772" t="s">
        <v>810</v>
      </c>
      <c r="F772" s="10"/>
      <c r="G772" s="7">
        <v>1</v>
      </c>
      <c r="H772" s="7"/>
      <c r="I772" s="7"/>
      <c r="S772" s="5">
        <f>SUM(bron[[#This Row],[Januari]:[December]])</f>
        <v>1</v>
      </c>
      <c r="T772" s="9">
        <v>45303</v>
      </c>
      <c r="U772" s="8" t="s">
        <v>284</v>
      </c>
      <c r="V772" s="8"/>
      <c r="W772" s="8">
        <v>1</v>
      </c>
      <c r="X772" t="s">
        <v>58</v>
      </c>
      <c r="Y772" t="s">
        <v>37</v>
      </c>
    </row>
    <row r="773" spans="1:25" x14ac:dyDescent="0.25">
      <c r="A773">
        <v>19917</v>
      </c>
      <c r="B773" t="e">
        <f>_xlfn.CONCAT([2]!bron[[#This Row],[personeelsnr]]," ",C773," ",D773)</f>
        <v>#REF!</v>
      </c>
      <c r="C773" t="str">
        <f>VLOOKUP(bron[[#This Row],[personeelsnr]],'data hastus'!$A:$C,2,0)</f>
        <v>Vandevyvere</v>
      </c>
      <c r="D773" t="str">
        <f>VLOOKUP(bron[[#This Row],[personeelsnr]],'data hastus'!$A:$C,3,0)</f>
        <v>Frank</v>
      </c>
      <c r="E773" t="str">
        <f>VLOOKUP(bron[[#This Row],[personeelsnr]],'data hastus'!A:K,11,FALSE)</f>
        <v>Bart Van Der Beken</v>
      </c>
      <c r="F773" s="10"/>
      <c r="G773" s="7">
        <v>1</v>
      </c>
      <c r="H773" s="7"/>
      <c r="I773" s="7"/>
      <c r="S773" s="5">
        <f>SUM(bron[[#This Row],[Januari]:[December]])</f>
        <v>1</v>
      </c>
      <c r="T773" s="9">
        <v>45303</v>
      </c>
      <c r="U773" s="8" t="s">
        <v>285</v>
      </c>
      <c r="V773" s="8">
        <v>1</v>
      </c>
      <c r="W773" s="8"/>
      <c r="X773" t="s">
        <v>57</v>
      </c>
      <c r="Y773" t="s">
        <v>28</v>
      </c>
    </row>
    <row r="774" spans="1:25" x14ac:dyDescent="0.25">
      <c r="A774">
        <v>39145</v>
      </c>
      <c r="B774" t="e">
        <f>_xlfn.CONCAT([2]!bron[[#This Row],[personeelsnr]]," ",C774," ",D774)</f>
        <v>#REF!</v>
      </c>
      <c r="C774" t="str">
        <f>VLOOKUP(bron[[#This Row],[personeelsnr]],'data hastus'!$A:$C,2,0)</f>
        <v>Landoulsi</v>
      </c>
      <c r="D774" t="str">
        <f>VLOOKUP(bron[[#This Row],[personeelsnr]],'data hastus'!$A:$C,3,0)</f>
        <v>Sabeur</v>
      </c>
      <c r="E774" t="str">
        <f>VLOOKUP(bron[[#This Row],[personeelsnr]],'data hastus'!A:K,11,FALSE)</f>
        <v>Christoff Rotty</v>
      </c>
      <c r="F774" s="10"/>
      <c r="G774" s="7">
        <v>1</v>
      </c>
      <c r="H774" s="7"/>
      <c r="I774" s="7"/>
      <c r="S774" s="5">
        <f>SUM(bron[[#This Row],[Januari]:[December]])</f>
        <v>1</v>
      </c>
      <c r="T774" s="9">
        <v>45302</v>
      </c>
      <c r="U774" s="8" t="s">
        <v>279</v>
      </c>
      <c r="V774" s="8">
        <v>1</v>
      </c>
      <c r="W774" s="8"/>
      <c r="X774" t="s">
        <v>57</v>
      </c>
      <c r="Y774" t="s">
        <v>139</v>
      </c>
    </row>
    <row r="775" spans="1:25" x14ac:dyDescent="0.25">
      <c r="A775">
        <v>17566</v>
      </c>
      <c r="B775" t="e">
        <f>_xlfn.CONCAT([2]!bron[[#This Row],[personeelsnr]]," ",C775," ",D775)</f>
        <v>#REF!</v>
      </c>
      <c r="C775" t="str">
        <f>VLOOKUP(bron[[#This Row],[personeelsnr]],'data hastus'!$A:$C,2,0)</f>
        <v>Praet</v>
      </c>
      <c r="D775" t="str">
        <f>VLOOKUP(bron[[#This Row],[personeelsnr]],'data hastus'!$A:$C,3,0)</f>
        <v>Reginald</v>
      </c>
      <c r="E775" t="str">
        <f>VLOOKUP(bron[[#This Row],[personeelsnr]],'data hastus'!A:K,11,FALSE)</f>
        <v>Bart Van Der Beken</v>
      </c>
      <c r="F775" s="10"/>
      <c r="G775" s="7">
        <v>1</v>
      </c>
      <c r="H775" s="7"/>
      <c r="I775" s="7"/>
      <c r="S775" s="5">
        <f>SUM(bron[[#This Row],[Januari]:[December]])</f>
        <v>1</v>
      </c>
      <c r="T775" s="9">
        <v>45302</v>
      </c>
      <c r="U775" s="8" t="s">
        <v>280</v>
      </c>
      <c r="V775" s="8"/>
      <c r="W775" s="8">
        <v>1</v>
      </c>
      <c r="X775" t="s">
        <v>58</v>
      </c>
      <c r="Y775" t="s">
        <v>31</v>
      </c>
    </row>
    <row r="776" spans="1:25" x14ac:dyDescent="0.25">
      <c r="A776">
        <v>38634</v>
      </c>
      <c r="B776" t="e">
        <f>_xlfn.CONCAT([2]!bron[[#This Row],[personeelsnr]]," ",C776," ",D776)</f>
        <v>#REF!</v>
      </c>
      <c r="C776" t="str">
        <f>VLOOKUP(bron[[#This Row],[personeelsnr]],'data hastus'!$A:$C,2,0)</f>
        <v>Asskale</v>
      </c>
      <c r="D776" t="str">
        <f>VLOOKUP(bron[[#This Row],[personeelsnr]],'data hastus'!$A:$C,3,0)</f>
        <v>Zouhir</v>
      </c>
      <c r="E776" t="str">
        <f>VLOOKUP(bron[[#This Row],[personeelsnr]],'data hastus'!A:K,11,FALSE)</f>
        <v>Bart Van Der Beken</v>
      </c>
      <c r="F776" s="10"/>
      <c r="G776" s="7">
        <v>1</v>
      </c>
      <c r="H776" s="7"/>
      <c r="I776" s="7"/>
      <c r="S776" s="5">
        <f>SUM(bron[[#This Row],[Januari]:[December]])</f>
        <v>1</v>
      </c>
      <c r="T776" s="9">
        <v>45302</v>
      </c>
      <c r="U776" s="8" t="s">
        <v>281</v>
      </c>
      <c r="V776" s="8">
        <v>1</v>
      </c>
      <c r="W776" s="8"/>
      <c r="X776" t="s">
        <v>57</v>
      </c>
      <c r="Y776" t="s">
        <v>23</v>
      </c>
    </row>
    <row r="777" spans="1:25" x14ac:dyDescent="0.25">
      <c r="A777">
        <v>37808</v>
      </c>
      <c r="B777" t="e">
        <f>_xlfn.CONCAT([2]!bron[[#This Row],[personeelsnr]]," ",C777," ",D777)</f>
        <v>#REF!</v>
      </c>
      <c r="C777" t="str">
        <f>VLOOKUP(bron[[#This Row],[personeelsnr]],'data hastus'!$A:$C,2,0)</f>
        <v>Gök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Els Vanhoe</v>
      </c>
      <c r="F777" s="10"/>
      <c r="G777" s="7">
        <v>1</v>
      </c>
      <c r="H777" s="7"/>
      <c r="I777" s="7"/>
      <c r="S777" s="5">
        <f>SUM(bron[[#This Row],[Januari]:[December]])</f>
        <v>1</v>
      </c>
      <c r="T777" s="9">
        <v>45301</v>
      </c>
      <c r="U777" s="8" t="s">
        <v>277</v>
      </c>
      <c r="V777" s="8">
        <v>1</v>
      </c>
      <c r="W777" s="8"/>
      <c r="X777" t="s">
        <v>57</v>
      </c>
      <c r="Y777" t="s">
        <v>23</v>
      </c>
    </row>
    <row r="778" spans="1:25" x14ac:dyDescent="0.25">
      <c r="A778">
        <v>39183</v>
      </c>
      <c r="B778" t="e">
        <f>_xlfn.CONCAT([2]!bron[[#This Row],[personeelsnr]]," ",C778," ",D778)</f>
        <v>#REF!</v>
      </c>
      <c r="C778" t="str">
        <f>VLOOKUP(bron[[#This Row],[personeelsnr]],'data hastus'!$A:$C,2,0)</f>
        <v>Al Masri</v>
      </c>
      <c r="D778" t="str">
        <f>VLOOKUP(bron[[#This Row],[personeelsnr]],'data hastus'!$A:$C,3,0)</f>
        <v>Anas</v>
      </c>
      <c r="E778" t="str">
        <f>VLOOKUP(bron[[#This Row],[personeelsnr]],'data hastus'!A:K,11,FALSE)</f>
        <v>Christoff Rotty</v>
      </c>
      <c r="F778" s="10"/>
      <c r="G778" s="7">
        <v>1</v>
      </c>
      <c r="H778" s="7"/>
      <c r="I778" s="7"/>
      <c r="S778" s="5">
        <f>SUM(bron[[#This Row],[Januari]:[December]])</f>
        <v>1</v>
      </c>
      <c r="T778" s="9">
        <v>45301</v>
      </c>
      <c r="U778" s="8" t="s">
        <v>278</v>
      </c>
      <c r="V778" s="8">
        <v>1</v>
      </c>
      <c r="W778" s="8"/>
      <c r="X778" t="s">
        <v>57</v>
      </c>
      <c r="Y778" t="s">
        <v>23</v>
      </c>
    </row>
    <row r="779" spans="1:25" x14ac:dyDescent="0.25">
      <c r="A779">
        <v>31111</v>
      </c>
      <c r="B779" t="e">
        <f>_xlfn.CONCAT([2]!bron[[#This Row],[personeelsnr]]," ",C779," ",D779)</f>
        <v>#REF!</v>
      </c>
      <c r="C779" t="str">
        <f>VLOOKUP(bron[[#This Row],[personeelsnr]],'data hastus'!$A:$C,2,0)</f>
        <v>Bonne</v>
      </c>
      <c r="D779" t="str">
        <f>VLOOKUP(bron[[#This Row],[personeelsnr]],'data hastus'!$A:$C,3,0)</f>
        <v>Niko</v>
      </c>
      <c r="E779" t="str">
        <f>VLOOKUP(bron[[#This Row],[personeelsnr]],'data hastus'!A:K,11,FALSE)</f>
        <v>Els Vanhoe</v>
      </c>
      <c r="F779" s="10"/>
      <c r="G779" s="7">
        <v>1</v>
      </c>
      <c r="H779" s="7"/>
      <c r="I779" s="7"/>
      <c r="S779" s="5">
        <f>SUM(bron[[#This Row],[Januari]:[December]])</f>
        <v>1</v>
      </c>
      <c r="T779" s="9">
        <v>45299</v>
      </c>
      <c r="U779" s="8" t="s">
        <v>275</v>
      </c>
      <c r="V779" s="8">
        <v>1</v>
      </c>
      <c r="W779" s="8"/>
      <c r="X779" t="s">
        <v>57</v>
      </c>
      <c r="Y779" t="s">
        <v>18</v>
      </c>
    </row>
    <row r="780" spans="1:25" x14ac:dyDescent="0.25">
      <c r="A780">
        <v>37313</v>
      </c>
      <c r="B780" t="e">
        <f>_xlfn.CONCAT([2]!bron[[#This Row],[personeelsnr]]," ",C780," ",D780)</f>
        <v>#REF!</v>
      </c>
      <c r="C780" t="str">
        <f>VLOOKUP(bron[[#This Row],[personeelsnr]],'data hastus'!$A:$C,2,0)</f>
        <v>Dedeci</v>
      </c>
      <c r="D780" t="str">
        <f>VLOOKUP(bron[[#This Row],[personeelsnr]],'data hastus'!$A:$C,3,0)</f>
        <v>Mecit</v>
      </c>
      <c r="E780" t="str">
        <f>VLOOKUP(bron[[#This Row],[personeelsnr]],'data hastus'!A:K,11,FALSE)</f>
        <v>Bart Van Der Beken</v>
      </c>
      <c r="F780" s="10"/>
      <c r="G780" s="7">
        <v>1</v>
      </c>
      <c r="H780" s="7"/>
      <c r="I780" s="7"/>
      <c r="S780" s="5">
        <f>SUM(bron[[#This Row],[Januari]:[December]])</f>
        <v>1</v>
      </c>
      <c r="T780" s="9">
        <v>45299</v>
      </c>
      <c r="U780" s="8" t="s">
        <v>276</v>
      </c>
      <c r="V780" s="8"/>
      <c r="W780" s="8">
        <v>1</v>
      </c>
      <c r="X780" t="s">
        <v>58</v>
      </c>
      <c r="Y780" t="s">
        <v>18</v>
      </c>
    </row>
    <row r="781" spans="1:25" x14ac:dyDescent="0.25">
      <c r="A781">
        <v>38346</v>
      </c>
      <c r="B781" t="e">
        <f>_xlfn.CONCAT([2]!bron[[#This Row],[personeelsnr]]," ",C781," ",D781)</f>
        <v>#REF!</v>
      </c>
      <c r="C781" t="str">
        <f>VLOOKUP(bron[[#This Row],[personeelsnr]],'data hastus'!$A:$C,2,0)</f>
        <v>Van Cleemputte</v>
      </c>
      <c r="D781" t="str">
        <f>VLOOKUP(bron[[#This Row],[personeelsnr]],'data hastus'!$A:$C,3,0)</f>
        <v>Thibeaux</v>
      </c>
      <c r="E781" t="str">
        <f>VLOOKUP(bron[[#This Row],[personeelsnr]],'data hastus'!A:K,11,FALSE)</f>
        <v>Els Vanhoe</v>
      </c>
      <c r="F781" s="10"/>
      <c r="G781" s="7">
        <v>1</v>
      </c>
      <c r="H781" s="7"/>
      <c r="I781" s="7"/>
      <c r="S781" s="5">
        <f>SUM(bron[[#This Row],[Januari]:[December]])</f>
        <v>1</v>
      </c>
      <c r="T781" s="9">
        <v>45297</v>
      </c>
      <c r="U781" s="8" t="s">
        <v>274</v>
      </c>
      <c r="V781" s="8">
        <v>1</v>
      </c>
      <c r="W781" s="8"/>
      <c r="X781" t="s">
        <v>57</v>
      </c>
      <c r="Y781" t="s">
        <v>18</v>
      </c>
    </row>
    <row r="782" spans="1:25" x14ac:dyDescent="0.25">
      <c r="A782">
        <v>9999</v>
      </c>
      <c r="B782" t="str">
        <f>_xlfn.CONCAT([2]!bron[[#This Row],[personeelsnr]]," ",C782," ",D782)</f>
        <v>9999 - -</v>
      </c>
      <c r="C782" t="s">
        <v>2919</v>
      </c>
      <c r="D782" t="s">
        <v>2919</v>
      </c>
      <c r="E782" t="s">
        <v>810</v>
      </c>
      <c r="F782" s="10"/>
      <c r="G782" s="7">
        <v>1</v>
      </c>
      <c r="H782" s="7"/>
      <c r="I782" s="7"/>
      <c r="S782" s="5">
        <f>SUM(bron[[#This Row],[Januari]:[December]])</f>
        <v>1</v>
      </c>
      <c r="T782" s="9">
        <v>45296</v>
      </c>
      <c r="U782" s="8" t="s">
        <v>271</v>
      </c>
      <c r="V782" s="8">
        <v>1</v>
      </c>
      <c r="W782" s="8"/>
      <c r="X782" t="s">
        <v>57</v>
      </c>
      <c r="Y782" t="s">
        <v>21</v>
      </c>
    </row>
    <row r="783" spans="1:25" x14ac:dyDescent="0.25">
      <c r="A783">
        <v>34328</v>
      </c>
      <c r="B783" t="e">
        <f>_xlfn.CONCAT([2]!bron[[#This Row],[personeelsnr]]," ",C783," ",D783)</f>
        <v>#REF!</v>
      </c>
      <c r="C783" t="str">
        <f>VLOOKUP(bron[[#This Row],[personeelsnr]],'data hastus'!$A:$C,2,0)</f>
        <v>Kerremans</v>
      </c>
      <c r="D783" t="str">
        <f>VLOOKUP(bron[[#This Row],[personeelsnr]],'data hastus'!$A:$C,3,0)</f>
        <v>Jürgen</v>
      </c>
      <c r="E783" t="str">
        <f>VLOOKUP(bron[[#This Row],[personeelsnr]],'data hastus'!A:K,11,FALSE)</f>
        <v>Kenneth De Rick</v>
      </c>
      <c r="F783" s="10"/>
      <c r="G783" s="7">
        <v>1</v>
      </c>
      <c r="H783" s="7"/>
      <c r="I783" s="7"/>
      <c r="S783" s="5">
        <f>SUM(bron[[#This Row],[Januari]:[December]])</f>
        <v>1</v>
      </c>
      <c r="T783" s="9">
        <v>45296</v>
      </c>
      <c r="U783" s="8" t="s">
        <v>272</v>
      </c>
      <c r="V783" s="8"/>
      <c r="W783" s="8">
        <v>1</v>
      </c>
      <c r="X783" t="s">
        <v>58</v>
      </c>
      <c r="Y783" t="s">
        <v>27</v>
      </c>
    </row>
    <row r="784" spans="1:25" x14ac:dyDescent="0.25">
      <c r="A784">
        <v>39581</v>
      </c>
      <c r="B784" t="e">
        <f>_xlfn.CONCAT([2]!bron[[#This Row],[personeelsnr]]," ",C784," ",D784)</f>
        <v>#REF!</v>
      </c>
      <c r="C784" t="str">
        <f>VLOOKUP(bron[[#This Row],[personeelsnr]],'data hastus'!$A:$C,2,0)</f>
        <v>Vandenhaute</v>
      </c>
      <c r="D784" t="str">
        <f>VLOOKUP(bron[[#This Row],[personeelsnr]],'data hastus'!$A:$C,3,0)</f>
        <v>Linus</v>
      </c>
      <c r="E784" t="str">
        <f>VLOOKUP(bron[[#This Row],[personeelsnr]],'data hastus'!A:K,11,FALSE)</f>
        <v>Els Dewulf</v>
      </c>
      <c r="F784" s="10"/>
      <c r="G784" s="7">
        <v>1</v>
      </c>
      <c r="H784" s="7"/>
      <c r="I784" s="7"/>
      <c r="S784" s="5">
        <f>SUM(bron[[#This Row],[Januari]:[December]])</f>
        <v>1</v>
      </c>
      <c r="T784" s="9">
        <v>45296</v>
      </c>
      <c r="U784" s="8" t="s">
        <v>273</v>
      </c>
      <c r="V784" s="8">
        <v>1</v>
      </c>
      <c r="W784" s="8"/>
      <c r="X784" t="s">
        <v>57</v>
      </c>
      <c r="Y784" t="s">
        <v>18</v>
      </c>
    </row>
    <row r="785" spans="1:25" x14ac:dyDescent="0.25">
      <c r="A785">
        <v>40744</v>
      </c>
      <c r="B785" t="e">
        <f>_xlfn.CONCAT([2]!bron[[#This Row],[personeelsnr]]," ",C785," ",D785)</f>
        <v>#REF!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>
        <v>45630</v>
      </c>
      <c r="G785" s="6"/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0</v>
      </c>
      <c r="T785" s="3"/>
      <c r="U785" s="8" t="s">
        <v>751</v>
      </c>
      <c r="V785" s="8">
        <v>1</v>
      </c>
      <c r="W785" s="8"/>
      <c r="X785" t="s">
        <v>57</v>
      </c>
      <c r="Y785" t="s">
        <v>176</v>
      </c>
    </row>
    <row r="786" spans="1:25" x14ac:dyDescent="0.25">
      <c r="A786">
        <v>35490</v>
      </c>
      <c r="B786" t="e">
        <f>_xlfn.CONCAT([2]!bron[[#This Row],[personeelsnr]]," ",C786," ",D786)</f>
        <v>#REF!</v>
      </c>
      <c r="C786" t="str">
        <f>VLOOKUP(bron[[#This Row],[personeelsnr]],'data hastus'!$A:$C,2,0)</f>
        <v>Nguetto</v>
      </c>
      <c r="D786" t="str">
        <f>VLOOKUP(bron[[#This Row],[personeelsnr]],'data hastus'!$A:$C,3,0)</f>
        <v>Brisco Romeo</v>
      </c>
      <c r="E786" t="str">
        <f>VLOOKUP(bron[[#This Row],[personeelsnr]],'data hastus'!A:K,11,FALSE)</f>
        <v>Steven Storm</v>
      </c>
      <c r="F786" s="10">
        <v>45706</v>
      </c>
      <c r="G786" s="6"/>
      <c r="H786" s="6">
        <v>1</v>
      </c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/>
      <c r="U786" s="8" t="s">
        <v>796</v>
      </c>
      <c r="V786" s="8">
        <v>1</v>
      </c>
      <c r="W786" s="8"/>
      <c r="X786" t="s">
        <v>57</v>
      </c>
      <c r="Y786" t="s">
        <v>81</v>
      </c>
    </row>
    <row r="787" spans="1:25" x14ac:dyDescent="0.25">
      <c r="A787">
        <v>37509</v>
      </c>
      <c r="B787" t="e">
        <f>_xlfn.CONCAT([2]!bron[[#This Row],[personeelsnr]]," ",C787," ",D787)</f>
        <v>#REF!</v>
      </c>
      <c r="C787" t="str">
        <f>VLOOKUP(bron[[#This Row],[personeelsnr]],'data hastus'!$A:$C,2,0)</f>
        <v>Abdulkader</v>
      </c>
      <c r="D787" t="str">
        <f>VLOOKUP(bron[[#This Row],[personeelsnr]],'data hastus'!$A:$C,3,0)</f>
        <v>Sabah</v>
      </c>
      <c r="E787" t="str">
        <f>VLOOKUP(bron[[#This Row],[personeelsnr]],'data hastus'!A:K,11,FALSE)</f>
        <v>Bart Van Der Beken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798</v>
      </c>
      <c r="V787" s="8">
        <v>1</v>
      </c>
      <c r="W787" s="8"/>
      <c r="X787" t="s">
        <v>57</v>
      </c>
      <c r="Y787" t="s">
        <v>202</v>
      </c>
    </row>
    <row r="788" spans="1:25" x14ac:dyDescent="0.25">
      <c r="A788">
        <v>37543</v>
      </c>
      <c r="B788" t="e">
        <f>_xlfn.CONCAT([2]!bron[[#This Row],[personeelsnr]]," ",C788," ",D788)</f>
        <v>#REF!</v>
      </c>
      <c r="C788" t="str">
        <f>VLOOKUP(bron[[#This Row],[personeelsnr]],'data hastus'!$A:$C,2,0)</f>
        <v>Öztürk</v>
      </c>
      <c r="D788" t="str">
        <f>VLOOKUP(bron[[#This Row],[personeelsnr]],'data hastus'!$A:$C,3,0)</f>
        <v>Bilgehan</v>
      </c>
      <c r="E788" t="str">
        <f>VLOOKUP(bron[[#This Row],[personeelsnr]],'data hastus'!A:K,11,FALSE)</f>
        <v>Kenneth De Rick</v>
      </c>
      <c r="F788" s="10">
        <v>45703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799</v>
      </c>
      <c r="V788" s="8">
        <v>1</v>
      </c>
      <c r="W788" s="8"/>
      <c r="X788" t="s">
        <v>57</v>
      </c>
      <c r="Y788" t="s">
        <v>64</v>
      </c>
    </row>
    <row r="789" spans="1:25" x14ac:dyDescent="0.25">
      <c r="A789">
        <v>39831</v>
      </c>
      <c r="B789" t="e">
        <f>_xlfn.CONCAT([2]!bron[[#This Row],[personeelsnr]]," ",C789," ",D789)</f>
        <v>#REF!</v>
      </c>
      <c r="C789" t="str">
        <f>VLOOKUP(bron[[#This Row],[personeelsnr]],'data hastus'!$A:$C,2,0)</f>
        <v>Dolgiev</v>
      </c>
      <c r="D789" t="str">
        <f>VLOOKUP(bron[[#This Row],[personeelsnr]],'data hastus'!$A:$C,3,0)</f>
        <v>Mukhamed</v>
      </c>
      <c r="E789" t="str">
        <f>VLOOKUP(bron[[#This Row],[personeelsnr]],'data hastus'!A:K,11,FALSE)</f>
        <v>Els Dewulf</v>
      </c>
      <c r="F789" s="10">
        <v>45710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800</v>
      </c>
      <c r="V789" s="8">
        <v>1</v>
      </c>
      <c r="W789" s="8"/>
      <c r="X789" t="s">
        <v>57</v>
      </c>
      <c r="Y789" t="s">
        <v>35</v>
      </c>
    </row>
    <row r="790" spans="1:25" x14ac:dyDescent="0.25">
      <c r="A790">
        <v>39633</v>
      </c>
      <c r="B790" t="e">
        <f>_xlfn.CONCAT([2]!bron[[#This Row],[personeelsnr]]," ",C790," ",D790)</f>
        <v>#REF!</v>
      </c>
      <c r="C790" t="str">
        <f>VLOOKUP(bron[[#This Row],[personeelsnr]],'data hastus'!$A:$C,2,0)</f>
        <v>Duyck</v>
      </c>
      <c r="D790" t="str">
        <f>VLOOKUP(bron[[#This Row],[personeelsnr]],'data hastus'!$A:$C,3,0)</f>
        <v>Kimberly</v>
      </c>
      <c r="E790" t="str">
        <f>VLOOKUP(bron[[#This Row],[personeelsnr]],'data hastus'!A:K,11,FALSE)</f>
        <v>Lucie Vande Velde</v>
      </c>
      <c r="F790" s="10">
        <v>45782</v>
      </c>
      <c r="G790" s="6"/>
      <c r="H790" s="6"/>
      <c r="I790" s="6"/>
      <c r="J790"/>
      <c r="K790">
        <v>1</v>
      </c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3208</v>
      </c>
      <c r="V790" s="8">
        <v>1</v>
      </c>
      <c r="W790" s="8"/>
      <c r="X790" t="s">
        <v>57</v>
      </c>
      <c r="Y790" t="s">
        <v>33</v>
      </c>
    </row>
    <row r="791" spans="1:25" x14ac:dyDescent="0.25">
      <c r="A791">
        <v>40058</v>
      </c>
      <c r="B791" t="e">
        <f>_xlfn.CONCAT([2]!bron[[#This Row],[personeelsnr]]," ",C791," ",D791)</f>
        <v>#REF!</v>
      </c>
      <c r="C791" t="str">
        <f>VLOOKUP(bron[[#This Row],[personeelsnr]],'data hastus'!$A:$C,2,0)</f>
        <v>Sögüt</v>
      </c>
      <c r="D791" t="str">
        <f>VLOOKUP(bron[[#This Row],[personeelsnr]],'data hastus'!$A:$C,3,0)</f>
        <v>Can</v>
      </c>
      <c r="E791" t="str">
        <f>VLOOKUP(bron[[#This Row],[personeelsnr]],'data hastus'!A:K,11,FALSE)</f>
        <v>Christoff Rotty</v>
      </c>
      <c r="F791" s="10">
        <v>45660</v>
      </c>
      <c r="G791" s="6"/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0</v>
      </c>
      <c r="T791" s="3"/>
      <c r="U791" s="8" t="s">
        <v>801</v>
      </c>
      <c r="V791" s="8">
        <v>1</v>
      </c>
      <c r="W791" s="8"/>
      <c r="X791" t="s">
        <v>57</v>
      </c>
      <c r="Y791" t="s">
        <v>39</v>
      </c>
    </row>
    <row r="792" spans="1:25" x14ac:dyDescent="0.25">
      <c r="A792">
        <v>22052</v>
      </c>
      <c r="B792" t="e">
        <f>_xlfn.CONCAT([2]!bron[[#This Row],[personeelsnr]]," ",C792," ",D792)</f>
        <v>#REF!</v>
      </c>
      <c r="C792" t="str">
        <f>VLOOKUP(bron[[#This Row],[personeelsnr]],'data hastus'!$A:$C,2,0)</f>
        <v>Meyvaert</v>
      </c>
      <c r="D792" t="str">
        <f>VLOOKUP(bron[[#This Row],[personeelsnr]],'data hastus'!$A:$C,3,0)</f>
        <v>Peter</v>
      </c>
      <c r="E792" t="str">
        <f>VLOOKUP(bron[[#This Row],[personeelsnr]],'data hastus'!A:K,11,FALSE)</f>
        <v>Els Dewulf</v>
      </c>
      <c r="F792" s="10">
        <v>45670</v>
      </c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/>
      <c r="U792" s="8" t="s">
        <v>802</v>
      </c>
      <c r="V792" s="8">
        <v>1</v>
      </c>
      <c r="W792" s="8"/>
      <c r="X792" t="s">
        <v>57</v>
      </c>
      <c r="Y792" t="s">
        <v>35</v>
      </c>
    </row>
    <row r="793" spans="1:25" x14ac:dyDescent="0.25">
      <c r="A793">
        <v>37662</v>
      </c>
      <c r="B793" t="e">
        <f>_xlfn.CONCAT([2]!bron[[#This Row],[personeelsnr]]," ",C793," ",D793)</f>
        <v>#REF!</v>
      </c>
      <c r="C793" t="str">
        <f>VLOOKUP(bron[[#This Row],[personeelsnr]],'data hastus'!$A:$C,2,0)</f>
        <v>Van den Meerssche</v>
      </c>
      <c r="D793" t="str">
        <f>VLOOKUP(bron[[#This Row],[personeelsnr]],'data hastus'!$A:$C,3,0)</f>
        <v>Steven</v>
      </c>
      <c r="E793" t="str">
        <f>VLOOKUP(bron[[#This Row],[personeelsnr]],'data hastus'!A:K,11,FALSE)</f>
        <v>Bart Van Der Beken</v>
      </c>
      <c r="F793" s="10">
        <v>45783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3207</v>
      </c>
      <c r="V793" s="8">
        <v>1</v>
      </c>
      <c r="W793" s="8"/>
      <c r="X793" t="s">
        <v>57</v>
      </c>
      <c r="Y793" t="s">
        <v>20</v>
      </c>
    </row>
    <row r="794" spans="1:25" x14ac:dyDescent="0.25">
      <c r="A794">
        <v>21509</v>
      </c>
      <c r="B794" t="e">
        <f>_xlfn.CONCAT([2]!bron[[#This Row],[personeelsnr]]," ",C794," ",D794)</f>
        <v>#REF!</v>
      </c>
      <c r="C794" t="str">
        <f>VLOOKUP(bron[[#This Row],[personeelsnr]],'data hastus'!$A:$C,2,0)</f>
        <v>De Craemer</v>
      </c>
      <c r="D794" t="str">
        <f>VLOOKUP(bron[[#This Row],[personeelsnr]],'data hastus'!$A:$C,3,0)</f>
        <v>Kris</v>
      </c>
      <c r="E794" t="str">
        <f>VLOOKUP(bron[[#This Row],[personeelsnr]],'data hastus'!A:K,11,FALSE)</f>
        <v>Dominique De Clercq</v>
      </c>
      <c r="F794" s="10">
        <v>45684</v>
      </c>
      <c r="G794" s="6"/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0</v>
      </c>
      <c r="T794" s="3"/>
      <c r="U794" s="8" t="s">
        <v>803</v>
      </c>
      <c r="V794" s="8"/>
      <c r="W794" s="8">
        <v>1</v>
      </c>
      <c r="X794" t="s">
        <v>58</v>
      </c>
      <c r="Y794" t="s">
        <v>34</v>
      </c>
    </row>
    <row r="795" spans="1:25" x14ac:dyDescent="0.25">
      <c r="A795">
        <v>28737</v>
      </c>
      <c r="B795" t="e">
        <f>_xlfn.CONCAT([2]!bron[[#This Row],[personeelsnr]]," ",C795," ",D795)</f>
        <v>#REF!</v>
      </c>
      <c r="C795" t="str">
        <f>VLOOKUP(bron[[#This Row],[personeelsnr]],'data hastus'!$A:$C,2,0)</f>
        <v>El-Mohamed</v>
      </c>
      <c r="D795" t="str">
        <f>VLOOKUP(bron[[#This Row],[personeelsnr]],'data hastus'!$A:$C,3,0)</f>
        <v>Mohamed</v>
      </c>
      <c r="E795" t="str">
        <f>VLOOKUP(bron[[#This Row],[personeelsnr]],'data hastus'!A:K,11,FALSE)</f>
        <v>Lucie Vande Velde</v>
      </c>
      <c r="F795" s="10">
        <v>45715</v>
      </c>
      <c r="G795" s="6"/>
      <c r="H795" s="6">
        <v>1</v>
      </c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804</v>
      </c>
      <c r="V795" s="8"/>
      <c r="W795" s="8">
        <v>1</v>
      </c>
      <c r="X795" t="s">
        <v>58</v>
      </c>
      <c r="Y795" t="s">
        <v>127</v>
      </c>
    </row>
    <row r="796" spans="1:25" x14ac:dyDescent="0.25">
      <c r="A796">
        <v>29646</v>
      </c>
      <c r="B796" t="e">
        <f>_xlfn.CONCAT([2]!bron[[#This Row],[personeelsnr]]," ",C796," ",D796)</f>
        <v>#REF!</v>
      </c>
      <c r="C796" t="str">
        <f>VLOOKUP(bron[[#This Row],[personeelsnr]],'data hastus'!$A:$C,2,0)</f>
        <v>Özer</v>
      </c>
      <c r="D796" t="str">
        <f>VLOOKUP(bron[[#This Row],[personeelsnr]],'data hastus'!$A:$C,3,0)</f>
        <v>Mesut</v>
      </c>
      <c r="E796" t="str">
        <f>VLOOKUP(bron[[#This Row],[personeelsnr]],'data hastus'!A:K,11,FALSE)</f>
        <v>Dominique De Clercq</v>
      </c>
      <c r="F796" s="10">
        <v>45836</v>
      </c>
      <c r="G796" s="7"/>
      <c r="H796" s="7"/>
      <c r="I796" s="7"/>
      <c r="L796" s="5">
        <v>1</v>
      </c>
      <c r="S796" s="5">
        <f>SUM(bron[[#This Row],[Januari]:[December]])</f>
        <v>1</v>
      </c>
      <c r="U796" s="8" t="s">
        <v>3246</v>
      </c>
      <c r="V796" s="24">
        <v>1</v>
      </c>
      <c r="W796" s="24"/>
      <c r="X796" t="s">
        <v>57</v>
      </c>
      <c r="Y796" t="s">
        <v>2898</v>
      </c>
    </row>
    <row r="797" spans="1:25" x14ac:dyDescent="0.25">
      <c r="A797">
        <v>19249</v>
      </c>
      <c r="B797" t="e">
        <f>_xlfn.CONCAT([2]!bron[[#This Row],[personeelsnr]]," ",C797," ",D797)</f>
        <v>#REF!</v>
      </c>
      <c r="C797" t="str">
        <f>VLOOKUP(bron[[#This Row],[personeelsnr]],'data hastus'!$A:$C,2,0)</f>
        <v>Odaci</v>
      </c>
      <c r="D797" t="str">
        <f>VLOOKUP(bron[[#This Row],[personeelsnr]],'data hastus'!$A:$C,3,0)</f>
        <v>Kadir</v>
      </c>
      <c r="E797" t="str">
        <f>VLOOKUP(bron[[#This Row],[personeelsnr]],'data hastus'!A:K,11,FALSE)</f>
        <v>Lucie Vande Velde</v>
      </c>
      <c r="F797" s="10">
        <v>45674</v>
      </c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/>
      <c r="U797" s="8" t="s">
        <v>805</v>
      </c>
      <c r="V797" s="8"/>
      <c r="W797" s="8">
        <v>1</v>
      </c>
      <c r="X797" t="s">
        <v>58</v>
      </c>
      <c r="Y797" t="s">
        <v>126</v>
      </c>
    </row>
    <row r="798" spans="1:25" x14ac:dyDescent="0.25">
      <c r="A798">
        <v>35588</v>
      </c>
      <c r="B798" t="e">
        <f>_xlfn.CONCAT([2]!bron[[#This Row],[personeelsnr]]," ",C798," ",D798)</f>
        <v>#REF!</v>
      </c>
      <c r="C798" t="str">
        <f>VLOOKUP(bron[[#This Row],[personeelsnr]],'data hastus'!$A:$C,2,0)</f>
        <v>Smesman</v>
      </c>
      <c r="D798" t="str">
        <f>VLOOKUP(bron[[#This Row],[personeelsnr]],'data hastus'!$A:$C,3,0)</f>
        <v>Glenn</v>
      </c>
      <c r="E798" t="str">
        <f>VLOOKUP(bron[[#This Row],[personeelsnr]],'data hastus'!A:K,11,FALSE)</f>
        <v>Lucie Vande Velde</v>
      </c>
      <c r="F798" s="10">
        <v>45675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806</v>
      </c>
      <c r="V798" s="8"/>
      <c r="W798" s="8">
        <v>1</v>
      </c>
      <c r="X798" t="s">
        <v>58</v>
      </c>
      <c r="Y798" t="s">
        <v>27</v>
      </c>
    </row>
    <row r="799" spans="1:25" x14ac:dyDescent="0.25">
      <c r="A799">
        <v>39677</v>
      </c>
      <c r="B799" t="e">
        <f>_xlfn.CONCAT([2]!bron[[#This Row],[personeelsnr]]," ",C799," ",D799)</f>
        <v>#REF!</v>
      </c>
      <c r="C799" t="str">
        <f>VLOOKUP(bron[[#This Row],[personeelsnr]],'data hastus'!$A:$C,2,0)</f>
        <v>Tacq</v>
      </c>
      <c r="D799" t="str">
        <f>VLOOKUP(bron[[#This Row],[personeelsnr]],'data hastus'!$A:$C,3,0)</f>
        <v>Joey</v>
      </c>
      <c r="E799" t="str">
        <f>VLOOKUP(bron[[#This Row],[personeelsnr]],'data hastus'!A:K,11,FALSE)</f>
        <v>Kenneth De Rick</v>
      </c>
      <c r="F799" s="10">
        <v>45754</v>
      </c>
      <c r="G799" s="6"/>
      <c r="H799" s="6"/>
      <c r="I799" s="6"/>
      <c r="J799">
        <v>1</v>
      </c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3142</v>
      </c>
      <c r="V799" s="8">
        <v>1</v>
      </c>
      <c r="W799" s="8"/>
      <c r="X799" t="s">
        <v>57</v>
      </c>
      <c r="Y799" t="s">
        <v>152</v>
      </c>
    </row>
    <row r="800" spans="1:25" x14ac:dyDescent="0.25">
      <c r="A800">
        <v>23700</v>
      </c>
      <c r="B800" t="e">
        <f>_xlfn.CONCAT([2]!bron[[#This Row],[personeelsnr]]," ",C800," ",D800)</f>
        <v>#REF!</v>
      </c>
      <c r="C800" t="str">
        <f>VLOOKUP(bron[[#This Row],[personeelsnr]],'data hastus'!$A:$C,2,0)</f>
        <v>Byosière</v>
      </c>
      <c r="D800" t="str">
        <f>VLOOKUP(bron[[#This Row],[personeelsnr]],'data hastus'!$A:$C,3,0)</f>
        <v>Christof</v>
      </c>
      <c r="E800" t="str">
        <f>VLOOKUP(bron[[#This Row],[personeelsnr]],'data hastus'!A:K,11,FALSE)</f>
        <v>Dominique De Clercq</v>
      </c>
      <c r="F800" s="10">
        <v>45763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3150</v>
      </c>
      <c r="V800" s="8">
        <v>1</v>
      </c>
      <c r="W800" s="8"/>
      <c r="X800" t="s">
        <v>57</v>
      </c>
      <c r="Y800" t="s">
        <v>19</v>
      </c>
    </row>
    <row r="801" spans="1:25" x14ac:dyDescent="0.25">
      <c r="A801">
        <v>38740</v>
      </c>
      <c r="B801" t="e">
        <f>_xlfn.CONCAT([2]!bron[[#This Row],[personeelsnr]]," ",C801," ",D801)</f>
        <v>#REF!</v>
      </c>
      <c r="C801" t="str">
        <f>VLOOKUP(bron[[#This Row],[personeelsnr]],'data hastus'!$A:$C,2,0)</f>
        <v>Meskens</v>
      </c>
      <c r="D801" t="str">
        <f>VLOOKUP(bron[[#This Row],[personeelsnr]],'data hastus'!$A:$C,3,0)</f>
        <v>Anthony</v>
      </c>
      <c r="E801" t="str">
        <f>VLOOKUP(bron[[#This Row],[personeelsnr]],'data hastus'!A:K,11,FALSE)</f>
        <v>Christoff Rotty</v>
      </c>
      <c r="F801" s="10">
        <v>45777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3168</v>
      </c>
      <c r="V801" s="8"/>
      <c r="W801" s="8">
        <v>1</v>
      </c>
      <c r="X801" t="s">
        <v>58</v>
      </c>
      <c r="Y801" t="s">
        <v>144</v>
      </c>
    </row>
    <row r="802" spans="1:25" x14ac:dyDescent="0.25">
      <c r="A802">
        <v>32002</v>
      </c>
      <c r="B802" t="e">
        <f>_xlfn.CONCAT([2]!bron[[#This Row],[personeelsnr]]," ",C802," ",D802)</f>
        <v>#REF!</v>
      </c>
      <c r="C802" t="str">
        <f>VLOOKUP(bron[[#This Row],[personeelsnr]],'data hastus'!$A:$C,2,0)</f>
        <v>Hasni</v>
      </c>
      <c r="D802" t="str">
        <f>VLOOKUP(bron[[#This Row],[personeelsnr]],'data hastus'!$A:$C,3,0)</f>
        <v>Helmi</v>
      </c>
      <c r="E802" t="str">
        <f>VLOOKUP(bron[[#This Row],[personeelsnr]],'data hastus'!A:K,11,FALSE)</f>
        <v>Steven Storm</v>
      </c>
      <c r="F802" s="10">
        <v>45773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3175</v>
      </c>
      <c r="V802" s="8"/>
      <c r="W802" s="8">
        <v>1</v>
      </c>
      <c r="X802" t="s">
        <v>58</v>
      </c>
      <c r="Y802" t="s">
        <v>19</v>
      </c>
    </row>
    <row r="803" spans="1:25" x14ac:dyDescent="0.25">
      <c r="A803">
        <v>26960</v>
      </c>
      <c r="B803" t="e">
        <f>_xlfn.CONCAT([2]!bron[[#This Row],[personeelsnr]]," ",C803," ",D803)</f>
        <v>#REF!</v>
      </c>
      <c r="C803" t="str">
        <f>VLOOKUP(bron[[#This Row],[personeelsnr]],'data hastus'!$A:$C,2,0)</f>
        <v>Toubadie</v>
      </c>
      <c r="D803" t="str">
        <f>VLOOKUP(bron[[#This Row],[personeelsnr]],'data hastus'!$A:$C,3,0)</f>
        <v>Mossa</v>
      </c>
      <c r="E803" t="str">
        <f>VLOOKUP(bron[[#This Row],[personeelsnr]],'data hastus'!A:K,11,FALSE)</f>
        <v>Els Vanhoe</v>
      </c>
      <c r="F803" s="10">
        <v>45798</v>
      </c>
      <c r="G803" s="7"/>
      <c r="H803" s="7"/>
      <c r="I803" s="7"/>
      <c r="K803" s="5">
        <v>1</v>
      </c>
      <c r="S803" s="5">
        <f>SUM(bron[[#This Row],[Januari]:[December]])</f>
        <v>1</v>
      </c>
      <c r="T803" s="23"/>
      <c r="U803" s="8" t="s">
        <v>3189</v>
      </c>
      <c r="V803" s="8">
        <v>1</v>
      </c>
      <c r="W803" s="8"/>
      <c r="X803" t="s">
        <v>57</v>
      </c>
      <c r="Y803" t="s">
        <v>105</v>
      </c>
    </row>
    <row r="804" spans="1:25" x14ac:dyDescent="0.25">
      <c r="A804">
        <v>29746</v>
      </c>
      <c r="B804" t="e">
        <f>_xlfn.CONCAT([2]!bron[[#This Row],[personeelsnr]]," ",C804," ",D804)</f>
        <v>#REF!</v>
      </c>
      <c r="C804" t="str">
        <f>VLOOKUP(bron[[#This Row],[personeelsnr]],'data hastus'!$A:$C,2,0)</f>
        <v>Huyse</v>
      </c>
      <c r="D804" t="str">
        <f>VLOOKUP(bron[[#This Row],[personeelsnr]],'data hastus'!$A:$C,3,0)</f>
        <v>Annicke</v>
      </c>
      <c r="E804" t="str">
        <f>VLOOKUP(bron[[#This Row],[personeelsnr]],'data hastus'!A:K,11,FALSE)</f>
        <v>Bart Van Der Beken</v>
      </c>
      <c r="F804" s="10">
        <v>45831</v>
      </c>
      <c r="G804" s="7"/>
      <c r="H804" s="7"/>
      <c r="I804" s="7"/>
      <c r="L804" s="5">
        <v>1</v>
      </c>
      <c r="S804" s="5">
        <f>SUM(bron[[#This Row],[Januari]:[December]])</f>
        <v>1</v>
      </c>
      <c r="U804" s="8" t="s">
        <v>3242</v>
      </c>
      <c r="V804" s="24"/>
      <c r="W804" s="24">
        <v>1</v>
      </c>
      <c r="X804" t="s">
        <v>58</v>
      </c>
      <c r="Y804" t="s">
        <v>123</v>
      </c>
    </row>
    <row r="805" spans="1:25" x14ac:dyDescent="0.25">
      <c r="A805">
        <v>14625</v>
      </c>
      <c r="B805" t="e">
        <f>_xlfn.CONCAT([2]!bron[[#This Row],[personeelsnr]]," ",C805," ",D805)</f>
        <v>#REF!</v>
      </c>
      <c r="C805" t="str">
        <f>VLOOKUP(bron[[#This Row],[personeelsnr]],'data hastus'!$A:$C,2,0)</f>
        <v>Rodrigue</v>
      </c>
      <c r="D805" t="str">
        <f>VLOOKUP(bron[[#This Row],[personeelsnr]],'data hastus'!$A:$C,3,0)</f>
        <v>Vincent</v>
      </c>
      <c r="E805" t="str">
        <f>VLOOKUP(bron[[#This Row],[personeelsnr]],'data hastus'!A:K,11,FALSE)</f>
        <v>Lucie Vande Velde</v>
      </c>
      <c r="F805" s="10">
        <v>45828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3212</v>
      </c>
      <c r="V805" s="24">
        <v>1</v>
      </c>
      <c r="W805" s="24"/>
      <c r="X805" t="s">
        <v>57</v>
      </c>
      <c r="Y805" t="s">
        <v>49</v>
      </c>
    </row>
    <row r="806" spans="1:25" x14ac:dyDescent="0.25">
      <c r="A806">
        <v>31600</v>
      </c>
      <c r="B806" t="e">
        <f>_xlfn.CONCAT([2]!bron[[#This Row],[personeelsnr]]," ",C806," ",D806)</f>
        <v>#REF!</v>
      </c>
      <c r="C806" t="str">
        <f>VLOOKUP(bron[[#This Row],[personeelsnr]],'data hastus'!$A:$C,2,0)</f>
        <v>Mertens</v>
      </c>
      <c r="D806" t="str">
        <f>VLOOKUP(bron[[#This Row],[personeelsnr]],'data hastus'!$A:$C,3,0)</f>
        <v>Tom</v>
      </c>
      <c r="E806" t="str">
        <f>VLOOKUP(bron[[#This Row],[personeelsnr]],'data hastus'!A:K,11,FALSE)</f>
        <v>Els Dewulf</v>
      </c>
      <c r="F806" s="10">
        <v>45737</v>
      </c>
      <c r="G806" s="6"/>
      <c r="H806" s="6"/>
      <c r="I806" s="6">
        <v>1</v>
      </c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3103</v>
      </c>
      <c r="V806" s="8">
        <v>1</v>
      </c>
      <c r="W806" s="8"/>
      <c r="X806" t="s">
        <v>57</v>
      </c>
      <c r="Y806" t="s">
        <v>797</v>
      </c>
    </row>
    <row r="807" spans="1:25" x14ac:dyDescent="0.25">
      <c r="A807">
        <v>39779</v>
      </c>
      <c r="B807" t="e">
        <f>_xlfn.CONCAT([2]!bron[[#This Row],[personeelsnr]]," ",C807," ",D807)</f>
        <v>#REF!</v>
      </c>
      <c r="C807" t="str">
        <f>VLOOKUP(bron[[#This Row],[personeelsnr]],'data hastus'!$A:$C,2,0)</f>
        <v>Avci</v>
      </c>
      <c r="D807" t="str">
        <f>VLOOKUP(bron[[#This Row],[personeelsnr]],'data hastus'!$A:$C,3,0)</f>
        <v>Muhammet Abdullah</v>
      </c>
      <c r="E807" t="str">
        <f>VLOOKUP(bron[[#This Row],[personeelsnr]],'data hastus'!A:K,11,FALSE)</f>
        <v>Bart Van Der Beken</v>
      </c>
      <c r="F807" s="10">
        <v>45735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3108</v>
      </c>
      <c r="V807" s="8">
        <v>1</v>
      </c>
      <c r="W807" s="8"/>
      <c r="X807" t="s">
        <v>57</v>
      </c>
      <c r="Y807" t="s">
        <v>27</v>
      </c>
    </row>
    <row r="808" spans="1:25" x14ac:dyDescent="0.25">
      <c r="A808">
        <v>30119</v>
      </c>
      <c r="B808" t="e">
        <f>_xlfn.CONCAT([2]!bron[[#This Row],[personeelsnr]]," ",C808," ",D808)</f>
        <v>#REF!</v>
      </c>
      <c r="C808" t="str">
        <f>VLOOKUP(bron[[#This Row],[personeelsnr]],'data hastus'!$A:$C,2,0)</f>
        <v>Haerens</v>
      </c>
      <c r="D808" t="str">
        <f>VLOOKUP(bron[[#This Row],[personeelsnr]],'data hastus'!$A:$C,3,0)</f>
        <v>Tom</v>
      </c>
      <c r="E808" t="str">
        <f>VLOOKUP(bron[[#This Row],[personeelsnr]],'data hastus'!A:K,11,FALSE)</f>
        <v>Dominique De Clercq</v>
      </c>
      <c r="F808" s="10">
        <v>45813</v>
      </c>
      <c r="G808" s="7"/>
      <c r="H808" s="7"/>
      <c r="I808" s="7"/>
      <c r="L808" s="5">
        <v>1</v>
      </c>
      <c r="S808" s="5">
        <f>SUM(bron[[#This Row],[Januari]:[December]])</f>
        <v>1</v>
      </c>
      <c r="U808" s="8" t="s">
        <v>3237</v>
      </c>
      <c r="V808" s="24"/>
      <c r="W808" s="24">
        <v>1</v>
      </c>
      <c r="X808" t="s">
        <v>58</v>
      </c>
      <c r="Y808" t="s">
        <v>25</v>
      </c>
    </row>
    <row r="809" spans="1:25" x14ac:dyDescent="0.25">
      <c r="A809">
        <v>11120</v>
      </c>
      <c r="B809" t="e">
        <f>_xlfn.CONCAT([2]!bron[[#This Row],[personeelsnr]]," ",C809," ",D809)</f>
        <v>#REF!</v>
      </c>
      <c r="C809" t="str">
        <f>VLOOKUP(bron[[#This Row],[personeelsnr]],'data hastus'!$A:$C,2,0)</f>
        <v>De Vrieze</v>
      </c>
      <c r="D809" t="str">
        <f>VLOOKUP(bron[[#This Row],[personeelsnr]],'data hastus'!$A:$C,3,0)</f>
        <v>Ludo</v>
      </c>
      <c r="E809" t="str">
        <f>VLOOKUP(bron[[#This Row],[personeelsnr]],'data hastus'!A:K,11,FALSE)</f>
        <v>Lucie Vande Velde</v>
      </c>
      <c r="F809" s="10">
        <v>45735</v>
      </c>
      <c r="G809" s="6"/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0</v>
      </c>
      <c r="T809" s="3"/>
      <c r="U809" s="8" t="s">
        <v>3124</v>
      </c>
      <c r="V809" s="8"/>
      <c r="W809" s="8">
        <v>1</v>
      </c>
      <c r="X809" t="s">
        <v>58</v>
      </c>
      <c r="Y809" t="s">
        <v>164</v>
      </c>
    </row>
    <row r="810" spans="1:25" x14ac:dyDescent="0.25">
      <c r="A810">
        <v>35495</v>
      </c>
      <c r="B810" t="e">
        <f>_xlfn.CONCAT([2]!bron[[#This Row],[personeelsnr]]," ",C810," ",D810)</f>
        <v>#REF!</v>
      </c>
      <c r="C810" t="str">
        <f>VLOOKUP(bron[[#This Row],[personeelsnr]],'data hastus'!$A:$C,2,0)</f>
        <v>Razzaz</v>
      </c>
      <c r="D810" t="str">
        <f>VLOOKUP(bron[[#This Row],[personeelsnr]],'data hastus'!$A:$C,3,0)</f>
        <v>Mahmoud</v>
      </c>
      <c r="E810" t="str">
        <f>VLOOKUP(bron[[#This Row],[personeelsnr]],'data hastus'!A:K,11,FALSE)</f>
        <v>Kenneth De Rick</v>
      </c>
      <c r="F810" s="10">
        <v>45731</v>
      </c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/>
      <c r="U810" s="8" t="s">
        <v>3126</v>
      </c>
      <c r="V810" s="8"/>
      <c r="W810" s="8">
        <v>1</v>
      </c>
      <c r="X810" t="s">
        <v>58</v>
      </c>
      <c r="Y810" t="s">
        <v>133</v>
      </c>
    </row>
    <row r="811" spans="1:25" x14ac:dyDescent="0.25">
      <c r="A811">
        <v>39660</v>
      </c>
      <c r="B811" t="e">
        <f>_xlfn.CONCAT([2]!bron[[#This Row],[personeelsnr]]," ",C811," ",D811)</f>
        <v>#REF!</v>
      </c>
      <c r="C811" t="str">
        <f>VLOOKUP(bron[[#This Row],[personeelsnr]],'data hastus'!$A:$C,2,0)</f>
        <v>Lloyd</v>
      </c>
      <c r="D811" t="str">
        <f>VLOOKUP(bron[[#This Row],[personeelsnr]],'data hastus'!$A:$C,3,0)</f>
        <v>Glenn</v>
      </c>
      <c r="E811" t="str">
        <f>VLOOKUP(bron[[#This Row],[personeelsnr]],'data hastus'!A:K,11,FALSE)</f>
        <v>Bart Van Der Beken</v>
      </c>
      <c r="F811" s="10">
        <v>45842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3285</v>
      </c>
      <c r="V811" s="24">
        <v>1</v>
      </c>
      <c r="W811" s="24"/>
      <c r="X811" t="s">
        <v>57</v>
      </c>
      <c r="Y811" t="s">
        <v>2900</v>
      </c>
    </row>
    <row r="812" spans="1:25" x14ac:dyDescent="0.25">
      <c r="A812">
        <v>4419</v>
      </c>
      <c r="B812" t="e">
        <f>_xlfn.CONCAT([2]!bron[[#This Row],[personeelsnr]]," ",C812," ",D812)</f>
        <v>#REF!</v>
      </c>
      <c r="C812" t="str">
        <f>VLOOKUP(bron[[#This Row],[personeelsnr]],'data hastus'!$A:$C,2,0)</f>
        <v>Maelbrancke</v>
      </c>
      <c r="D812" t="str">
        <f>VLOOKUP(bron[[#This Row],[personeelsnr]],'data hastus'!$A:$C,3,0)</f>
        <v>Eddy</v>
      </c>
      <c r="E812" t="str">
        <f>VLOOKUP(bron[[#This Row],[personeelsnr]],'data hastus'!A:K,11,FALSE)</f>
        <v>Lucie Vande Velde</v>
      </c>
      <c r="F812" s="10">
        <v>45841</v>
      </c>
      <c r="G812" s="7"/>
      <c r="H812" s="7"/>
      <c r="I812" s="7"/>
      <c r="M812" s="5">
        <v>1</v>
      </c>
      <c r="S812" s="5">
        <f>SUM(bron[[#This Row],[Januari]:[December]])</f>
        <v>1</v>
      </c>
      <c r="U812" s="8" t="s">
        <v>3287</v>
      </c>
      <c r="V812" s="24">
        <v>1</v>
      </c>
      <c r="W812" s="24"/>
      <c r="X812" t="s">
        <v>57</v>
      </c>
      <c r="Y812" t="s">
        <v>2901</v>
      </c>
    </row>
    <row r="813" spans="1:25" x14ac:dyDescent="0.25">
      <c r="A813">
        <v>41384</v>
      </c>
      <c r="B813" t="e">
        <f>_xlfn.CONCAT([2]!bron[[#This Row],[personeelsnr]]," ",C813," ",D813)</f>
        <v>#REF!</v>
      </c>
      <c r="C813" t="str">
        <f>VLOOKUP(bron[[#This Row],[personeelsnr]],'data hastus'!$A:$C,2,0)</f>
        <v>Hillaert</v>
      </c>
      <c r="D813" t="str">
        <f>VLOOKUP(bron[[#This Row],[personeelsnr]],'data hastus'!$A:$C,3,0)</f>
        <v>Thimo</v>
      </c>
      <c r="E813" t="str">
        <f>VLOOKUP(bron[[#This Row],[personeelsnr]],'data hastus'!A:K,11,FALSE)</f>
        <v>Christoff Rotty</v>
      </c>
      <c r="F813" s="10">
        <v>45864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3259</v>
      </c>
      <c r="V813" s="24">
        <v>1</v>
      </c>
      <c r="W813" s="24"/>
      <c r="X813" t="s">
        <v>57</v>
      </c>
      <c r="Y813" t="s">
        <v>138</v>
      </c>
    </row>
    <row r="814" spans="1:25" x14ac:dyDescent="0.25">
      <c r="A814">
        <v>42002</v>
      </c>
      <c r="B814" t="e">
        <f>_xlfn.CONCAT([2]!bron[[#This Row],[personeelsnr]]," ",C814," ",D814)</f>
        <v>#REF!</v>
      </c>
      <c r="C814" t="str">
        <f>VLOOKUP(bron[[#This Row],[personeelsnr]],'data hastus'!$A:$C,2,0)</f>
        <v>Bogaert</v>
      </c>
      <c r="D814" t="str">
        <f>VLOOKUP(bron[[#This Row],[personeelsnr]],'data hastus'!$A:$C,3,0)</f>
        <v>Kevin</v>
      </c>
      <c r="E814" t="str">
        <f>VLOOKUP(bron[[#This Row],[personeelsnr]],'data hastus'!A:K,11,FALSE)</f>
        <v>Els Vanhoe</v>
      </c>
      <c r="F814" s="10">
        <v>45862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3258</v>
      </c>
      <c r="V814" s="24">
        <v>1</v>
      </c>
      <c r="W814" s="24"/>
      <c r="X814" t="s">
        <v>57</v>
      </c>
      <c r="Y814" t="s">
        <v>29</v>
      </c>
    </row>
    <row r="815" spans="1:25" x14ac:dyDescent="0.25">
      <c r="A815">
        <v>20653</v>
      </c>
      <c r="B815" t="e">
        <f>_xlfn.CONCAT([2]!bron[[#This Row],[personeelsnr]]," ",C815," ",D815)</f>
        <v>#REF!</v>
      </c>
      <c r="C815" t="str">
        <f>VLOOKUP(bron[[#This Row],[personeelsnr]],'data hastus'!$A:$C,2,0)</f>
        <v>Mestdag</v>
      </c>
      <c r="D815" t="str">
        <f>VLOOKUP(bron[[#This Row],[personeelsnr]],'data hastus'!$A:$C,3,0)</f>
        <v>Marius</v>
      </c>
      <c r="E815" t="str">
        <f>VLOOKUP(bron[[#This Row],[personeelsnr]],'data hastus'!A:K,11,FALSE)</f>
        <v>Bart Van Der Beken</v>
      </c>
      <c r="F815" s="10">
        <v>45867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3254</v>
      </c>
      <c r="V815" s="24"/>
      <c r="W815" s="24">
        <v>1</v>
      </c>
      <c r="X815" t="s">
        <v>58</v>
      </c>
      <c r="Y815" t="s">
        <v>89</v>
      </c>
    </row>
    <row r="816" spans="1:25" x14ac:dyDescent="0.25">
      <c r="A816">
        <v>10782</v>
      </c>
      <c r="B816" t="e">
        <f>_xlfn.CONCAT([2]!bron[[#This Row],[personeelsnr]]," ",C816," ",D816)</f>
        <v>#REF!</v>
      </c>
      <c r="C816" t="str">
        <f>VLOOKUP(bron[[#This Row],[personeelsnr]],'data hastus'!$A:$C,2,0)</f>
        <v>De Kee</v>
      </c>
      <c r="D816" t="str">
        <f>VLOOKUP(bron[[#This Row],[personeelsnr]],'data hastus'!$A:$C,3,0)</f>
        <v>Ina</v>
      </c>
      <c r="E816" t="str">
        <f>VLOOKUP(bron[[#This Row],[personeelsnr]],'data hastus'!A:K,11,FALSE)</f>
        <v>Kenneth De Rick</v>
      </c>
      <c r="F816" s="10">
        <v>45868</v>
      </c>
      <c r="G816" s="7"/>
      <c r="H816" s="7"/>
      <c r="I816" s="7"/>
      <c r="S816" s="5">
        <v>1</v>
      </c>
      <c r="U816" s="8" t="s">
        <v>3253</v>
      </c>
      <c r="V816" s="24"/>
      <c r="W816" s="24">
        <v>1</v>
      </c>
      <c r="X816" t="s">
        <v>58</v>
      </c>
      <c r="Y816" t="s">
        <v>2913</v>
      </c>
    </row>
    <row r="817" spans="1:25" x14ac:dyDescent="0.25">
      <c r="A817">
        <v>18051</v>
      </c>
      <c r="B817" t="e">
        <f>_xlfn.CONCAT([2]!bron[[#This Row],[personeelsnr]]," ",C817," ",D817)</f>
        <v>#REF!</v>
      </c>
      <c r="C817" t="str">
        <f>VLOOKUP(bron[[#This Row],[personeelsnr]],'data hastus'!$A:$C,2,0)</f>
        <v>Van Wittenberge</v>
      </c>
      <c r="D817" t="str">
        <f>VLOOKUP(bron[[#This Row],[personeelsnr]],'data hastus'!$A:$C,3,0)</f>
        <v>Filip</v>
      </c>
      <c r="E817" t="str">
        <f>VLOOKUP(bron[[#This Row],[personeelsnr]],'data hastus'!A:K,11,FALSE)</f>
        <v>Christoff Rotty</v>
      </c>
      <c r="F817" s="10">
        <v>45863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3252</v>
      </c>
      <c r="V817" s="24"/>
      <c r="W817" s="24">
        <v>1</v>
      </c>
      <c r="X817" t="s">
        <v>58</v>
      </c>
      <c r="Y817" t="s">
        <v>127</v>
      </c>
    </row>
    <row r="818" spans="1:25" x14ac:dyDescent="0.25">
      <c r="A818">
        <v>39529</v>
      </c>
      <c r="B818" t="e">
        <f>_xlfn.CONCAT([2]!bron[[#This Row],[personeelsnr]]," ",C818," ",D818)</f>
        <v>#REF!</v>
      </c>
      <c r="C818" t="str">
        <f>VLOOKUP(bron[[#This Row],[personeelsnr]],'data hastus'!$A:$C,2,0)</f>
        <v>Desmet</v>
      </c>
      <c r="D818" t="str">
        <f>VLOOKUP(bron[[#This Row],[personeelsnr]],'data hastus'!$A:$C,3,0)</f>
        <v>Patricia</v>
      </c>
      <c r="E818" t="str">
        <f>VLOOKUP(bron[[#This Row],[personeelsnr]],'data hastus'!A:K,11,FALSE)</f>
        <v>Christoff Rotty</v>
      </c>
      <c r="F818" s="10">
        <v>45853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3266</v>
      </c>
      <c r="V818" s="24"/>
      <c r="W818" s="24">
        <v>1</v>
      </c>
      <c r="X818" t="s">
        <v>58</v>
      </c>
      <c r="Y818" t="s">
        <v>168</v>
      </c>
    </row>
    <row r="819" spans="1:25" x14ac:dyDescent="0.25">
      <c r="A819">
        <v>36021</v>
      </c>
      <c r="B819" t="e">
        <f>_xlfn.CONCAT([2]!bron[[#This Row],[personeelsnr]]," ",C819," ",D819)</f>
        <v>#REF!</v>
      </c>
      <c r="C819" t="str">
        <f>VLOOKUP(bron[[#This Row],[personeelsnr]],'data hastus'!$A:$C,2,0)</f>
        <v>Boelaert</v>
      </c>
      <c r="D819" t="str">
        <f>VLOOKUP(bron[[#This Row],[personeelsnr]],'data hastus'!$A:$C,3,0)</f>
        <v>Frederik</v>
      </c>
      <c r="E819" t="str">
        <f>VLOOKUP(bron[[#This Row],[personeelsnr]],'data hastus'!A:K,11,FALSE)</f>
        <v>Lucie Vande Velde</v>
      </c>
      <c r="F819" s="10">
        <v>45874</v>
      </c>
      <c r="G819" s="7"/>
      <c r="H819" s="7"/>
      <c r="I819" s="7"/>
      <c r="N819" s="5">
        <v>1</v>
      </c>
      <c r="S819" s="5">
        <f>SUM(bron[[#This Row],[Januari]:[December]])</f>
        <v>1</v>
      </c>
      <c r="U819" s="24" t="s">
        <v>2941</v>
      </c>
      <c r="V819" s="24">
        <v>1</v>
      </c>
      <c r="W819" s="24"/>
      <c r="X819" t="s">
        <v>57</v>
      </c>
      <c r="Y819" t="s">
        <v>222</v>
      </c>
    </row>
    <row r="820" spans="1:25" x14ac:dyDescent="0.25">
      <c r="A820">
        <v>41348</v>
      </c>
      <c r="B820" t="str">
        <f>_xlfn.CONCAT([2]!bron[[#This Row],[personeelsnr]]," ",C820," ",D820)</f>
        <v>41348 Van Huffel Tim</v>
      </c>
      <c r="C820" t="str">
        <f>VLOOKUP([2]!bron[[#This Row],[personeelsnr]],'[2]data hastus'!$A:$C,2,0)</f>
        <v>Van Huffel</v>
      </c>
      <c r="D820" t="str">
        <f>VLOOKUP([2]!bron[[#This Row],[personeelsnr]],'[2]data hastus'!$A:$C,3,0)</f>
        <v>Tim</v>
      </c>
      <c r="E820" t="str">
        <f>VLOOKUP([2]!bron[[#This Row],[personeelsnr]],'[2]data hastus'!A:K,11,FALSE)</f>
        <v>Christoff Rotty</v>
      </c>
      <c r="F820" s="10">
        <v>45883</v>
      </c>
      <c r="G820" s="7"/>
      <c r="H820" s="7"/>
      <c r="I820" s="7"/>
      <c r="N820" s="5">
        <v>1</v>
      </c>
      <c r="S820" s="5">
        <f>SUM([2]!bron[[#This Row],[Januari]:[December]])</f>
        <v>1</v>
      </c>
      <c r="U820" s="24" t="s">
        <v>3467</v>
      </c>
      <c r="V820" s="24">
        <v>1</v>
      </c>
      <c r="W820" s="24"/>
      <c r="X820" t="s">
        <v>57</v>
      </c>
      <c r="Y820" t="s">
        <v>3468</v>
      </c>
    </row>
    <row r="821" spans="1:25" x14ac:dyDescent="0.25">
      <c r="A821">
        <v>22202</v>
      </c>
      <c r="B821" s="35" t="e">
        <f>_xlfn.CONCAT([2]!bron[[#This Row],[personeelsnr]]," ",C821," ",D821)</f>
        <v>#REF!</v>
      </c>
      <c r="C821" t="str">
        <f>VLOOKUP(bron[[#This Row],[personeelsnr]],'data hastus'!$A:$C,2,0)</f>
        <v>Pluym</v>
      </c>
      <c r="D821" t="str">
        <f>VLOOKUP(bron[[#This Row],[personeelsnr]],'data hastus'!$A:$C,3,0)</f>
        <v>Pascal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N821" s="5">
        <v>1</v>
      </c>
      <c r="S821" s="36">
        <f>SUM(bron[[#This Row],[Januari]:[December]])</f>
        <v>1</v>
      </c>
      <c r="T821" s="9">
        <v>45883</v>
      </c>
      <c r="U821" s="5" t="s">
        <v>3469</v>
      </c>
      <c r="V821" s="24">
        <v>1</v>
      </c>
      <c r="W821" s="24"/>
      <c r="X821" t="s">
        <v>57</v>
      </c>
      <c r="Y821" t="s">
        <v>28</v>
      </c>
    </row>
  </sheetData>
  <sheetProtection sort="0" autoFilter="0"/>
  <phoneticPr fontId="1" type="noConversion"/>
  <conditionalFormatting sqref="F2:F81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0:F821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hyperlinks>
    <hyperlink ref="U268" r:id="rId1" xr:uid="{069AB0F3-66D9-443A-A282-BECCE4BC15A4}"/>
    <hyperlink ref="U264" r:id="rId2" xr:uid="{266ED411-E9BA-4025-B809-BF681D6EF2C2}"/>
    <hyperlink ref="U797" r:id="rId3" display="../../../../../../../:b:/r/teams/CTM-OTGentStad/Shared Documents/General/EAF/CSI(nieuwe sharepoint) 2025/1. Januari/EAF 6337 Gent 17012025.pdf?csf=1&amp;web=1&amp;e=HIde3n" xr:uid="{B7A5B04D-2444-4A69-96EE-429FE1FAEFC1}"/>
    <hyperlink ref="U798" r:id="rId4" display="../../../../../../../:b:/r/teams/CTM-OTGentStad/Shared Documents/General/EAF/CSI(nieuwe sharepoint) 2025/1. Januari/EAF 6356 Gentbrugge 18012025.pdf?csf=1&amp;web=1&amp;e=mefvXc" xr:uid="{3B1FF491-C1E6-43FD-A0C3-057465EB5192}"/>
    <hyperlink ref="U792" r:id="rId5" display="../../../../../../../:b:/r/teams/CTM-OTGentStad/Shared Documents/General/EAF/CSI(nieuwe sharepoint) 2025/1. Januari/EAF 5263 Mariakerke 13012025.pdf?csf=1&amp;web=1&amp;e=qFf0hX" xr:uid="{1AF9CACF-A798-4483-851F-5828A099BE42}"/>
    <hyperlink ref="U791" r:id="rId6" display="../../../../../../../:b:/r/teams/CTM-OTGentStad/Shared Documents/General/EAF/CSI(nieuwe sharepoint) 2025/1. Januari/EAF 5047 Gent 03012025.pdf?csf=1&amp;web=1&amp;e=ycRhDE" xr:uid="{3AD54217-AB8C-48D0-9A63-05351EF31D35}"/>
    <hyperlink ref="U239" r:id="rId7" xr:uid="{758C2375-3764-4237-851D-A90FFF7D6AC8}"/>
    <hyperlink ref="U79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22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226" r:id="rId10" xr:uid="{F64E53A4-7C17-46F2-BB91-670CFE110D02}"/>
    <hyperlink ref="U78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193" r:id="rId12" xr:uid="{E73AE997-AD9B-4405-90F0-3EFD6BA2309E}"/>
    <hyperlink ref="U78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8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186" r:id="rId16" xr:uid="{7921045D-AAB1-4DF0-9E93-D83FFE86B6F5}"/>
    <hyperlink ref="U79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234" r:id="rId18" xr:uid="{88F7C8C1-94D9-4DBB-821A-2AEB46042966}"/>
    <hyperlink ref="U785" r:id="rId19" display="../../../../../../:b:/r/teams/CTM-OTGentStad/Shared Documents/General/EAF/CSI(nieuwe sharepoint)2024/12. December/EAF 04122024 Ugur.pdf?csf=1&amp;web=1&amp;e=qdPAIb" xr:uid="{CB022626-A31F-436C-8A5F-3D6CF3501448}"/>
    <hyperlink ref="U721" r:id="rId20" display="../../../../../../:b:/r/teams/CTM-OTGentStad/Shared Documents/General/EAF/CSI(nieuwe sharepoint)2024/EAF  5229 Rabot 17022024.pdf?csf=1&amp;web=1&amp;e=QUxajH" xr:uid="{B4180AB7-A400-47AD-8C9B-C2EDF97A862F}"/>
    <hyperlink ref="U447" r:id="rId21" display="../../../../../../:b:/r/teams/CTM-OTGentStad/Shared Documents/General/EAF/CSI(nieuwe sharepoint)2024/EAF 2195 Gent 01092024.pdf?csf=1&amp;web=1&amp;e=25nO3B" xr:uid="{2E366246-A9E3-4E65-A21A-4C06D853A66B}"/>
    <hyperlink ref="U304" r:id="rId22" display="../../../../../../:b:/r/teams/CTM-OTGentStad/Shared Documents/General/EAF/CSI(nieuwe sharepoint)2024/EAF 2195 Gent 07122024.pdf?csf=1&amp;web=1&amp;e=MnfQ3B" xr:uid="{AABF485B-931E-422B-9A83-00A02D56D258}"/>
    <hyperlink ref="U393" r:id="rId23" display="../../../../../../:b:/r/teams/CTM-OTGentStad/Shared Documents/General/EAF/CSI(nieuwe sharepoint)2024/EAF 2195 Gent 08102024.pdf?csf=1&amp;web=1&amp;e=O9N5JS" xr:uid="{B4FB6BA7-97F5-49AC-9711-B0532DB4EA99}"/>
    <hyperlink ref="U274" r:id="rId24" display="../../../../../../:b:/r/teams/CTM-OTGentStad/Shared Documents/General/EAF/CSI(nieuwe sharepoint)2024/EAF 2195 Ledebergplein Ledeberg 30.12.2024.pdf?csf=1&amp;web=1&amp;e=GzZaFP" xr:uid="{2C42BA70-5FCB-4CE3-8EE5-3B286D160B8F}"/>
    <hyperlink ref="U460" r:id="rId25" display="../../../../../../:b:/r/teams/CTM-OTGentStad/Shared Documents/General/EAF/CSI(nieuwe sharepoint)2024/EAF 2196 Brusselsesteenweg Gentbrugge 19082024.pdf?csf=1&amp;web=1&amp;e=10X8vL" xr:uid="{A929ABE0-EC8A-48A6-B941-295E656B2572}"/>
    <hyperlink ref="U311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691" r:id="rId27" display="../../../../../../:b:/r/teams/CTM-OTGentStad/Shared Documents/General/EAF/CSI(nieuwe sharepoint)2024/EAF 2196 Gent 05032024.pdf?csf=1&amp;web=1&amp;e=EIJBgo" xr:uid="{90156A50-D0E9-44C9-A10D-40FA17C9B19A}"/>
    <hyperlink ref="U683" r:id="rId28" display="../../../../../../:b:/r/teams/CTM-OTGentStad/Shared Documents/General/EAF/CSI(nieuwe sharepoint)2024/EAF 2196 Gent 12032024.pdf?csf=1&amp;web=1&amp;e=cN6naC" xr:uid="{DB171F03-9BC8-4BA2-871D-5D25CDF42499}"/>
    <hyperlink ref="U704" r:id="rId29" display="../../../../../../:b:/r/teams/CTM-OTGentStad/Shared Documents/General/EAF/CSI(nieuwe sharepoint)2024/EAF 2196 Gent 29022024.pdf?csf=1&amp;web=1&amp;e=GQSZCM" xr:uid="{4A4D7A44-3347-41F0-8F10-650B8D3C2427}"/>
    <hyperlink ref="U745" r:id="rId30" display="../../../../../../:b:/r/teams/CTM-OTGentStad/Shared Documents/General/EAF/CSI(nieuwe sharepoint)2024/EAF 2196 Gentbrugge 31012024.pdf?csf=1&amp;web=1&amp;e=d1oG1t" xr:uid="{5B35D89C-A150-4C53-BE1F-F0A17C554A35}"/>
    <hyperlink ref="U336" r:id="rId31" display="../../../../../../:b:/r/teams/CTM-OTGentStad/Shared Documents/General/EAF/CSI(nieuwe sharepoint)2024/EAF 2197 Bevrijdingslaan Gent 14112024.pdf?csf=1&amp;web=1&amp;e=fb8Ldo" xr:uid="{E5F931FF-9695-4EE2-A837-A40CEAA8165F}"/>
    <hyperlink ref="U523" r:id="rId32" display="../../../../../../:b:/r/teams/CTM-OTGentStad/Shared Documents/General/EAF/CSI(nieuwe sharepoint)2024/EAF 2197 Blaisantvest Gent 25062024.pdf?csf=1&amp;web=1&amp;e=z1RwKQ" xr:uid="{6934A06B-9142-4FF9-96B3-1CE9E108BFF2}"/>
    <hyperlink ref="U660" r:id="rId33" display="../../../../../../:b:/r/teams/CTM-OTGentStad/Shared Documents/General/EAF/CSI(nieuwe sharepoint)2024/EAF 2198 Destelbergen 22032024.pdf?csf=1&amp;web=1&amp;e=yEPfdX" xr:uid="{FF751939-C669-4E18-83B0-79ACC08399F5}"/>
    <hyperlink ref="U717" r:id="rId34" display="../../../../../../:b:/r/teams/CTM-OTGentStad/Shared Documents/General/EAF/CSI(nieuwe sharepoint)2024/EAF 2198 Gent 20022024.pdf?csf=1&amp;web=1&amp;e=eSmhav" xr:uid="{CEC7951E-46AD-46F9-853A-CD9DF280D5B6}"/>
    <hyperlink ref="U409" r:id="rId35" display="../../../../../../:b:/r/teams/CTM-OTGentStad/Shared Documents/General/EAF/CSI(nieuwe sharepoint)2024/EAF 2198 Gent 23092024 Vandenhaute Linus.pdf?csf=1&amp;web=1&amp;e=E9UV3v" xr:uid="{83235E30-8E18-428A-B198-4D2411FF8DA8}"/>
    <hyperlink ref="U712" r:id="rId36" display="../../../../../../:b:/r/teams/CTM-OTGentStad/Shared Documents/General/EAF/CSI(nieuwe sharepoint)2024/EAF 2199 Brugsepoort 23022024.pdf?csf=1&amp;web=1&amp;e=ked6Ze" xr:uid="{EA83E9A5-19F8-4C77-A573-38986FEF4E07}"/>
    <hyperlink ref="U699" r:id="rId37" display="../../../../../../:b:/r/teams/CTM-OTGentStad/Shared Documents/General/EAF/CSI(nieuwe sharepoint)2024/EAF 2200 Brugsepoortstraat 01032024.pdf?csf=1&amp;web=1&amp;e=nwbPYd" xr:uid="{26370D2C-B489-4982-8CBB-61A5637FF203}"/>
    <hyperlink ref="U736" r:id="rId38" display="../../../../../../:b:/r/teams/CTM-OTGentStad/Shared Documents/General/EAF/CSI(nieuwe sharepoint)2024/EAF 2200 Gent 04022024.pdf?csf=1&amp;web=1&amp;e=iDFIyx" xr:uid="{4D149DE9-FFA3-4DC9-8BCC-D8244B34CF01}"/>
    <hyperlink ref="U520" r:id="rId39" display="../../../../../../:b:/r/teams/CTM-OTGentStad/Shared Documents/General/EAF/CSI(nieuwe sharepoint)2024/EAF 2200 Gent 26062024.pdf?csf=1&amp;web=1&amp;e=MDRG2e" xr:uid="{A71B7548-4994-4F69-85C3-56512F0913CF}"/>
    <hyperlink ref="U366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661" r:id="rId41" display="../../../../../../:b:/r/teams/CTM-OTGentStad/Shared Documents/General/EAF/CSI(nieuwe sharepoint)2024/EAF 2201 Gent 22032024.pdf?csf=1&amp;web=1&amp;e=Amq7wG" xr:uid="{236041F7-A030-4424-BDCA-F973BBBF56A7}"/>
    <hyperlink ref="U560" r:id="rId42" display="../../../../../../:b:/r/teams/CTM-OTGentStad/Shared Documents/General/EAF/CSI(nieuwe sharepoint)2024/EAF 2201 Gentbrugge 02062024.pdf?csf=1&amp;web=1&amp;e=6GZuMz" xr:uid="{B6F4A4D4-8294-4AE9-B922-F56A5EFC9386}"/>
    <hyperlink ref="U697" r:id="rId43" display="../../../../../../:b:/r/teams/CTM-OTGentStad/Shared Documents/General/EAF/CSI(nieuwe sharepoint)2024/EAF 2201 Korenmarkt 02032024.pdf?csf=1&amp;web=1&amp;e=OitAvJ" xr:uid="{661959CD-E91D-4539-B962-09A71C8F29B4}"/>
    <hyperlink ref="U470" r:id="rId44" display="../../../../../../:b:/r/teams/CTM-OTGentStad/Shared Documents/General/EAF/CSI(nieuwe sharepoint)2024/EAF 2202 Gent 03082024 36512.pdf?csf=1&amp;web=1&amp;e=kQ9UZP" xr:uid="{B77391D1-DA1D-4D60-8EA6-17A140CCD076}"/>
    <hyperlink ref="U647" r:id="rId45" display="../../../../../../:b:/r/teams/CTM-OTGentStad/Shared Documents/General/EAF/CSI(nieuwe sharepoint)2024/EAF 2202 Kleine Schuurstraat 04042024.pdf?csf=1&amp;web=1&amp;e=dMVMY8" xr:uid="{A29AC82F-D61A-446C-9D0E-8E54827B0E90}"/>
    <hyperlink ref="U387" r:id="rId46" display="../../../../../../:b:/r/teams/CTM-OTGentStad/Shared Documents/General/EAF/CSI(nieuwe sharepoint)2024/EAF 2203 Sint-Gerolfstraat Drongen 12102024.pdf?csf=1&amp;web=1&amp;e=NC3rTr" xr:uid="{A17B3120-3DF3-41D6-AB40-AED0763029EF}"/>
    <hyperlink ref="U509" r:id="rId47" display="../../../../../../:b:/r/teams/CTM-OTGentStad/Shared Documents/General/EAF/CSI(nieuwe sharepoint)2024/EAF 2204 Gent 05072024.pdf?csf=1&amp;web=1&amp;e=dmUarL" xr:uid="{3EF9DC50-CEC5-4402-AC75-37D9A8ED455F}"/>
    <hyperlink ref="U667" r:id="rId48" display="../../../../../../:b:/r/teams/CTM-OTGentStad/Shared Documents/General/EAF/CSI(nieuwe sharepoint)2024/EAF 2204 Gent 21032024.pdf?csf=1&amp;web=1&amp;e=juWhWD" xr:uid="{6191E183-FDD5-4651-8942-BF8401BAA669}"/>
    <hyperlink ref="U668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545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597" r:id="rId51" display="../../../../../../:b:/r/teams/CTM-OTGentStad/Shared Documents/General/EAF/CSI(nieuwe sharepoint)2024/EAF 2205 Brugsepoort Gent 04052024.pdf?csf=1&amp;web=1&amp;e=BpqhvW" xr:uid="{4C0A9A84-6FF6-4C17-BADE-D62B43818262}"/>
    <hyperlink ref="U353" r:id="rId52" display="../../../../../../:b:/r/teams/CTM-OTGentStad/Shared Documents/General/EAF/CSI(nieuwe sharepoint)2024/EAF 2205 Gent 04112024.pdf?csf=1&amp;web=1&amp;e=aQ3br9" xr:uid="{E2CED5A5-87F3-4FBA-BA87-34468F28FF5A}"/>
    <hyperlink ref="U779" r:id="rId53" display="../../../../../../:b:/r/teams/CTM-OTGentStad/Shared Documents/General/EAF/CSI(nieuwe sharepoint)2024/EAF 2205 Gent 08012024.pdf?csf=1&amp;web=1&amp;e=ZSuauE" xr:uid="{A925E715-93A4-4D70-A1C6-0DB3E2A2151F}"/>
    <hyperlink ref="U381" r:id="rId54" display="../../../../../../:b:/r/teams/CTM-OTGentStad/Shared Documents/General/EAF/CSI(nieuwe sharepoint)2024/EAF 2205 Gent 14102024 Inge Dejonckheere.pdf?csf=1&amp;web=1&amp;e=wbghTc" xr:uid="{C8D9D8CE-0A44-4089-9652-A37D1E0B7558}"/>
    <hyperlink ref="U404" r:id="rId55" display="../../../../../../:b:/r/teams/CTM-OTGentStad/Shared Documents/General/EAF/CSI(nieuwe sharepoint)2024/EAF 2205 Gent 26092024 Hesters Sylvie.pdf?csf=1&amp;web=1&amp;e=Fqny5y" xr:uid="{67C47B24-095E-4B1B-9AA2-51A10E4838C3}"/>
    <hyperlink ref="U356" r:id="rId56" display="../../../../../../:b:/r/teams/CTM-OTGentStad/Shared Documents/General/EAF/CSI(nieuwe sharepoint)2024/EAF 2206 Drongen 02112024 Johan VDbulcke.pdf?csf=1&amp;web=1&amp;e=sr7PwO" xr:uid="{CAB5AA12-37DF-455F-8DDB-B786F3E09212}"/>
    <hyperlink ref="U686" r:id="rId57" display="../../../../../../:b:/r/teams/CTM-OTGentStad/Shared Documents/General/EAF/CSI(nieuwe sharepoint)2024/EAF 2207 Dampoort 08032024.pdf?csf=1&amp;web=1&amp;e=IQfrQ4" xr:uid="{C475BA45-8B6A-416F-8C57-5B92A11B8F61}"/>
    <hyperlink ref="U462" r:id="rId58" display="../../../../../../:b:/r/teams/CTM-OTGentStad/Shared Documents/General/EAF/CSI(nieuwe sharepoint)2024/EAF 2207 Dampoort 14082024.pdf?csf=1&amp;web=1&amp;e=uzPcCI" xr:uid="{5E5520F3-C982-46BF-BB96-F3D8F5185B42}"/>
    <hyperlink ref="U656" r:id="rId59" display="../../../../../../:b:/r/teams/CTM-OTGentStad/Shared Documents/General/EAF/CSI(nieuwe sharepoint)2024/EAF 2207 E17 26032024 De Bruyne Sonia.pdf?csf=1&amp;web=1&amp;e=10WiQd" xr:uid="{96A1398F-6FFA-43C9-9381-94D0549C5D53}"/>
    <hyperlink ref="U764" r:id="rId60" display="../../../../../../:b:/r/teams/CTM-OTGentStad/Shared Documents/General/EAF/CSI(nieuwe sharepoint)2024/EAF 2207 Gent 17012024.pdf?csf=1&amp;web=1&amp;e=9t4Fii" xr:uid="{213074A8-713D-4AE9-8A78-8D3C20C7A351}"/>
    <hyperlink ref="U525" r:id="rId61" display="../../../../../../:b:/r/teams/CTM-OTGentStad/Shared Documents/General/EAF/CSI(nieuwe sharepoint)2024/EAF 2207 Gent 24062024.pdf?csf=1&amp;web=1&amp;e=ASeGvq" xr:uid="{69DEB2B3-50E4-484F-95F8-A420E882DF61}"/>
    <hyperlink ref="U482" r:id="rId62" display="../../../../../../:b:/r/teams/CTM-OTGentStad/Shared Documents/General/EAF/CSI(nieuwe sharepoint)2024/EAF 2207 Gent 25072024.pdf?csf=1&amp;web=1&amp;e=09gg6T" xr:uid="{C3F8E8C3-BFB5-436A-AB88-73315943B78D}"/>
    <hyperlink ref="U713" r:id="rId63" display="../../../../../../:b:/r/teams/CTM-OTGentStad/Shared Documents/General/EAF/CSI(nieuwe sharepoint)2024/EAF 2207 Gent Kortrijksesteenweg 22012024.pdf?csf=1&amp;web=1&amp;e=CH2kKv" xr:uid="{FE2EE9EB-4CE8-4842-8BE1-78C267F62279}"/>
    <hyperlink ref="U570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320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580" r:id="rId66" display="../../../../../../:b:/r/teams/CTM-OTGentStad/Shared Documents/General/EAF/CSI(nieuwe sharepoint)2024/EAF 2207 Kortrijksesteenweg Gent 17052024.pdf?csf=1&amp;web=1&amp;e=cIeR9O" xr:uid="{CF711121-5465-40C6-B061-740F82036EA3}"/>
    <hyperlink ref="U367" r:id="rId67" display="../../../../../../:b:/r/teams/CTM-OTGentStad/Shared Documents/General/EAF/CSI(nieuwe sharepoint)2024/EAF 2207 Oostakker 24102024  Roos Hugo.pdf?csf=1&amp;web=1&amp;e=DGpjp2" xr:uid="{D8489008-6264-465B-A460-8F474A8CA382}"/>
    <hyperlink ref="U413" r:id="rId68" display="../../../../../../:b:/r/teams/CTM-OTGentStad/Shared Documents/General/EAF/CSI(nieuwe sharepoint)2024/EAF 2207 Oostakker Dorp 19092024.pdf?csf=1&amp;web=1&amp;e=UWS1Pk" xr:uid="{573952F3-DBE9-4F5C-BE85-6D20ED351E83}"/>
    <hyperlink ref="U746" r:id="rId69" display="../../../../../../:b:/r/teams/CTM-OTGentStad/Shared Documents/General/EAF/CSI(nieuwe sharepoint)2024/EAF 2208 Blaisantvest 31012024.pdf?csf=1&amp;web=1&amp;e=66eMgm" xr:uid="{EDF0B086-4096-4499-9B2B-4D49CB489BA3}"/>
    <hyperlink ref="U352" r:id="rId70" display="../../../../../../:b:/r/teams/CTM-OTGentStad/Shared Documents/General/EAF/CSI(nieuwe sharepoint)2024/EAF 2208 Gent 05112024.pdf?csf=1&amp;web=1&amp;e=TI1GO7" xr:uid="{346D789A-339B-4958-87E1-6561ADAC1E10}"/>
    <hyperlink ref="U577" r:id="rId71" display="../../../../../../:b:/r/teams/CTM-OTGentStad/Shared Documents/General/EAF/CSI(nieuwe sharepoint)2024/EAF 2208 Gent 21052024.pdf?csf=1&amp;web=1&amp;e=T5k9Cx" xr:uid="{0B392919-7127-4459-9ACF-ED20404FB329}"/>
    <hyperlink ref="U477" r:id="rId72" display="../../../../../../:b:/r/teams/CTM-OTGentStad/Shared Documents/General/EAF/CSI(nieuwe sharepoint)2024/EAF 2208 Gent 29072024.pdf?csf=1&amp;web=1&amp;e=VcIP6k" xr:uid="{15DA83F1-50C2-4FAE-A901-DFA2789FE9B1}"/>
    <hyperlink ref="U461" r:id="rId73" display="../../../../../../:b:/r/teams/CTM-OTGentStad/Shared Documents/General/EAF/CSI(nieuwe sharepoint)2024/EAF 2208 stelplaats E-17 19.08.2024.pdf?csf=1&amp;web=1&amp;e=GtdNiU" xr:uid="{A801C6CB-CD13-4E40-93D0-C0E4A18B8037}"/>
    <hyperlink ref="U350" r:id="rId74" display="../../../../../../:b:/r/teams/CTM-OTGentStad/Shared Documents/General/EAF/CSI(nieuwe sharepoint)2024/EAF 2546 Gent 06112024.pdf?csf=1&amp;web=1&amp;e=cWMjpe" xr:uid="{477A62E0-78FE-44F9-AA49-A022A9BC841C}"/>
    <hyperlink ref="U453" r:id="rId75" display="../../../../../../:b:/r/teams/CTM-OTGentStad/Shared Documents/General/EAF/CSI(nieuwe sharepoint)2024/EAF 2546 wondelgemstation 26082024 Mekdad Ali.pdf?csf=1&amp;web=1&amp;e=pgRgJ2" xr:uid="{B84A489A-797F-4AF9-8672-1F4731852169}"/>
    <hyperlink ref="U275" r:id="rId76" display="../../../../../../:b:/r/teams/CTM-OTGentStad/Shared Documents/General/EAF/CSI(nieuwe sharepoint)2024/EAF 2548 Gent 28122024.pdf?csf=1&amp;web=1&amp;e=zK5dZd" xr:uid="{85AE4104-460D-49C6-83E5-AB21C15D7CFB}"/>
    <hyperlink ref="U564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88" r:id="rId78" display="../../../../../../:b:/r/teams/CTM-OTGentStad/Shared Documents/General/EAF/CSI(nieuwe sharepoint)2024/EAF 2548 stelplaats Gentbrugge 11102024.pdf?csf=1&amp;web=1&amp;e=R0LOpr" xr:uid="{424A95DC-38A4-4725-BC44-292A55A71654}"/>
    <hyperlink ref="U379" r:id="rId79" display="../../../../../../:b:/r/teams/CTM-OTGentStad/Shared Documents/General/EAF/CSI(nieuwe sharepoint)2024/EAF 2548 Tolhuislaan 17.10.2024.pdf?csf=1&amp;web=1&amp;e=up7NZq" xr:uid="{024FAD3E-3E08-4BD7-96FF-042BACB13647}"/>
    <hyperlink ref="U687" r:id="rId80" display="../../../../../../:b:/r/teams/CTM-OTGentStad/Shared Documents/General/EAF/CSI(nieuwe sharepoint)2024/EAF 2549 08022024.pdf?csf=1&amp;web=1&amp;e=yX2pXM" xr:uid="{BD707E83-174D-4740-B201-A7E1164D28CB}"/>
    <hyperlink ref="U730" r:id="rId81" display="../../../../../../:b:/r/teams/CTM-OTGentStad/Shared Documents/General/EAF/CSI(nieuwe sharepoint)2024/EAF 2549 Gent 08022024.pdf?csf=1&amp;web=1&amp;e=nayJ8h" xr:uid="{F00FB837-15FF-4769-BE20-DDA656C3F864}"/>
    <hyperlink ref="U692" r:id="rId82" display="../../../../../../:b:/r/teams/CTM-OTGentStad/Shared Documents/General/EAF/CSI(nieuwe sharepoint)2024/EAF 4666 De Pintelaan 05032024 Duyck Kimberley.pdf?csf=1&amp;web=1&amp;e=4DKtbV" xr:uid="{C90AE292-F94C-4FD6-82F4-758F1A1A109F}"/>
    <hyperlink ref="U440" r:id="rId83" display="../../../../../../:b:/r/teams/CTM-OTGentStad/Shared Documents/General/EAF/CSI(nieuwe sharepoint)2024/EAF 4666 Ottergemsesteenweg Gent 03092024.pdf?csf=1&amp;web=1&amp;e=s9Ij6m" xr:uid="{18A50BDF-BD1A-4993-A899-0344F2719D8A}"/>
    <hyperlink ref="U627" r:id="rId84" display="../../../../../../:b:/r/teams/CTM-OTGentStad/Shared Documents/General/EAF/CSI(nieuwe sharepoint)2024/EAF 4678 Gent 17042024.pdf?csf=1&amp;web=1&amp;e=sIQOQu" xr:uid="{6F45FB09-66F6-48AD-8D10-14545D84E36D}"/>
    <hyperlink ref="U322" r:id="rId85" display="../../../../../../:b:/r/teams/CTM-OTGentStad/Shared Documents/General/EAF/CSI(nieuwe sharepoint)2024/EAF 4678 Gent 26112024.pdf?csf=1&amp;web=1&amp;e=WvmnW0" xr:uid="{3066308C-EEA5-4A4B-B15D-142BACA89E6D}"/>
    <hyperlink ref="U285" r:id="rId86" display="../../../../../../:b:/r/teams/CTM-OTGentStad/Shared Documents/General/EAF/CSI(nieuwe sharepoint)2024/EAF 5039 Oostakker 20122024.pdf?csf=1&amp;web=1&amp;e=GxSYyj" xr:uid="{11472B66-C184-4071-9D9C-93CA4F9AA4C6}"/>
    <hyperlink ref="U678" r:id="rId87" display="../../../../../../:b:/r/teams/CTM-OTGentStad/Shared Documents/General/EAF/CSI(nieuwe sharepoint)2024/EAF 5040 Dampoort 13032024.pdf?csf=1&amp;web=1&amp;e=D8AKad" xr:uid="{9EACD41D-3718-4C46-B381-8B0AF7E36345}"/>
    <hyperlink ref="U725" r:id="rId88" display="../../../../../../:b:/r/teams/CTM-OTGentStad/Shared Documents/General/EAF/CSI(nieuwe sharepoint)2024/EAF 5040 Gent 15022024.pdf?csf=1&amp;web=1&amp;e=RDY6Mt" xr:uid="{64E71FA1-8B7B-4BD8-AA4D-9543C132963C}"/>
    <hyperlink ref="U636" r:id="rId89" display="../../../../../../:b:/r/teams/CTM-OTGentStad/Shared Documents/General/EAF/CSI(nieuwe sharepoint)2024/EAF 5040 Heuvelpoort 11042024 Middernacht Andy.pdf?csf=1&amp;web=1&amp;e=uaT6ms" xr:uid="{83D9B1FB-3F77-4B46-B398-4DE0E3B08435}"/>
    <hyperlink ref="U533" r:id="rId90" display="../../../../../../:b:/r/teams/CTM-OTGentStad/Shared Documents/General/EAF/CSI(nieuwe sharepoint)2024/EAF 5040 Steendam Gent 15062024.pdf?csf=1&amp;web=1&amp;e=fGqMom" xr:uid="{824C5CEB-CF25-445F-8A81-F84E2C350AD0}"/>
    <hyperlink ref="U314" r:id="rId91" display="../../../../../../:b:/r/teams/CTM-OTGentStad/Shared Documents/General/EAF/CSI(nieuwe sharepoint)2024/EAF 5041 Dampoort 30112024 Sharon Cardon.pdf?csf=1&amp;web=1&amp;e=ekktSr" xr:uid="{0F57B737-8C6D-4B50-B78C-4873126A4414}"/>
    <hyperlink ref="U554" r:id="rId92" display="../../../../../../:b:/r/teams/CTM-OTGentStad/Shared Documents/General/EAF/CSI(nieuwe sharepoint)2024/EAf 5041 Gent 05062024.pdf?csf=1&amp;web=1&amp;e=JDP1Zg" xr:uid="{B6C0D64D-2E8C-4159-9362-2A8DF677A5FF}"/>
    <hyperlink ref="U415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364" r:id="rId94" display="../../../../../../:b:/r/teams/CTM-OTGentStad/Shared Documents/General/EAF/CSI(nieuwe sharepoint)2024/EAF 5042 Gent 25102024.pdf?csf=1&amp;web=1&amp;e=uJPXsP" xr:uid="{7E33B54D-BC54-4EC7-AA28-92C5A8378909}"/>
    <hyperlink ref="U455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309" r:id="rId96" display="../../../../../../:b:/r/teams/CTM-OTGentStad/Shared Documents/General/EAF/CSI(nieuwe sharepoint)2024/EAF 5043 gent oprit R4-N60 03122024 Smet Antoon.pdf?csf=1&amp;web=1&amp;e=B1dzvV" xr:uid="{4B203AC5-4F6C-4F98-ABE4-7B038ACD3F1D}"/>
    <hyperlink ref="U688" r:id="rId97" display="../../../../../../:b:/r/teams/CTM-OTGentStad/Shared Documents/General/EAF/CSI(nieuwe sharepoint)2024/EAF 5043 GSP 08032024 De Bruyne Sonia.pdf?csf=1&amp;web=1&amp;e=dD8i4V" xr:uid="{6D4E50B6-16EA-4F70-B325-4301D2910128}"/>
    <hyperlink ref="U735" r:id="rId98" display="../../../../../../:b:/r/teams/CTM-OTGentStad/Shared Documents/General/EAF/CSI(nieuwe sharepoint)2024/EAF 5044 Gent 05022024.pdf?csf=1&amp;web=1&amp;e=yey2sa" xr:uid="{194BA9E2-5B87-4648-92FD-C91A6AA98F76}"/>
    <hyperlink ref="U744" r:id="rId99" display="../../../../../../:b:/r/teams/CTM-OTGentStad/Shared Documents/General/EAF/CSI(nieuwe sharepoint)2024/EAF 5044 Gent deel 1.pdf?csf=1&amp;web=1&amp;e=IZggyy" xr:uid="{37D11D34-718C-4238-AFE7-431E55E64F9C}"/>
    <hyperlink ref="U449" r:id="rId100" display="../../../../../../:b:/r/teams/CTM-OTGentStad/Shared Documents/General/EAF/CSI(nieuwe sharepoint)2024/EAF 5044 Oostakker 31082024.pdf?csf=1&amp;web=1&amp;e=j9uLxZ" xr:uid="{4E05077D-CD21-402C-B3C9-5E4314A8A454}"/>
    <hyperlink ref="U501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770" r:id="rId102" display="../../../../../../:b:/r/teams/CTM-OTGentStad/Shared Documents/General/EAF/CSI(nieuwe sharepoint)2024/EAF 5045 Gent 12012024.pdf?csf=1&amp;web=1&amp;e=ivd5RU" xr:uid="{3A22C16C-607A-4FC2-8A8D-24743345E1B8}"/>
    <hyperlink ref="U291" r:id="rId103" display="../../../../../../:b:/r/teams/CTM-OTGentStad/Shared Documents/General/EAF/CSI(nieuwe sharepoint)2024/EAF 5045 Gent 17122024.pdf?csf=1&amp;web=1&amp;e=kzrcYs" xr:uid="{564B8D95-A97B-4623-99E6-3B4192928165}"/>
    <hyperlink ref="U708" r:id="rId104" display="../../../../../../:b:/r/teams/CTM-OTGentStad/Shared Documents/General/EAF/CSI(nieuwe sharepoint)2024/EAF 5045 Gent 28022024.pdf?csf=1&amp;web=1&amp;e=wvDOGb" xr:uid="{369E236B-8E52-4428-85B7-91A323A63F6D}"/>
    <hyperlink ref="U753" r:id="rId105" display="../../../../../../:b:/r/teams/CTM-OTGentStad/Shared Documents/General/EAF/CSI(nieuwe sharepoint)2024/EAF 5046 Oostakker 25012024.pdf?csf=1&amp;web=1&amp;e=vOY63e" xr:uid="{6E74240E-2337-46C7-B8D4-CC8E54D01985}"/>
    <hyperlink ref="U429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512" r:id="rId107" display="../../../../../../:b:/r/teams/CTM-OTGentStad/Shared Documents/General/EAF/CSI(nieuwe sharepoint)2024/EAF 5047 Gent Sint-Pietersstation 04072024.pdf?csf=1&amp;web=1&amp;e=w3uplh" xr:uid="{DFFC8348-AD0F-4A2C-B31D-AC83FF60E3B2}"/>
    <hyperlink ref="U58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777" r:id="rId109" display="../../../../../../:b:/r/teams/CTM-OTGentStad/Shared Documents/General/EAF/CSI(nieuwe sharepoint)2024/EAF 5048 Brugsepoort 10012024.pdf?csf=1&amp;web=1&amp;e=efMJXy" xr:uid="{339F33FE-F791-408B-AE55-8342C40CB9F9}"/>
    <hyperlink ref="U323" r:id="rId110" display="../../../../../../:b:/r/teams/CTM-OTGentStad/Shared Documents/General/EAF/CSI(nieuwe sharepoint)2024/EAF 5048 Gent 23112024.pdf?csf=1&amp;web=1&amp;e=0ID7Th" xr:uid="{FE567F82-C048-49E2-938A-504FF18DC235}"/>
    <hyperlink ref="U643" r:id="rId111" display="../../../../../../:b:/r/teams/CTM-OTGentStad/Shared Documents/General/EAF/CSI(nieuwe sharepoint)2024/EAF 5048 Trollyloods Gentburgge 27042024.pdf?csf=1&amp;web=1&amp;e=l7s9op" xr:uid="{07E718B1-7EC4-4B38-B197-07A5B95843C2}"/>
    <hyperlink ref="U754" r:id="rId112" display="../../../../../../:b:/r/teams/CTM-OTGentStad/Shared Documents/General/EAF/CSI(nieuwe sharepoint)2024/EAF 5048 Zwijnaarde 25012024.pdf?csf=1&amp;web=1&amp;e=4uelUO" xr:uid="{89B485B8-75D3-4E72-AC08-A30631C9FE67}"/>
    <hyperlink ref="U497" r:id="rId113" display="../../../../../../:b:/r/teams/CTM-OTGentStad/Shared Documents/General/EAF/CSI(nieuwe sharepoint)2024/EAF 5049 Gent 13072024.pdf?csf=1&amp;web=1&amp;e=SsboXc" xr:uid="{4ADFF32A-5B91-4408-BBB8-BC8D8127379E}"/>
    <hyperlink ref="U774" r:id="rId114" display="../../../../../../:b:/r/teams/CTM-OTGentStad/Shared Documents/General/EAF/CSI(nieuwe sharepoint)2024/EAF 5049 Opgeeistlaan 11012024.pdf?csf=1&amp;web=1&amp;e=upU8ce" xr:uid="{970A9D7E-1DAC-4B35-B1D7-404FBB2700E6}"/>
    <hyperlink ref="U315" r:id="rId115" display="../../../../../../:b:/r/teams/CTM-OTGentStad/Shared Documents/General/EAF/CSI(nieuwe sharepoint)2024/EAF 5049 Trolleyloods Gentbrugge 30112024.pdf?csf=1&amp;web=1&amp;e=DDkLJB" xr:uid="{6E36E6AD-37BB-4F07-83C9-F80A39F38CF6}"/>
    <hyperlink ref="U685" r:id="rId116" display="../../../../../../:b:/r/teams/CTM-OTGentStad/Shared Documents/General/EAF/CSI(nieuwe sharepoint)2024/EAF 5050 Land van Waaslaan 09032024 Smet Antoon.pdf?csf=1&amp;web=1&amp;e=pBWhBR" xr:uid="{78B09EE1-963E-444F-95E9-4D07F6794479}"/>
    <hyperlink ref="U543" r:id="rId117" display="../../../../../../:b:/r/teams/CTM-OTGentStad/Shared Documents/General/EAF/CSI(nieuwe sharepoint)2024/EAF 5051 Gent 11062024.pdf?csf=1&amp;web=1&amp;e=lridOg" xr:uid="{F8C16BEA-33A4-43A1-8C9F-79DC2D51A4B3}"/>
    <hyperlink ref="U32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441" r:id="rId119" display="../../../../../../:b:/r/teams/CTM-OTGentStad/Shared Documents/General/EAF/CSI(nieuwe sharepoint)2024/EAF 5052 Gent 03092024.pdf?csf=1&amp;web=1&amp;e=j6GWuh" xr:uid="{684C05EF-CC93-4893-9326-FB1FC46BB253}"/>
    <hyperlink ref="U566" r:id="rId120" display="../../../../../../:b:/r/teams/CTM-OTGentStad/Shared Documents/General/EAF/CSI(nieuwe sharepoint)2024/EAF 5052 Gent 28052024.pdf?csf=1&amp;web=1&amp;e=wMFLOS" xr:uid="{5791140D-0988-44F6-A08D-F3FF696C698A}"/>
    <hyperlink ref="U407" r:id="rId121" display="../../../../../../:b:/r/teams/CTM-OTGentStad/Shared Documents/General/EAF/CSI(nieuwe sharepoint)2024/EAF 5052 Voskenslaan 24092024.pdf?csf=1&amp;web=1&amp;e=vLM2rs" xr:uid="{C48F1089-E222-47D9-AEBD-654E6EE58E73}"/>
    <hyperlink ref="U465" r:id="rId122" display="../../../../../../:b:/r/teams/CTM-OTGentStad/Shared Documents/General/EAF/CSI(nieuwe sharepoint)2024/EAF 5053  5272 Trollyloods Gentbrugge 11062024.pdf?csf=1&amp;web=1&amp;e=YXfgDM" xr:uid="{EC9997A5-5559-4569-81D5-0B999BB539C4}"/>
    <hyperlink ref="U644" r:id="rId123" display="../../../../../../:b:/r/teams/CTM-OTGentStad/Shared Documents/General/EAF/CSI(nieuwe sharepoint)2024/EAF 5053 Gent 07042024.pdf?csf=1&amp;web=1&amp;e=RjO14u" xr:uid="{DC6550E3-99CC-4FC8-A081-BB5F1C15BBF0}"/>
    <hyperlink ref="U481" r:id="rId124" display="../../../../../../:b:/r/teams/CTM-OTGentStad/Shared Documents/General/EAF/CSI(nieuwe sharepoint)2024/EAF 5053 Gent 27072024.pdf?csf=1&amp;web=1&amp;e=OiWWi6" xr:uid="{1282E241-D234-40F1-9C10-A3627664D753}"/>
    <hyperlink ref="U27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354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4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335" r:id="rId128" display="../../../../../../:b:/r/teams/CTM-OTGentStad/Shared Documents/General/EAF/CSI(nieuwe sharepoint)2024/EAF 5054 Gent 15112024.pdf?csf=1&amp;web=1&amp;e=20cD2D" xr:uid="{4C2A26BE-4D23-4B19-81DB-0FD1CB4EC899}"/>
    <hyperlink ref="U529" r:id="rId129" display="../../../../../../:b:/r/teams/CTM-OTGentStad/Shared Documents/General/EAF/CSI(nieuwe sharepoint)2024/EAF 5214 Gent 18062024.pdf?csf=1&amp;web=1&amp;e=ftFyER" xr:uid="{BEAA269B-10DF-4C60-A7E2-BA717F0C7BDF}"/>
    <hyperlink ref="U546" r:id="rId130" display="../../../../../../:b:/r/teams/CTM-OTGentStad/Shared Documents/General/EAF/CSI(nieuwe sharepoint)2024/EAF 5214 Gentbrugge 10062024.pdf?csf=1&amp;web=1&amp;e=ZkRs3H" xr:uid="{0EA5F3C5-3AF6-4C69-94EC-7F11B6A9E5D2}"/>
    <hyperlink ref="U591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645" r:id="rId132" display="../../../../../../:b:/r/teams/CTM-OTGentStad/Shared Documents/General/EAF/CSI(nieuwe sharepoint)2024/EAF 5219 Gent 07042024.pdf?csf=1&amp;web=1&amp;e=m4ESW6" xr:uid="{142430E9-C7DA-40A3-B64D-58AF211C0695}"/>
    <hyperlink ref="U621" r:id="rId133" display="../../../../../../:b:/r/teams/CTM-OTGentStad/Shared Documents/General/EAF/CSI(nieuwe sharepoint)2024/EAF 5229 Gent 19042024.pdf?csf=1&amp;web=1&amp;e=AhHiqm" xr:uid="{1B1C376D-E6C9-4990-BC36-F202F63CCD48}"/>
    <hyperlink ref="U370" r:id="rId134" display="../../../../../../:b:/r/teams/CTM-OTGentStad/Shared Documents/General/EAF/CSI(nieuwe sharepoint)2024/EAF 5229 Gent 23102024.pdf?csf=1&amp;web=1&amp;e=ESKx5N" xr:uid="{F16DA9F8-02C0-4D52-8B77-7B79EA874012}"/>
    <hyperlink ref="U592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09" r:id="rId136" display="../../../../../../:b:/r/teams/CTM-OTGentStad/Shared Documents/General/EAF/CSI(nieuwe sharepoint)2024/EAF 5230 Gent 28022024.pdf?csf=1&amp;web=1&amp;e=yDFaaM" xr:uid="{EC5A4AFA-661A-49EB-B968-2F1F560586E1}"/>
    <hyperlink ref="U292" r:id="rId137" display="../../../../../../:b:/r/teams/CTM-OTGentStad/Shared Documents/General/EAF/CSI(nieuwe sharepoint)2024/EAF 5230 Sint-Amandsberg  16122024.pdf?csf=1&amp;web=1&amp;e=ph7Ndy" xr:uid="{36E1F487-1A61-4764-8AF0-FBEC7960DDA7}"/>
    <hyperlink ref="U749" r:id="rId138" display="../../../../../../:b:/r/teams/CTM-OTGentStad/Shared Documents/General/EAF/CSI(nieuwe sharepoint)2024/EAF 5232 Gent 30012024.pdf?csf=1&amp;web=1&amp;e=rgbBDo" xr:uid="{872A0446-8C50-44C9-8112-444475A3004F}"/>
    <hyperlink ref="U432" r:id="rId139" display="../../../../../../:b:/r/teams/CTM-OTGentStad/Shared Documents/General/EAF/CSI(nieuwe sharepoint)2024/EAF 5233 Drongen 06092024.pdf?csf=1&amp;web=1&amp;e=GIoRc2" xr:uid="{F42AA0C2-BCEC-47BE-9D36-0777A3E629D3}"/>
    <hyperlink ref="U386" r:id="rId140" display="../../../../../../:b:/r/teams/CTM-OTGentStad/Shared Documents/General/EAF/CSI(nieuwe sharepoint)2024/EAF 5233 E17 13102024 Sahin Orhan.pdf?csf=1&amp;web=1&amp;e=LqDC9n" xr:uid="{4CE8DE9A-BE9D-4BAA-B603-1850CFBED817}"/>
    <hyperlink ref="U700" r:id="rId141" display="../../../../../../:b:/r/teams/CTM-OTGentStad/Shared Documents/General/EAF/CSI(nieuwe sharepoint)2024/EAF 5233 Drongsesteenweg 01032024.pdf?csf=1&amp;web=1&amp;e=f0bLD0" xr:uid="{15240598-88FB-48CB-AD07-399E0612C37E}"/>
    <hyperlink ref="U711" r:id="rId142" display="../../../../../../:b:/r/teams/CTM-OTGentStad/Shared Documents/General/EAF/CSI(nieuwe sharepoint)2024/EAF 5233 Wondelgem 27022024.pdf?csf=1&amp;web=1&amp;e=VUObQu" xr:uid="{CC06F139-05E8-4789-85CF-6148D0544C8C}"/>
    <hyperlink ref="U676" r:id="rId143" display="../../../../../../:b:/r/teams/CTM-OTGentStad/Shared Documents/General/EAF/CSI(nieuwe sharepoint)2024/EAF 5235 Gent 18032024.pdf?csf=1&amp;web=1&amp;e=aqQ2Fu" xr:uid="{FC818F25-B6C8-4218-8689-0C16F729D7E9}"/>
    <hyperlink ref="U705" r:id="rId144" display="../../../../../../:b:/r/teams/CTM-OTGentStad/Shared Documents/General/EAF/CSI(nieuwe sharepoint)2024/EAF 5235 Kouter Gent 29022024.pdf?csf=1&amp;web=1&amp;e=mb4LtY" xr:uid="{C6246465-6C1C-4B83-A73E-8D938327AD59}"/>
    <hyperlink ref="U640" r:id="rId145" display="../../../../../../:b:/r/teams/CTM-OTGentStad/Shared Documents/General/EAF/CSI(nieuwe sharepoint)2024/EAF 5236 Gent 08042024.pdf?csf=1&amp;web=1&amp;e=9TBxOY" xr:uid="{92F197F1-E1C8-4380-9DD3-E15ABF138817}"/>
    <hyperlink ref="U732" r:id="rId146" display="../../../../../../:b:/r/teams/CTM-OTGentStad/Shared Documents/General/EAF/CSI(nieuwe sharepoint)2024/EAF 5237 Begijnhoflaan 07022024.pdf?csf=1&amp;web=1&amp;e=uBdiuT" xr:uid="{57FEEE40-B95E-4D18-8CAC-5B696997F569}"/>
    <hyperlink ref="U639" r:id="rId147" display="../../../../../../:b:/r/teams/CTM-OTGentStad/Shared Documents/General/EAF/CSI(nieuwe sharepoint)2024/EAF 5237 Gent 09042024.pdf?csf=1&amp;web=1&amp;e=LzaWuc" xr:uid="{22BA3454-9282-42BF-9442-46E48BA1BBF5}"/>
    <hyperlink ref="U295" r:id="rId148" display="../../../../../../:b:/r/teams/CTM-OTGentStad/Shared Documents/General/EAF/CSI(nieuwe sharepoint)2024/EAF 5237 Nieuwe Wandeling Gent 14122024.pdf?csf=1&amp;web=1&amp;e=2ZG3Tn" xr:uid="{D898A5F8-8ED0-483E-902A-B9513D0393B9}"/>
    <hyperlink ref="U641" r:id="rId149" display="../../../../../../:b:/r/teams/CTM-OTGentStad/Shared Documents/General/EAF/CSI(nieuwe sharepoint)2024/EAF 5238 Brugsepoort Gent 08042024.pdf?csf=1&amp;web=1&amp;e=IkZZS2" xr:uid="{107AA107-4FF8-45A1-9801-901570F66CF6}"/>
    <hyperlink ref="U561" r:id="rId150" display="../../../../../../:b:/r/teams/CTM-OTGentStad/Shared Documents/General/EAF/CSI(nieuwe sharepoint)2024/EAF 5238 Dampoortstraat 02062024.pdf?csf=1&amp;web=1&amp;e=KplfVG" xr:uid="{82C3C673-B106-4861-A164-5A196C83972E}"/>
    <hyperlink ref="U344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469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400" r:id="rId153" display="../../../../../../:b:/r/teams/CTM-OTGentStad/Shared Documents/General/EAF/CSI(nieuwe sharepoint)2024/EAF 5239 Dampoort Gent 28092024.pdf?csf=1&amp;web=1&amp;e=2ecVKf" xr:uid="{0F88B24E-E58A-404B-B81A-4AB15657A82B}"/>
    <hyperlink ref="U420" r:id="rId154" display="../../../../../../:b:/r/teams/CTM-OTGentStad/Shared Documents/General/EAF/CSI(nieuwe sharepoint)2024/EAF 5239 Gent 39929 Staneva mariyana 14092024.pdf?csf=1&amp;web=1&amp;e=hMWWGb" xr:uid="{686A188A-2DA7-4B83-B913-C23137E77163}"/>
    <hyperlink ref="U634" r:id="rId155" display="../../../../../../:b:/r/teams/CTM-OTGentStad/Shared Documents/General/EAF/CSI(nieuwe sharepoint)2024/EAF 5239 Gent Brugsepoortstraat 12042024.pdf?csf=1&amp;web=1&amp;e=kfYcDQ" xr:uid="{F101ABC3-319B-4F1C-B964-417DC607D610}"/>
    <hyperlink ref="U296" r:id="rId156" display="../../../../../../:b:/r/teams/CTM-OTGentStad/Shared Documents/General/EAF/CSI(nieuwe sharepoint)2024/EAF 5239 Ledeberg 12122024.pdf?csf=1&amp;web=1&amp;e=mdSGoo" xr:uid="{76C035DD-FA0C-4F7C-BC9E-47B244C46548}"/>
    <hyperlink ref="U443" r:id="rId157" display="../../../../../../:b:/r/teams/CTM-OTGentStad/Shared Documents/General/EAF/CSI(nieuwe sharepoint)2024/EAF 5240 Gent 03092024 Atilla Ayidil.pdf?csf=1&amp;web=1&amp;e=g4RcZR" xr:uid="{57BF8AC5-1EE1-48FF-9540-37C9F9E77AF5}"/>
    <hyperlink ref="U674" r:id="rId158" display="../../../../../../:b:/r/teams/CTM-OTGentStad/Shared Documents/General/EAF/CSI(nieuwe sharepoint)2024/EAF 5240 Gent 18032024.pdf?csf=1&amp;web=1&amp;e=6Fvho6" xr:uid="{9D5E120C-A866-44ED-B6DF-EB9789082281}"/>
    <hyperlink ref="U324" r:id="rId159" display="../../../../../../:b:/r/teams/CTM-OTGentStad/Shared Documents/General/EAF/CSI(nieuwe sharepoint)2024/EAF 5240 Gent 23112024.pdf?csf=1&amp;web=1&amp;e=xHFfD7" xr:uid="{B534E512-FB1C-4BFD-AFFE-60C50F72B9EB}"/>
    <hyperlink ref="U376" r:id="rId160" display="../../../../../../:b:/r/teams/CTM-OTGentStad/Shared Documents/General/EAF/CSI(nieuwe sharepoint)2024/EAF 5240 Hoogstraat Gent 19.10.2024.pdf?csf=1&amp;web=1&amp;e=iYJzsc" xr:uid="{46AC0B2D-F923-4170-8924-0C6990A9508E}"/>
    <hyperlink ref="U625" r:id="rId161" display="../../../../../../:b:/r/teams/CTM-OTGentStad/Shared Documents/General/EAF/CSI(nieuwe sharepoint)2024/EAF 5240 Koning Albertlaan Gent 18012024.pdf?csf=1&amp;web=1&amp;e=GwvnVk" xr:uid="{E96BA914-631F-4DD1-A2CD-235512895942}"/>
    <hyperlink ref="U419" r:id="rId162" display="../../../../../../:b:/r/teams/CTM-OTGentStad/Shared Documents/General/EAF/CSI(nieuwe sharepoint)2024/EAF 5240 Nieuwe Wandeling Gent 15092024.pdf?csf=1&amp;web=1&amp;e=ybJXsr" xr:uid="{82DF405D-D5D8-4B78-AE31-0D254885B5F9}"/>
    <hyperlink ref="U485" r:id="rId163" display="../../../../../../:b:/r/teams/CTM-OTGentStad/Shared Documents/General/EAF/CSI(nieuwe sharepoint)2024/EAF 5240 Nieuwebosstraat 52 Gent 24.07.2024.pdf?csf=1&amp;web=1&amp;e=rSy4pR" xr:uid="{A981F4A2-09BD-461A-AFB7-CC5C884FD674}"/>
    <hyperlink ref="U486" r:id="rId164" display="../../../../../../:b:/r/teams/CTM-OTGentStad/Shared Documents/General/EAF/CSI(nieuwe sharepoint)2024/EAF 5240 Sint Amandsberg 24012024.pdf?csf=1&amp;web=1&amp;e=zHuKrP" xr:uid="{11DA0475-1561-428F-9D96-D3A3BCB37EED}"/>
    <hyperlink ref="U722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613" r:id="rId166" display="../../../../../../:b:/r/teams/CTM-OTGentStad/Shared Documents/General/EAF/CSI(nieuwe sharepoint)2024/EAF 5241 Gent Neermeerkaai 24042024.pdf?csf=1&amp;web=1&amp;e=hXwGLz" xr:uid="{DD19F197-679B-47C0-BE93-1D3BA9C723E8}"/>
    <hyperlink ref="U307" r:id="rId167" display="../../../../../../:b:/r/teams/CTM-OTGentStad/Shared Documents/General/EAF/CSI(nieuwe sharepoint)2024/EAF 5241 Gentbrugge 04122024.pdf?csf=1&amp;web=1&amp;e=f5ThUQ" xr:uid="{7D310F5C-0361-4788-B63B-2A829813B77A}"/>
    <hyperlink ref="U377" r:id="rId168" display="../../../../../../:b:/r/teams/CTM-OTGentStad/Shared Documents/General/EAF/CSI(nieuwe sharepoint)2024/EAF 5258 Rooigemlaan Gent  19.10.2024.pdf?csf=1&amp;web=1&amp;e=wNw2xP" xr:uid="{629E6FBD-E70C-4299-B41D-38B33769A026}"/>
    <hyperlink ref="U416" r:id="rId169" display="../../../../../../:b:/r/teams/CTM-OTGentStad/Shared Documents/General/EAF/CSI(nieuwe sharepoint)2024/EAF 5259 Drongensesteenweg 16092024 Nohut Baki.pdf?csf=1&amp;web=1&amp;e=c6BSsH" xr:uid="{97F0F5B8-393F-473E-AE4A-47F56D84819B}"/>
    <hyperlink ref="U751" r:id="rId170" display="../../../../../../:b:/r/teams/CTM-OTGentStad/Shared Documents/General/EAF/CSI(nieuwe sharepoint)2024/EAF 5260 Gent 28012024.pdf?csf=1&amp;web=1&amp;e=5Sz9tz" xr:uid="{6EE06DA0-3107-4B76-B2A6-5B362B5D2DA6}"/>
    <hyperlink ref="U472" r:id="rId171" display="../../../../../../:b:/r/teams/CTM-OTGentStad/Shared Documents/General/EAF/CSI(nieuwe sharepoint)2024/EAF 5260 Gentbrugge 02082024.pdf?csf=1&amp;web=1&amp;e=LndmuV" xr:uid="{090568B8-35D5-41F6-AD4C-F6D3F5D2F30C}"/>
    <hyperlink ref="U578" r:id="rId172" display="../../../../../../:b:/r/teams/CTM-OTGentStad/Shared Documents/General/EAF/CSI(nieuwe sharepoint)2024/EAF 5260 Gentbrugge 21052024.pdf?csf=1&amp;web=1&amp;e=WUdDW0" xr:uid="{DA041EFD-D168-4AFF-8423-558D7A8198CD}"/>
    <hyperlink ref="U357" r:id="rId173" display="../../../../../../:b:/r/teams/CTM-OTGentStad/Shared Documents/General/EAF/CSI(nieuwe sharepoint)2024/EAF 5260 Groeningewijk Gentbrugge 02112024.pdf?csf=1&amp;web=1&amp;e=PFNT1e" xr:uid="{B67A3E86-BD7D-432F-ABA0-61F4041E7D9A}"/>
    <hyperlink ref="U334" r:id="rId174" display="../../../../../../:b:/r/teams/CTM-OTGentStad/Shared Documents/General/EAF/CSI(nieuwe sharepoint)2024/EAF 5260 Hoogstraat Gent 17072024.pdf?csf=1&amp;web=1&amp;e=0DYXJ9" xr:uid="{80D2D0B5-01F0-4FB6-9CC9-EC959F6F1C09}"/>
    <hyperlink ref="U301" r:id="rId175" display="../../../../../../:b:/r/teams/CTM-OTGentStad/Shared Documents/General/EAF/CSI(nieuwe sharepoint)2024/EAF 5261 Brugsepoort Gent 09122024.pdf?csf=1&amp;web=1&amp;e=2klFr2" xr:uid="{F7B4B502-E0D9-4986-AE5D-2F347AE41E9A}"/>
    <hyperlink ref="U614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742" r:id="rId177" display="../../../../../../:b:/r/teams/CTM-OTGentStad/Shared Documents/General/EAF/CSI(nieuwe sharepoint)2024/EAF 5261 Gent 02022024.pdf?csf=1&amp;web=1&amp;e=KQ3nxn" xr:uid="{0751FBF0-F200-4ED5-B5F1-0D2822456AF1}"/>
    <hyperlink ref="U436" r:id="rId178" display="../../../../../../:b:/r/teams/CTM-OTGentStad/Shared Documents/General/EAF/CSI(nieuwe sharepoint)2024/EAF 5261 Groeningewijk Gentbrugge 05092024.pdf?csf=1&amp;web=1&amp;e=Tu5tpk" xr:uid="{D1A4051F-D2BC-4C0C-81AE-1A3883EDE667}"/>
    <hyperlink ref="U693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474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723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750" r:id="rId182" display="../../../../../../:b:/r/teams/CTM-OTGentStad/Shared Documents/General/EAF/CSI(nieuwe sharepoint)2024/EAF 5264 Gent 29012024.pdf?csf=1&amp;web=1&amp;e=pIPNJC" xr:uid="{3DF5E2C2-BF06-4246-87EB-CE2FE8673AF8}"/>
    <hyperlink ref="U437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760" r:id="rId184" display="../../../../../../:b:/r/teams/CTM-OTGentStad/Shared Documents/General/EAF/CSI(nieuwe sharepoint)2024/EAF 5265 Drongen 20012024.pdf?csf=1&amp;web=1&amp;e=zjZNH1" xr:uid="{5D8CB038-766F-4079-A253-9B24F16A0648}"/>
    <hyperlink ref="U494" r:id="rId185" display="../../../../../../:b:/r/teams/CTM-OTGentStad/Shared Documents/General/EAF/CSI(nieuwe sharepoint)2024/EAF 5265 Gent 17072024.pdf?csf=1&amp;web=1&amp;e=OFkISe" xr:uid="{7A74395B-63C5-4519-8F7C-B43378ABA3A3}"/>
    <hyperlink ref="U341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547" r:id="rId187" display="../../../../../../:b:/r/teams/CTM-OTGentStad/Shared Documents/General/EAF/CSI(nieuwe sharepoint)2024/EAF 5266 Gent Dampoort 10062024.pdf?csf=1&amp;web=1&amp;e=6j42Wr" xr:uid="{C50F2398-B4C7-4ECF-9CCB-0521DED21615}"/>
    <hyperlink ref="U694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571" r:id="rId189" display="../../../../../../:b:/r/teams/CTM-OTGentStad/Shared Documents/General/EAF/CSI(nieuwe sharepoint)2024/EAF 5267 Dampoort 24052024.pdf?csf=1&amp;web=1&amp;e=IKXRT1" xr:uid="{D8883898-C0C3-40CC-8905-74816792152C}"/>
    <hyperlink ref="U778" r:id="rId190" display="../../../../../../:b:/r/teams/CTM-OTGentStad/Shared Documents/General/EAF/CSI(nieuwe sharepoint)2024/EAF 5267 Gent 10012024.pdf?csf=1&amp;web=1&amp;e=bPITiu" xr:uid="{4E6F5EB9-1AFF-4587-AE4C-5DA7ACD6281E}"/>
    <hyperlink ref="U417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514" r:id="rId192" display="../../../../../../:b:/r/teams/CTM-OTGentStad/Shared Documents/General/EAF/CSI(nieuwe sharepoint)2024/EAF 5270 Afrit E17 op E40 08072024.pdf?csf=1&amp;web=1&amp;e=SC8SiN" xr:uid="{D601228B-287C-4D16-92E4-A755DDC32521}"/>
    <hyperlink ref="U672" r:id="rId193" display="../../../../../../:b:/r/teams/CTM-OTGentStad/Shared Documents/General/EAF/CSI(nieuwe sharepoint)2024/EAF 5272 Gent 19032024.pdf?csf=1&amp;web=1&amp;e=7WQ7o1" xr:uid="{B957B02F-263F-49B8-B2A8-F249018E5CEC}"/>
    <hyperlink ref="U495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402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706" r:id="rId196" display="../../../../../../:b:/r/teams/CTM-OTGentStad/Shared Documents/General/EAF/CSI(nieuwe sharepoint)2024/EAF 5273 Drongen 29022024.pdf?csf=1&amp;web=1&amp;e=Pwy5lm" xr:uid="{BB2EDCEC-E525-4266-A4C8-8AC6B34E4F60}"/>
    <hyperlink ref="U584" r:id="rId197" display="../../../../../../:b:/r/teams/CTM-OTGentStad/Shared Documents/General/EAF/CSI(nieuwe sharepoint)2024/EAF 5273 Gent 13052024.pdf?csf=1&amp;web=1&amp;e=bde5MQ" xr:uid="{5DB7283B-7F6F-424B-A9EA-972F12502937}"/>
    <hyperlink ref="U756" r:id="rId198" display="../../../../../../:b:/r/teams/CTM-OTGentStad/Shared Documents/General/EAF/CSI(nieuwe sharepoint)2024/EAF 5273 Gent 23012024.pdf?csf=1&amp;web=1&amp;e=zXlPrR" xr:uid="{59B18075-A3D7-40BB-8275-57AF7D3A7251}"/>
    <hyperlink ref="U430" r:id="rId199" display="../../../../../../:b:/r/teams/CTM-OTGentStad/Shared Documents/General/EAF/CSI(nieuwe sharepoint)2024/EAF 5273 Gentbrugge 08092024.pdf?csf=1&amp;web=1&amp;e=yFSCzw" xr:uid="{83123703-5206-4665-9670-638ED57D180D}"/>
    <hyperlink ref="U300" r:id="rId200" display="../../../../../../:b:/r/teams/CTM-OTGentStad/Shared Documents/General/EAF/CSI(nieuwe sharepoint)2024/EAF 5273 Hovernierstraat Ledeberg 10122024.pdf?csf=1&amp;web=1&amp;e=mVaACu" xr:uid="{B6D8AB26-89F9-4E1D-B7F7-2F14A228B65C}"/>
    <hyperlink ref="U516" r:id="rId201" display="../../../../../../:b:/r/teams/CTM-OTGentStad/Shared Documents/General/EAF/CSI(nieuwe sharepoint)2024/EAF 5273 Wondelgem 01072024.pdf?csf=1&amp;web=1&amp;e=l3AN29" xr:uid="{C6106ACC-3CEE-4584-BE4A-CB131F6D2EDC}"/>
    <hyperlink ref="U548" r:id="rId202" display="../../../../../../:b:/r/teams/CTM-OTGentStad/Shared Documents/General/EAF/CSI(nieuwe sharepoint)2024/EAF 5273 Wondelgem 10062024.pdf?csf=1&amp;web=1&amp;e=Dxn0VL" xr:uid="{F8200934-60BE-4DDA-8164-EBBE2852AF53}"/>
    <hyperlink ref="U297" r:id="rId203" display="../../../../../../:b:/r/teams/CTM-OTGentStad/Shared Documents/General/EAF/CSI(nieuwe sharepoint)2024/EAF 5276 Drongensesteenweg Gent 12122024.pdf?csf=1&amp;web=1&amp;e=ufckTu" xr:uid="{AFE55EA5-B19A-4EF5-95C8-E38FFA4E7FB3}"/>
    <hyperlink ref="U425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421" r:id="rId205" display="../../../../../../:b:/r/teams/CTM-OTGentStad/Shared Documents/General/EAF/CSI(nieuwe sharepoint)2024/EAF 5324 Martelaarslaan Gent 14.09.2024.pdf?csf=1&amp;web=1&amp;e=NMY58O" xr:uid="{80B084A7-BFFB-4BD7-B257-5656B6ABC759}"/>
    <hyperlink ref="U281" r:id="rId206" display="../../../../../../:b:/r/teams/CTM-OTGentStad/Shared Documents/General/EAF/CSI(nieuwe sharepoint)2024/EAF 5325 Drongen 21122024.pdf?csf=1&amp;web=1&amp;e=YQsH1N" xr:uid="{FE819C6A-CBB2-4A8F-A9CE-39A917EFC711}"/>
    <hyperlink ref="U724" r:id="rId207" display="../../../../../../:b:/r/teams/CTM-OTGentStad/Shared Documents/General/EAF/CSI(nieuwe sharepoint)2024/EAF 5326 Gent 16022024.pdf?csf=1&amp;web=1&amp;e=5ULpIl" xr:uid="{C39B2E04-3040-4444-8723-0242A8F29D67}"/>
    <hyperlink ref="U747" r:id="rId208" display="../../../../../../:b:/r/teams/CTM-OTGentStad/Shared Documents/General/EAF/CSI(nieuwe sharepoint)2024/EAF 5326 Gent 31012024.pdf?csf=1&amp;web=1&amp;e=i10RHa" xr:uid="{C3CA11C4-E758-484B-AAFA-71708436344D}"/>
    <hyperlink ref="U337" r:id="rId209" display="../../../../../../:b:/r/teams/CTM-OTGentStad/Shared Documents/General/EAF/CSI(nieuwe sharepoint)2024/EAF 5326 Gent 141122024.pdf?csf=1&amp;web=1&amp;e=yDV6ZW" xr:uid="{52138DDE-B010-4A88-A73C-8511E9CC5D84}"/>
    <hyperlink ref="U740" r:id="rId210" display="../../../../../../:b:/r/teams/CTM-OTGentStad/Shared Documents/General/EAF/CSI(nieuwe sharepoint)2024/EAF 5326 Gent Dampoort 03022024.pdf?csf=1&amp;web=1&amp;e=tGC44K" xr:uid="{0FA57C8A-55F0-49D0-8245-6DA39A492453}"/>
    <hyperlink ref="U562" r:id="rId211" display="../../../../../../:b:/r/teams/CTM-OTGentStad/Shared Documents/General/EAF/CSI(nieuwe sharepoint)2024/EAF 5326 Rooigemlaan Gent 30052024.pdf?csf=1&amp;web=1&amp;e=5AR7LW" xr:uid="{1F2AF07C-12EB-4380-BB14-F622D4D2E6B8}"/>
    <hyperlink ref="U555" r:id="rId212" display="../../../../../../:b:/r/teams/CTM-OTGentStad/Shared Documents/General/EAF/CSI(nieuwe sharepoint)2024/EAF 5327 05062024.pdf?csf=1&amp;web=1&amp;e=8mABkX" xr:uid="{71DB21F1-31E2-444E-85E3-7677E4B0468A}"/>
    <hyperlink ref="U588" r:id="rId213" display="../../../../../../:b:/r/teams/CTM-OTGentStad/Shared Documents/General/EAF/CSI(nieuwe sharepoint)2024/EAF 5327 Dampoort Gent 11052024.pdf?csf=1&amp;web=1&amp;e=2jmNbB" xr:uid="{214C7832-9A0B-4662-B595-1A5A7ED2DFB8}"/>
    <hyperlink ref="U684" r:id="rId214" display="../../../../../../:b:/r/teams/CTM-OTGentStad/Shared Documents/General/EAF/CSI(nieuwe sharepoint)2024/EAF 5327 Gent 12032024.pdf?csf=1&amp;web=1&amp;e=waZJbc" xr:uid="{4D4D7900-CDCB-460A-A010-9E850BDEE291}"/>
    <hyperlink ref="U551" r:id="rId215" display="../../../../../../:b:/r/teams/CTM-OTGentStad/Shared Documents/General/EAF/CSI(nieuwe sharepoint)2024/EAF 5327 Gent Fraterplein 07062024.pdf?csf=1&amp;web=1&amp;e=vVta9L" xr:uid="{3EC7782D-1782-4F70-8B1A-ABCDDD3BD6AC}"/>
    <hyperlink ref="U439" r:id="rId216" display="../../../../../../:b:/r/teams/CTM-OTGentStad/Shared Documents/General/EAF/CSI(nieuwe sharepoint)2024/EAF 5327 Ledeberg 04092024.pdf?csf=1&amp;web=1&amp;e=0wLizx" xr:uid="{6CEE7D51-D555-45A6-A445-463BC0E0D82D}"/>
    <hyperlink ref="U345" r:id="rId217" display="../../../../../../:b:/r/teams/CTM-OTGentStad/Shared Documents/General/EAF/CSI(nieuwe sharepoint)2024/EAF 5327 Morekstraat Wondelgem 09112024.pdf?csf=1&amp;web=1&amp;e=C5bi8b" xr:uid="{77D7CDF0-7819-4669-8E1C-541415AB7331}"/>
    <hyperlink ref="U761" r:id="rId218" display="../../../../../../:b:/r/teams/CTM-OTGentStad/Shared Documents/General/EAF/CSI(nieuwe sharepoint)2024/EAF 5327 Wondelgem 20012024.pdf?csf=1&amp;web=1&amp;e=iEEbE2" xr:uid="{D8EAF54B-EFB3-46A7-B40D-20A20504AB98}"/>
    <hyperlink ref="U444" r:id="rId219" display="../../../../../../:b:/r/teams/CTM-OTGentStad/Shared Documents/General/EAF/CSI(nieuwe sharepoint)2024/EAF 5328 Drieselstraat Gent 03.09.2024.pdf?csf=1&amp;web=1&amp;e=BvQsRY" xr:uid="{529A32D0-CADE-4CAD-80C4-675470E45984}"/>
    <hyperlink ref="U540" r:id="rId220" display="../../../../../../:b:/r/teams/CTM-OTGentStad/Shared Documents/General/EAF/CSI(nieuwe sharepoint)2024/EAF 5328 Gent 12062024.pdf?csf=1&amp;web=1&amp;e=P4QFUM" xr:uid="{D0E3AE83-0764-4CD3-9361-5B1D1A2632C8}"/>
    <hyperlink ref="U748" r:id="rId221" display="../../../../../../:b:/r/teams/CTM-OTGentStad/Shared Documents/General/EAF/CSI(nieuwe sharepoint)2024/EAF 5359 Mariakerke 31012024.pdf?csf=1&amp;web=1&amp;e=8iHQYj" xr:uid="{FE6B3864-717F-483B-84F6-CC3013C4BDB8}"/>
    <hyperlink ref="U521" r:id="rId222" display="../../../../../../:b:/r/teams/CTM-OTGentStad/Shared Documents/General/EAF/CSI(nieuwe sharepoint)2024/EAF 5359 Snellaertplein 26062024.pdf?csf=1&amp;web=1&amp;e=EWYDi9" xr:uid="{2AB4268C-F3F7-4044-AE1A-8A70B3A3B8C0}"/>
    <hyperlink ref="U280" r:id="rId223" display="../../../../../../:b:/r/teams/CTM-OTGentStad/Shared Documents/General/EAF/CSI(nieuwe sharepoint)2024/EAF 5360 Brugsesteenweg Gent 23122024.pdf?csf=1&amp;web=1&amp;e=blDlCj" xr:uid="{E091A8BA-883A-4B1D-9DD4-EB049555215A}"/>
    <hyperlink ref="U590" r:id="rId224" display="../../../../../../:b:/r/teams/CTM-OTGentStad/Shared Documents/General/EAF/CSI(nieuwe sharepoint)2024/EAF 5360 Gent 08052024.pdf?csf=1&amp;web=1&amp;e=3Q9fBi" xr:uid="{E39EDF1F-A898-4440-BF78-D7511308A975}"/>
    <hyperlink ref="U488" r:id="rId225" display="../../../../../../:b:/r/teams/CTM-OTGentStad/Shared Documents/General/EAF/CSI(nieuwe sharepoint)2024/EAF 5360 Gent 27032024.pdf?csf=1&amp;web=1&amp;e=aJuojI" xr:uid="{F77C63FF-9FE3-4196-8D70-5ACDF398E60E}"/>
    <hyperlink ref="U355" r:id="rId226" display="../../../../../../:b:/r/teams/CTM-OTGentStad/Shared Documents/General/EAF/CSI(nieuwe sharepoint)2024/EAF 5360 Gent Mariakerke 04112024 Jessica Bral.pdf?csf=1&amp;web=1&amp;e=pm8Mo8" xr:uid="{ADC460CA-527A-44AA-A580-501D885AB814}"/>
    <hyperlink ref="U765" r:id="rId227" display="../../../../../../:b:/r/teams/CTM-OTGentStad/Shared Documents/General/EAF/CSI(nieuwe sharepoint)2024/EAF 5360 Hoogstraat Gent 17012024.pdf?csf=1&amp;web=1&amp;e=Dj3JtM" xr:uid="{CFB4E6F4-F0B8-4336-8AE7-5C28A756BDDE}"/>
    <hyperlink ref="U358" r:id="rId228" display="../../../../../../:b:/r/teams/CTM-OTGentStad/Shared Documents/General/EAF/CSI(nieuwe sharepoint)2024/EAF 5360 Nieuwe Wandeling Gent 30102024.pdf?csf=1&amp;web=1&amp;e=ddxbec" xr:uid="{1BBCCAD9-675C-47D7-99E7-3DF3B9BD3F25}"/>
    <hyperlink ref="U726" r:id="rId229" display="../../../../../../:b:/r/teams/CTM-OTGentStad/Shared Documents/General/EAF/CSI(nieuwe sharepoint)2024/EAF 5361 Gent 15022024.pdf?csf=1&amp;web=1&amp;e=kW90Jf" xr:uid="{1C53B007-E749-42F0-86CB-CAF5D1A3FD2D}"/>
    <hyperlink ref="U573" r:id="rId230" display="../../../../../../:b:/r/teams/CTM-OTGentStad/Shared Documents/General/EAF/CSI(nieuwe sharepoint)2024/EAF 5361 Gent 23052024.pdf?csf=1&amp;web=1&amp;e=esyHQm" xr:uid="{90C911D5-D98D-4DB6-B4AF-5B5A34837E8A}"/>
    <hyperlink ref="U515" r:id="rId231" display="../../../../../../:b:/r/teams/CTM-OTGentStad/Shared Documents/General/EAF/CSI(nieuwe sharepoint)2024/EAF 5361 Rabot 02072024.pdf?csf=1&amp;web=1&amp;e=EEwi0O" xr:uid="{35AE54F1-E757-4F2E-8CB7-F6A8416AC419}"/>
    <hyperlink ref="U752" r:id="rId232" display="../../../../../../:b:/r/teams/CTM-OTGentStad/Shared Documents/General/EAF/CSI(nieuwe sharepoint)2024/EAF 5365 Gent 26012024.pdf?csf=1&amp;web=1&amp;e=QN3O87" xr:uid="{435391C4-4389-4071-92C9-A93C6932EE1E}"/>
    <hyperlink ref="U607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552" r:id="rId234" display="../../../../../../:b:/r/teams/CTM-OTGentStad/Shared Documents/General/EAF/CSI(nieuwe sharepoint)2024/EAF 5367 Gent 06062024.pdf?csf=1&amp;web=1&amp;e=McAZGf" xr:uid="{8C2E3171-4D8E-4EDB-A828-2FCC0ABB6F5A}"/>
    <hyperlink ref="U372" r:id="rId235" display="../../../../../../:b:/r/teams/CTM-OTGentStad/Shared Documents/General/EAF/CSI(nieuwe sharepoint)2024/EAF 5367 Gent 22102024.pdf?csf=1&amp;web=1&amp;e=LVW3LL" xr:uid="{2BF9F1EC-295A-433E-BDDD-952C8C15BADB}"/>
    <hyperlink ref="U487" r:id="rId236" display="../../../../../../:b:/r/teams/CTM-OTGentStad/Shared Documents/General/EAF/CSI(nieuwe sharepoint)2024/EAF 5367 Gent 24072024.pdf?csf=1&amp;web=1&amp;e=ltsuHk" xr:uid="{E216F7A9-AF42-4982-BA22-C9E34FC263C7}"/>
    <hyperlink ref="U59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42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648" r:id="rId239" display="../../../../../../:b:/r/teams/CTM-OTGentStad/Shared Documents/General/EAF/CSI(nieuwe sharepoint)2024/EAF 5369 Gent 01042024.pdf?csf=1&amp;web=1&amp;e=xW5W74" xr:uid="{CC2F902B-0745-43EB-9123-B932862326AE}"/>
    <hyperlink ref="U743" r:id="rId240" display="../../../../../../:b:/r/teams/CTM-OTGentStad/Shared Documents/General/EAF/CSI(nieuwe sharepoint)2024/EAF 5369 Gent 02022024.pdf?csf=1&amp;web=1&amp;e=RwySmv" xr:uid="{9B9F6456-13C4-4144-A04B-9C11B22581F2}"/>
    <hyperlink ref="U428" r:id="rId241" display="../../../../../../:b:/r/teams/CTM-OTGentStad/Shared Documents/General/EAF/CSI(nieuwe sharepoint)2024/EAF 5369 Gent 09092024.pdf?csf=1&amp;web=1&amp;e=EKxThx" xr:uid="{BD0E99D5-6527-4A36-AC9C-FEAE888A9FC4}"/>
    <hyperlink ref="U518" r:id="rId242" display="../../../../../../:b:/r/teams/CTM-OTGentStad/Shared Documents/General/EAF/CSI(nieuwe sharepoint)2024/EAF 5369 GEnt 29062024.pdf?csf=1&amp;web=1&amp;e=5PTssr" xr:uid="{73AB86D2-9859-4FC4-9C68-95CB1B70A3FD}"/>
    <hyperlink ref="U677" r:id="rId243" display="../../../../../../:b:/r/teams/CTM-OTGentStad/Shared Documents/General/EAF/CSI(nieuwe sharepoint)2024/EAF 5372 Gent 14032024.pdf?csf=1&amp;web=1&amp;e=EtsYdB" xr:uid="{AE33083B-9039-4752-9D2A-FB363FAA767C}"/>
    <hyperlink ref="U622" r:id="rId244" display="../../../../../../:b:/r/teams/CTM-OTGentStad/Shared Documents/General/EAF/CSI(nieuwe sharepoint)2024/EAF 5372 Gent 19042024.pdf?csf=1&amp;web=1&amp;e=lGY92b" xr:uid="{2C5F34AB-2196-4289-8F4E-2E923D6E8426}"/>
    <hyperlink ref="U782" r:id="rId245" display="../../../../../../:b:/r/teams/CTM-OTGentStad/Shared Documents/General/EAF/CSI(nieuwe sharepoint)2024/EAF 5376 E17 05012024.pdf?csf=1&amp;web=1&amp;e=fDdhVf" xr:uid="{005C1CFD-602D-4819-8A76-5F1163DF83FA}"/>
    <hyperlink ref="U714" r:id="rId246" display="../../../../../../:b:/r/teams/CTM-OTGentStad/Shared Documents/General/EAF/CSI(nieuwe sharepoint)2024/EAF 5376 E17 22022024.pdf?csf=1&amp;web=1&amp;e=zECSLM" xr:uid="{6536CC7E-A956-4FD0-8134-39D8B145D6CE}"/>
    <hyperlink ref="U649" r:id="rId247" display="../../../../../../:b:/r/teams/CTM-OTGentStad/Shared Documents/General/EAF/CSI(nieuwe sharepoint)2024/EAF 5376 Gent 31032024.pdf?csf=1&amp;web=1&amp;e=0n8M7F" xr:uid="{08CDC4B2-77DF-4681-8441-9A23A12FC4F6}"/>
    <hyperlink ref="U741" r:id="rId248" display="../../../../../../:b:/r/teams/CTM-OTGentStad/Shared Documents/General/EAF/CSI(nieuwe sharepoint)2024/EAF 5376 Koremarkt 03022024.pdf?csf=1&amp;web=1&amp;e=kKCeod" xr:uid="{37235B0A-023F-452B-8A60-D385C160089E}"/>
    <hyperlink ref="U457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522" r:id="rId250" display="../../../../../../:b:/r/teams/CTM-OTGentStad/Shared Documents/General/EAF/CSI(nieuwe sharepoint)2024/EAF 5763 Gentbrugge 26062024.pdf?csf=1&amp;web=1&amp;e=dKWpID" xr:uid="{7C0B5AB5-2BDA-4B76-9635-FA18AC578BF9}"/>
    <hyperlink ref="U642" r:id="rId251" display="../../../../../../:b:/r/teams/CTM-OTGentStad/Shared Documents/General/EAF/CSI(nieuwe sharepoint)2024/EAF 5764 Driebeek 08042024.pdf?csf=1&amp;web=1&amp;e=kwxRyw" xr:uid="{20C56189-5D21-4CDC-BED0-4DD042CEC560}"/>
    <hyperlink ref="U537" r:id="rId252" display="../../../../../../:b:/r/teams/CTM-OTGentStad/Shared Documents/General/EAF/CSI(nieuwe sharepoint)2024/EAF 5764 Gent 13062024.pdf?csf=1&amp;web=1&amp;e=QFoHNP" xr:uid="{27BAF88A-1717-43EC-93B3-3E04D633A8E7}"/>
    <hyperlink ref="U517" r:id="rId253" display="../../../../../../:b:/r/teams/CTM-OTGentStad/Shared Documents/General/EAF/CSI(nieuwe sharepoint)2024/EAF 5764 Octrooiplein Gent 01.07.2024.pdf?csf=1&amp;web=1&amp;e=gH27G5" xr:uid="{F4285674-8BBE-4AD1-9935-E0EF1FBC3AA7}"/>
    <hyperlink ref="U298" r:id="rId254" display="../../../../../../:b:/r/teams/CTM-OTGentStad/Shared Documents/General/EAF/CSI(nieuwe sharepoint)2024/EAF 5764 Sint-Pietersnieuwstraat Gent 12122024.pdf?csf=1&amp;web=1&amp;e=GuvJod" xr:uid="{9489E54C-110F-43D7-B9DD-021720A0D345}"/>
    <hyperlink ref="U414" r:id="rId255" display="../../../../../../:b:/r/teams/CTM-OTGentStad/Shared Documents/General/EAF/CSI(nieuwe sharepoint)2024/EAF 5765 Gent 17092024.pdf?csf=1&amp;web=1&amp;e=ZbypcB" xr:uid="{1AAE3371-A3CA-46BE-816D-D96A42DDE9E3}"/>
    <hyperlink ref="U289" r:id="rId256" display="../../../../../../:b:/r/teams/CTM-OTGentStad/Shared Documents/General/EAF/CSI(nieuwe sharepoint)2024/EAF 5765 Gent 18122024.pdf?csf=1&amp;web=1&amp;e=vfzKhd" xr:uid="{327B46C7-AAD7-471A-8396-8D7756505435}"/>
    <hyperlink ref="U608" r:id="rId257" display="../../../../../../:b:/r/teams/CTM-OTGentStad/Shared Documents/General/EAF/CSI(nieuwe sharepoint)2024/EAF 5765 Gent 29042024.pdf?csf=1&amp;web=1&amp;e=9TzZCx" xr:uid="{18973B25-B212-4678-AD92-A6F615B36F5A}"/>
    <hyperlink ref="U650" r:id="rId258" display="../../../../../../:b:/r/teams/CTM-OTGentStad/Shared Documents/General/EAF/CSI(nieuwe sharepoint)2024/EAF 5765 Gent 31032024.pdf?csf=1&amp;web=1&amp;e=fdRt8x" xr:uid="{803BFBBA-2094-40D2-B90F-9EBE110462E1}"/>
    <hyperlink ref="U695" r:id="rId259" display="../../../../../../:b:/r/teams/CTM-OTGentStad/Shared Documents/General/EAF/CSI(nieuwe sharepoint)2024/EAF 5765 Gentbrugge 05032024.pdf?csf=1&amp;web=1&amp;e=cyphOF" xr:uid="{973D6D55-1832-4460-85B8-8A83E5FDB087}"/>
    <hyperlink ref="U628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445" r:id="rId261" display="../../../../../../:b:/r/teams/CTM-OTGentStad/Shared Documents/General/EAF/CSI(nieuwe sharepoint)2024/EAF 5766 Lammerstraat 03092024.pdf?csf=1&amp;web=1&amp;e=cqwJ9W" xr:uid="{712897C0-61B2-4FE1-809A-169D35C65CF6}"/>
    <hyperlink ref="U321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615" r:id="rId263" display="../../../../../../:b:/r/teams/CTM-OTGentStad/Shared Documents/General/EAF/CSI(nieuwe sharepoint)2024/EAF 5767 Gent 23042024 De Wilde Jordy 39927.pdf?csf=1&amp;web=1&amp;e=hd0LZ6" xr:uid="{E1C472D4-0978-4058-8716-9E980588C5B2}"/>
    <hyperlink ref="U290" r:id="rId264" display="../../../../../../:b:/r/teams/CTM-OTGentStad/Shared Documents/General/EAF/CSI(nieuwe sharepoint)2024/EAF 5767 Steendam Gent 18.12.2024.pdf?csf=1&amp;web=1&amp;e=XVFDwI" xr:uid="{4C0DA69D-FB64-4C20-99EF-5CE38A0D6EAB}"/>
    <hyperlink ref="U767" r:id="rId265" display="../../../../../../:b:/r/teams/CTM-OTGentStad/Shared Documents/General/EAF/CSI(nieuwe sharepoint)2024/EAF 5768 GEnt 15012024.pdf?csf=1&amp;web=1&amp;e=8w2RoB" xr:uid="{07BE8381-0679-405D-844E-F0D06D086D29}"/>
    <hyperlink ref="U412" r:id="rId266" display="../../../../../../:b:/r/teams/CTM-OTGentStad/Shared Documents/General/EAF/CSI(nieuwe sharepoint)2024/EAF 5768 Gent 21092024.pdf?csf=1&amp;web=1&amp;e=SCccII" xr:uid="{38F70451-4885-4AEA-9191-B1C7D092F664}"/>
    <hyperlink ref="U368" r:id="rId267" display="../../../../../../:b:/r/teams/CTM-OTGentStad/Shared Documents/General/EAF/CSI(nieuwe sharepoint)2024/EAF 5768 Gent 24102024.pdf?csf=1&amp;web=1&amp;e=hZcqTA" xr:uid="{1DFD0E5D-10CA-43AE-925B-86362B8DCB75}"/>
    <hyperlink ref="U359" r:id="rId268" display="../../../../../../:b:/r/teams/CTM-OTGentStad/Shared Documents/General/EAF/CSI(nieuwe sharepoint)2024/EAF 5769 Gent Dampoort 30102024 De Keyzer Jan.pdf?csf=1&amp;web=1&amp;e=cTVgDR" xr:uid="{067B8925-433C-423F-AA38-A05B96551CC4}"/>
    <hyperlink ref="U318" r:id="rId269" display="../../../../../../:b:/r/teams/CTM-OTGentStad/Shared Documents/General/EAF/CSI(nieuwe sharepoint)2024/EAF 5770 E17 parking 1 29112024.pdf?csf=1&amp;web=1&amp;e=UHSFcC" xr:uid="{AADB0B12-94B1-4DF6-9962-733043F44C0C}"/>
    <hyperlink ref="U510" r:id="rId270" display="../../../../../../:b:/r/teams/CTM-OTGentStad/Shared Documents/General/EAF/CSI(nieuwe sharepoint)2024/EAF 5771 Gent 05072024.pdf?csf=1&amp;web=1&amp;e=BebpUR" xr:uid="{58B7D1DE-4BD4-41E7-9F47-DB7031F5B813}"/>
    <hyperlink ref="U342" r:id="rId271" display="../../../../../../:b:/r/teams/CTM-OTGentStad/Shared Documents/General/EAF/CSI(nieuwe sharepoint)2024/EAF 5771 Gent 12102024.pdf?csf=1&amp;web=1&amp;e=9avnHM" xr:uid="{F5FC9A9B-C2BF-4D7A-BA49-828CF424E979}"/>
    <hyperlink ref="U507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438" r:id="rId273" display="../../../../../../:b:/r/teams/CTM-OTGentStad/Shared Documents/General/EAF/CSI(nieuwe sharepoint)2024/EAF 5909 Gentbrugge 05092024.pdf?csf=1&amp;web=1&amp;e=VcfhqJ" xr:uid="{08479A51-23A3-4BD3-88B5-D6401B2D43AF}"/>
    <hyperlink ref="U483" r:id="rId274" display="../../../../../../:b:/r/teams/CTM-OTGentStad/Shared Documents/General/EAF/CSI(nieuwe sharepoint)2024/EAF 5910 Damport Octrooiplein 25.07.2024.pdf?csf=1&amp;web=1&amp;e=DdHFwD" xr:uid="{4909083A-4B6B-4CB8-8DF0-772D4147EF78}"/>
    <hyperlink ref="U698" r:id="rId275" display="../../../../../../:b:/r/teams/CTM-OTGentStad/Shared Documents/General/EAF/CSI(nieuwe sharepoint)2024/EAF 5910 Gent 02032024.pdf?csf=1&amp;web=1&amp;e=Hf67hC" xr:uid="{EEBB9E04-48FE-4172-841E-CE887FC37C64}"/>
    <hyperlink ref="U536" r:id="rId276" display="../../../../../../:b:/r/teams/CTM-OTGentStad/Shared Documents/General/EAF/CSI(nieuwe sharepoint)2024/EAF 5910 GEnt 14062024.pdf?csf=1&amp;web=1&amp;e=CTqTIp" xr:uid="{3650FCD1-99C6-4EF7-B335-AE48A35FE915}"/>
    <hyperlink ref="U405" r:id="rId277" display="../../../../../../:b:/r/teams/CTM-OTGentStad/Shared Documents/General/EAF/CSI(nieuwe sharepoint)2024/EAF 5910 Meulesteedsesteenweg 25092024.pdf?csf=1&amp;web=1&amp;e=7VEYr1" xr:uid="{8133B147-4223-47FD-8971-7A3B52D7AE85}"/>
    <hyperlink ref="U380" r:id="rId278" display="../../../../../../:b:/r/teams/CTM-OTGentStad/Shared Documents/General/EAF/CSI(nieuwe sharepoint)2024/EAF 5911 Gentbruggebrug Gent 15102024.pdf?csf=1&amp;web=1&amp;e=c6tEA9" xr:uid="{C376F98A-ECB4-4E78-85DD-D9B2768855FC}"/>
    <hyperlink ref="U424" r:id="rId279" display="../../../../../../:b:/r/teams/CTM-OTGentStad/Shared Documents/General/EAF/CSI(nieuwe sharepoint)2024/EAF 5913 Gent stelplaats 11092024 Sedighi Hamid.pdf?csf=1&amp;web=1&amp;e=mENvlf" xr:uid="{9CF73DFE-093C-4ED9-AD70-2C951A08E2D9}"/>
    <hyperlink ref="U586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541" r:id="rId281" display="../../../../../../:b:/r/teams/CTM-OTGentStad/Shared Documents/General/EAF/CSI(nieuwe sharepoint)2024/EAF 5913 Wondelgembrug 12062024.pdf?csf=1&amp;web=1&amp;e=Wyng8S" xr:uid="{101DE239-0092-4892-9E2E-A3C2273DB5A9}"/>
    <hyperlink ref="U288" r:id="rId282" display="../../../../../../:b:/r/teams/CTM-OTGentStad/Shared Documents/General/EAF/CSI(nieuwe sharepoint)2024/EAF 5914 Gent 19122024.pdf?csf=1&amp;web=1&amp;e=JvjLeO" xr:uid="{FE3D820A-6C1F-4BD2-8F06-5A3FA626E5F8}"/>
    <hyperlink ref="U279" r:id="rId283" display="../../../../../../:b:/r/teams/CTM-OTGentStad/Shared Documents/General/EAF/CSI(nieuwe sharepoint)2024/EAF 5914 Gent 26122024 Moez El Ouni.pdf?csf=1&amp;web=1&amp;e=3EZnf0" xr:uid="{FF8EE383-FF07-483C-BA5D-708925A62D77}"/>
    <hyperlink ref="U399" r:id="rId284" display="../../../../../../:b:/r/teams/CTM-OTGentStad/Shared Documents/General/EAF/CSI(nieuwe sharepoint)2024/EAF 5914 Melle 02102024.pdf?csf=1&amp;web=1&amp;e=hdlJ2K" xr:uid="{0940389D-3265-4D90-864D-CA05D7A6FFCB}"/>
    <hyperlink ref="U329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360" r:id="rId286" display="../../../../../../:b:/r/teams/CTM-OTGentStad/Shared Documents/General/EAF/CSI(nieuwe sharepoint)2024/EAF 5915 Kunstlaan Gent 28102024.pdf?csf=1&amp;web=1&amp;e=JWz3rt" xr:uid="{2B7BF50C-4818-4FBC-806B-F4CC40C05039}"/>
    <hyperlink ref="U451" r:id="rId287" display="../../../../../../:b:/r/teams/CTM-OTGentStad/Shared Documents/General/EAF/CSI(nieuwe sharepoint)2024/EAF 5915 Molenstraat 30082024.pdf?csf=1&amp;web=1&amp;e=xQJbsC" xr:uid="{AD059D9C-A997-4FB6-9B41-F7003B5BCB18}"/>
    <hyperlink ref="U362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319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4" r:id="rId290" display="../../../../../../:b:/r/teams/CTM-OTGentStad/Shared Documents/General/EAF/CSI(nieuwe sharepoint)2024/EAF 5917 Gent 08102024.pdf?csf=1&amp;web=1&amp;e=n328Pj" xr:uid="{2250E414-68BB-41B9-B24A-E931F0690BF5}"/>
    <hyperlink ref="U585" r:id="rId291" display="../../../../../../:b:/r/teams/CTM-OTGentStad/Shared Documents/General/EAF/CSI(nieuwe sharepoint)2024/EAF 5917 Gent 13052024 Beeckman Nico.pdf?csf=1&amp;web=1&amp;e=nwRTHL" xr:uid="{FE5660A0-21C9-4D89-B3C8-622461BFA2D6}"/>
    <hyperlink ref="U579" r:id="rId292" display="../../../../../../:b:/r/teams/CTM-OTGentStad/Shared Documents/General/EAF/CSI(nieuwe sharepoint)2024/EAF 5917 Gent 21052024 Eva Teetaert.pdf?csf=1&amp;web=1&amp;e=0yT36N" xr:uid="{439ADA6F-C138-4661-8173-1C54B6B36704}"/>
    <hyperlink ref="U534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758" r:id="rId294" display="../../../../../../:b:/r/teams/CTM-OTGentStad/Shared Documents/General/EAF/CSI(nieuwe sharepoint)2024/EAF 5917 Melle 22012024.pdf?csf=1&amp;web=1&amp;e=tFSEiQ" xr:uid="{55983FB4-DCF4-4F84-8D73-76577FEEC01B}"/>
    <hyperlink ref="U458" r:id="rId295" display="../../../../../../:b:/r/teams/CTM-OTGentStad/Shared Documents/General/EAF/CSI(nieuwe sharepoint)2024/EAF 5917 Steendam Gent 21082024.pdf?csf=1&amp;web=1&amp;e=0Ma29K" xr:uid="{9F08C87D-1EAD-467D-B6B1-E27AB5D6FC91}"/>
    <hyperlink ref="U679" r:id="rId296" display="../../../../../../:b:/r/teams/CTM-OTGentStad/Shared Documents/General/EAF/CSI(nieuwe sharepoint)2024/EAF 5917 Wondelgem 13032024.pdf?csf=1&amp;web=1&amp;e=1pWjWI" xr:uid="{6544B0D0-8D7A-44BC-9498-6A910CC5661F}"/>
    <hyperlink ref="U431" r:id="rId297" display="../../../../../../:b:/r/teams/CTM-OTGentStad/Shared Documents/General/EAF/CSI(nieuwe sharepoint)2024/EAF 5917 Wondelgem station 07.09.2024.pdf?csf=1&amp;web=1&amp;e=3grMCG" xr:uid="{EED29C3C-6C37-4E66-B085-D014173BFADE}"/>
    <hyperlink ref="U737" r:id="rId298" display="../../../../../../:b:/r/teams/CTM-OTGentStad/Shared Documents/General/EAF/CSI(nieuwe sharepoint)2024/EAF 5919 Gent 04022024.pdf?csf=1&amp;web=1&amp;e=zjN1rb" xr:uid="{380AAA65-2FC3-4AA6-9B0A-8976E57FB493}"/>
    <hyperlink ref="U727" r:id="rId299" display="../../../../../../:b:/r/teams/CTM-OTGentStad/Shared Documents/General/EAF/CSI(nieuwe sharepoint)2024/EAF 5919 Gent 14022024 tweede ongeval .pdf?csf=1&amp;web=1&amp;e=BPHK9f" xr:uid="{9E546354-829D-4198-9E01-E054793BAAA7}"/>
    <hyperlink ref="U382" r:id="rId300" display="../../../../../../:b:/r/teams/CTM-OTGentStad/Shared Documents/General/EAF/CSI(nieuwe sharepoint)2024/EAF 5919 Gent De Pintenlaan 14102024.pdf?csf=1&amp;web=1&amp;e=iepGKv" xr:uid="{1990CA22-D765-423A-95AE-DEAC88E1F45A}"/>
    <hyperlink ref="U593" r:id="rId301" display="../../../../../../:b:/r/teams/CTM-OTGentStad/Shared Documents/General/EAF/CSI(nieuwe sharepoint)2024/EAF 5920 Damvalleistraat Gent 06052024.pdf?csf=1&amp;web=1&amp;e=dneJfa" xr:uid="{ECBBB372-B7D1-4716-A359-3171751D06BD}"/>
    <hyperlink ref="U390" r:id="rId302" display="../../../../../../:b:/r/teams/CTM-OTGentStad/Shared Documents/General/EAF/CSI(nieuwe sharepoint)2024/EAF 5920 Gent 09102024.pdf?csf=1&amp;web=1&amp;e=zIQxX2" xr:uid="{CB1C74E1-55CB-4421-B533-F9A10F857D79}"/>
    <hyperlink ref="U766" r:id="rId303" display="../../../../../../:b:/r/teams/CTM-OTGentStad/Shared Documents/General/EAF/CSI(nieuwe sharepoint)2024/EAF 5920 Gent 17012024.pdf?csf=1&amp;web=1&amp;e=yXwX7o" xr:uid="{AA316053-562B-4340-8757-915539A7DB1E}"/>
    <hyperlink ref="U433" r:id="rId304" display="../../../../../../:b:/r/teams/CTM-OTGentStad/Shared Documents/General/EAF/CSI(nieuwe sharepoint)2024/EAF 5921 Gent 06092024.pdf?csf=1&amp;web=1&amp;e=ET4Ni6" xr:uid="{CC4D6F3C-CE49-4F27-8C8D-29F90B458AEF}"/>
    <hyperlink ref="U626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595" r:id="rId306" display="../../../../../../:b:/r/teams/CTM-OTGentStad/Shared Documents/General/EAF/CSI(nieuwe sharepoint)2024/EAF 5921 Gent Dampoort 05052024.pdf?csf=1&amp;web=1&amp;e=0Q22TJ" xr:uid="{33C9FB16-D534-4A4D-9272-3D3BF13BF988}"/>
    <hyperlink ref="U602" r:id="rId307" display="../../../../../../:b:/r/teams/CTM-OTGentStad/Shared Documents/General/EAF/CSI(nieuwe sharepoint)2024/EAF 5922 Gent 01052024.pdf?csf=1&amp;web=1&amp;e=NNTyTB" xr:uid="{1E69D9E9-CCB1-4FAA-8223-AF1ACBF055ED}"/>
    <hyperlink ref="U506" r:id="rId308" display="../../../../../../:b:/r/teams/CTM-OTGentStad/Shared Documents/General/EAF/CSI(nieuwe sharepoint)2024/EAF 5922 Gent 07072024.pdf?csf=1&amp;web=1&amp;e=9c2iFu" xr:uid="{765DFA5D-8691-4903-9649-1451146FFC14}"/>
    <hyperlink ref="U473" r:id="rId309" display="../../../../../../:b:/r/teams/CTM-OTGentStad/Shared Documents/General/EAF/CSI(nieuwe sharepoint)2024/EAF 5924 Dampoort Gent 02082024.pdf?csf=1&amp;web=1&amp;e=ogMhjI" xr:uid="{D6C3FB8E-0C36-444C-B34F-EE26360AE687}"/>
    <hyperlink ref="U446" r:id="rId310" display="../../../../../../:b:/r/teams/CTM-OTGentStad/Shared Documents/General/EAF/CSI(nieuwe sharepoint)2024/EAF 5924 Gent 03092024.pdf?csf=1&amp;web=1&amp;e=0iaMwL" xr:uid="{55390CE4-A4A6-4AF9-AABC-D1E13BA39F9C}"/>
    <hyperlink ref="U563" r:id="rId311" display="../../../../../../:b:/r/teams/CTM-OTGentStad/Shared Documents/General/EAF/CSI(nieuwe sharepoint)2024/EAF 5925 Gent 30052024 39907.pdf?csf=1&amp;web=1&amp;e=oYfmrK" xr:uid="{56C03297-5189-48BC-9F6C-EEC065D018FD}"/>
    <hyperlink ref="U450" r:id="rId312" display="../../../../../../:b:/r/teams/CTM-OTGentStad/Shared Documents/General/EAF/CSI(nieuwe sharepoint)2024/EAF 5925 Gent 31082024.pdf?csf=1&amp;web=1&amp;e=wcsOQa" xr:uid="{9AD9A43D-95A1-41EC-967A-10C4083175C1}"/>
    <hyperlink ref="U325" r:id="rId313" display="../../../../../../:b:/r/teams/CTM-OTGentStad/Shared Documents/General/EAF/CSI(nieuwe sharepoint)2024/EAF 5926 Gent Poel 22112024 De Bruyne Sonia.pdf?csf=1&amp;web=1&amp;e=y93dio" xr:uid="{A11B612B-E0AD-4E7D-95B5-753A496DC00D}"/>
    <hyperlink ref="U762" r:id="rId314" display="../../../../../../:b:/r/teams/CTM-OTGentStad/Shared Documents/General/EAF/CSI(nieuwe sharepoint)2024/EAF 5926 Gent Tolhuislaan 19012024.pdf?csf=1&amp;web=1&amp;e=iCmD1r" xr:uid="{44BA67B5-D7E5-47EC-A655-81A8C36C803C}"/>
    <hyperlink ref="U755" r:id="rId315" display="../../../../../../:b:/r/teams/CTM-OTGentStad/Shared Documents/General/EAF/CSI(nieuwe sharepoint)2024/EAF 5926 Gent Zuid 24012024.pdf?csf=1&amp;web=1&amp;e=3qd6T7" xr:uid="{50F303C2-A58C-41AD-86A7-06A092CD30D5}"/>
    <hyperlink ref="U499" r:id="rId316" display="../../../../../../:b:/r/teams/CTM-OTGentStad/Shared Documents/General/EAF/CSI(nieuwe sharepoint)2024/EAF 5927 Gent 11072024.pdf?csf=1&amp;web=1&amp;e=8LSfTn" xr:uid="{B76BA60D-E151-42EA-B4F2-0F8F6171032E}"/>
    <hyperlink ref="U635" r:id="rId317" display="../../../../../../:b:/r/teams/CTM-OTGentStad/Shared Documents/General/EAF/CSI(nieuwe sharepoint)2024/EAF 5927 Gent 12042024 Dejonckheere Els.pdf?csf=1&amp;web=1&amp;e=xdCvsi" xr:uid="{0922DD05-6000-4DB2-AC2E-E8FF2F2C1180}"/>
    <hyperlink ref="U716" r:id="rId318" display="../../../../../../:b:/r/teams/CTM-OTGentStad/Shared Documents/General/EAF/CSI(nieuwe sharepoint)2024/EAF 5927 Gent 21022024.pdf?csf=1&amp;web=1&amp;e=6VXNIn" xr:uid="{0BD34A3D-2A0A-491D-82A6-6F602912683B}"/>
    <hyperlink ref="U633" r:id="rId319" display="../../../../../../:b:/r/teams/CTM-OTGentStad/Shared Documents/General/EAF/CSI(nieuwe sharepoint)2024/EAF 5928 Gent 13042024.pdf?csf=1&amp;web=1&amp;e=4Pgjj7" xr:uid="{5E3796BC-F5D3-4FF1-8CED-2F96288725CC}"/>
    <hyperlink ref="U616" r:id="rId320" display="../../../../../../:b:/r/teams/CTM-OTGentStad/Shared Documents/General/EAF/CSI(nieuwe sharepoint)2024/EAF 5928 Gent 23042024.pdf?csf=1&amp;web=1&amp;e=GwaF1A" xr:uid="{92408512-A385-4C17-A25B-9E17ABCB0A06}"/>
    <hyperlink ref="U632" r:id="rId321" display="../../../../../../:b:/r/teams/CTM-OTGentStad/Shared Documents/General/EAF/CSI(nieuwe sharepoint)2024/EAF 5928 Tolhuislaan Gent 14042024.pdf?csf=1&amp;web=1&amp;e=9YTsKJ" xr:uid="{00ACAF27-11EB-4660-81DF-F3C9DC9C7F7F}"/>
    <hyperlink ref="U738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463" r:id="rId323" display="../../../../../../:b:/r/teams/CTM-OTGentStad/Shared Documents/General/EAF/CSI(nieuwe sharepoint)2024/EAF 5929 Muidebrug Gent 14.08.2024.pdf?csf=1&amp;web=1&amp;e=nFlISJ" xr:uid="{282136ED-7774-47F7-AACB-2644C0F23AFE}"/>
    <hyperlink ref="U471" r:id="rId324" display="../../../../../../:b:/r/teams/CTM-OTGentStad/Shared Documents/General/EAF/CSI(nieuwe sharepoint)2024/EAF 5929 Muidepoort Gent 03082024.pdf?csf=1&amp;web=1&amp;e=j8Sd4y" xr:uid="{21F1C4D7-829B-47F8-B5B0-B41BBD06C0BF}"/>
    <hyperlink ref="U475" r:id="rId325" display="../../../../../../:b:/r/teams/CTM-OTGentStad/Shared Documents/General/EAF/CSI(nieuwe sharepoint)2024/EAF 5930 Gent 30072024.pdf?csf=1&amp;web=1&amp;e=Qr6wuu" xr:uid="{29269ECB-F016-4131-B0C1-8029727B91BE}"/>
    <hyperlink ref="U339" r:id="rId326" display="../../../../../../:b:/r/teams/CTM-OTGentStad/Shared Documents/General/EAF/CSI(nieuwe sharepoint)2024/EAF 5931 Gent 13112024.pdf?csf=1&amp;web=1&amp;e=zRTGuL" xr:uid="{06653386-9903-4D3B-AE80-CBC00A2FADBA}"/>
    <hyperlink ref="U629" r:id="rId327" display="../../../../../../:b:/r/teams/CTM-OTGentStad/Shared Documents/General/EAF/CSI(nieuwe sharepoint)2024/EAF 5931 Gent 17042024.pdf?csf=1&amp;web=1&amp;e=ag8FSy" xr:uid="{6FB3FA81-75E1-4AD2-8324-21B7C5A83AEB}"/>
    <hyperlink ref="U452" r:id="rId328" display="../../../../../../:b:/r/teams/CTM-OTGentStad/Shared Documents/General/EAF/CSI(nieuwe sharepoint)2024/EAF 5931 Gent 29082024.pdf?csf=1&amp;web=1&amp;e=8QmiSg" xr:uid="{64B4B0E0-C95B-40F7-83CE-CDFEE271B186}"/>
    <hyperlink ref="U553" r:id="rId329" display="../../../../../../:b:/r/teams/CTM-OTGentStad/Shared Documents/General/EAF/CSI(nieuwe sharepoint)2024/EAF 5931 Zwijnaardsesteenweg Gent 06.07.2024.pdf?csf=1&amp;web=1&amp;e=ol0oua" xr:uid="{3625ECD0-05C3-46D8-B29F-845151CCAAAF}"/>
    <hyperlink ref="U378" r:id="rId330" display="../../../../../../:b:/r/teams/CTM-OTGentStad/Shared Documents/General/EAF/CSI(nieuwe sharepoint)2024/EAF 5932 Gent 18102024.pdf?csf=1&amp;web=1&amp;e=NS6bxW" xr:uid="{CF3D86AB-A65F-4981-BDA6-E5F6A1DD7391}"/>
    <hyperlink ref="U401" r:id="rId331" display="../../../../../../:b:/r/teams/CTM-OTGentStad/Shared Documents/General/EAF/CSI(nieuwe sharepoint)2024/EAF 5933 Gent 28092024.pdf?csf=1&amp;web=1&amp;e=0sjfhv" xr:uid="{5357BB62-3038-4E43-9E56-4FDAE63AE808}"/>
    <hyperlink ref="U526" r:id="rId332" display="../../../../../../:b:/r/teams/CTM-OTGentStad/Shared Documents/General/EAF/CSI(nieuwe sharepoint)2024/EAF 5933 Gentbrugge 22062024.pdf?csf=1&amp;web=1&amp;e=V5kETm" xr:uid="{B656E3CF-DEC0-41BF-84DC-E808F0B83EB2}"/>
    <hyperlink ref="U422" r:id="rId333" display="../../../../../../:b:/r/teams/CTM-OTGentStad/Shared Documents/General/EAF/CSI(nieuwe sharepoint)2024/EAF 5933 Gontrodestraat Melle 14092024.pdf?csf=1&amp;web=1&amp;e=BalgZb" xr:uid="{54298FDD-64A7-46E4-8DC7-5556002FA0BF}"/>
    <hyperlink ref="U489" r:id="rId334" display="../../../../../../:b:/r/teams/CTM-OTGentStad/Shared Documents/General/EAF/CSI(nieuwe sharepoint)2024/EAF 5933 Stelplaats Gentbrugge 20072024.pdf?csf=1&amp;web=1&amp;e=FamZBX" xr:uid="{5460B05F-7100-471C-9B6F-5AE4E5BCC0AC}"/>
    <hyperlink ref="U594" r:id="rId335" display="../../../../../../:b:/r/teams/CTM-OTGentStad/Shared Documents/General/EAF/CSI(nieuwe sharepoint)2024/EAF 5936 Dendermondsesteenweg 06052024.pdf?csf=1&amp;web=1&amp;e=YzKV0d" xr:uid="{1534D9D6-D0ED-4491-A6D0-9566B00139E8}"/>
    <hyperlink ref="U528" r:id="rId336" display="../../../../../../:b:/r/teams/CTM-OTGentStad/Shared Documents/General/EAF/CSI(nieuwe sharepoint)2024/EAF 5936 Gent 14062024.pdf?csf=1&amp;web=1&amp;e=QqcAsu" xr:uid="{90497A2E-4DCF-4F9E-BD8E-CFC8A3A09B05}"/>
    <hyperlink ref="U729" r:id="rId337" display="../../../../../../:b:/r/teams/CTM-OTGentStad/Shared Documents/General/EAF/CSI(nieuwe sharepoint)2024/EAF 5936 Gentburgge stelplaats 03022024.pdf?csf=1&amp;web=1&amp;e=Y7MjUI" xr:uid="{61793F77-1B06-4576-BCC9-8BB81898185C}"/>
    <hyperlink ref="U406" r:id="rId338" display="../../../../../../:b:/r/teams/CTM-OTGentStad/Shared Documents/General/EAF/CSI(nieuwe sharepoint)2024/EAF 5936 Melle 25092024.pdf?csf=1&amp;web=1&amp;e=ULi3T9" xr:uid="{F4B9E33F-6872-4684-A1E0-5C78217D8443}"/>
    <hyperlink ref="U757" r:id="rId339" display="../../../../../../:b:/r/teams/CTM-OTGentStad/Shared Documents/General/EAF/CSI(nieuwe sharepoint)2024/EAF 5937 Gent 23012024.pdf?csf=1&amp;web=1&amp;e=X16AxW" xr:uid="{7A4B0627-2498-406F-9332-575FC96F6463}"/>
    <hyperlink ref="U771" r:id="rId340" display="../../../../../../:b:/r/teams/CTM-OTGentStad/Shared Documents/General/EAF/CSI(nieuwe sharepoint)2024/EAF 5937 Gentburgge 12012024.pdf?csf=1&amp;web=1&amp;e=xKJ9hg" xr:uid="{5EE13D50-8CFB-4908-BBBF-D509DCE45810}"/>
    <hyperlink ref="U581" r:id="rId341" display="../../../../../../:b:/r/teams/CTM-OTGentStad/Shared Documents/General/EAF/CSI(nieuwe sharepoint)2024/EAF 5938 Muidepoort Gent 16052024.pdf?csf=1&amp;web=1&amp;e=b51H46" xr:uid="{D7735C0E-A6C5-482D-B8F9-A16192324B2F}"/>
    <hyperlink ref="U491" r:id="rId342" display="../../../../../../:b:/r/teams/CTM-OTGentStad/Shared Documents/General/EAF/CSI(nieuwe sharepoint)2024/EAF 6302 Gent Zuid 18072024.pdf?csf=1&amp;web=1&amp;e=UGRMUB" xr:uid="{BA867025-E333-493C-BFAA-3DB1F56F5548}"/>
    <hyperlink ref="U340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659" r:id="rId344" display="../../../../../../:b:/r/teams/CTM-OTGentStad/Shared Documents/General/EAF/CSI(nieuwe sharepoint)2024/EAF 6303 Gent 23032024.pdf?csf=1&amp;web=1&amp;e=NqglJb" xr:uid="{0639A3A5-82B9-4CE2-9A60-DC9944D19B85}"/>
    <hyperlink ref="U601" r:id="rId345" display="../../../../../../:b:/r/teams/CTM-OTGentStad/Shared Documents/General/EAF/CSI(nieuwe sharepoint)2024/EAF 6305 Gent 02052024 Demirarik Mustafa.pdf?csf=1&amp;web=1&amp;e=bxWzqb" xr:uid="{2B49E4D2-2154-4FBB-BB4D-A8BD4ED3A1E7}"/>
    <hyperlink ref="U496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467" r:id="rId347" display="../../../../../../:b:/r/teams/CTM-OTGentStad/Shared Documents/General/EAF/CSI(nieuwe sharepoint)2024/EAF 6309 Brusselsesteenweg 08082024.pdf?csf=1&amp;web=1&amp;e=MbY7iJ" xr:uid="{30865120-756D-4B8E-B1E3-58EF89660A22}"/>
    <hyperlink ref="U426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80" r:id="rId349" display="../../../../../../:b:/r/teams/CTM-OTGentStad/Shared Documents/General/EAF/CSI(nieuwe sharepoint)2024/EAF 6309 Gentbrugge 08012024.pdf?csf=1&amp;web=1&amp;e=uf1oeB" xr:uid="{525E4D21-DCA3-44E9-90F6-DC74AF5597A6}"/>
    <hyperlink ref="U374" r:id="rId350" display="../../../../../../:b:/r/teams/CTM-OTGentStad/Shared Documents/General/EAF/CSI(nieuwe sharepoint)2024/EAF 6309 Gentburgge 21102024.pdf?csf=1&amp;web=1&amp;e=HjOmRs" xr:uid="{733D9FB4-D4FE-486B-BEE6-5869E05D0C01}"/>
    <hyperlink ref="U519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326" r:id="rId352" display="../../../../../../:b:/r/teams/CTM-OTGentStad/Shared Documents/General/EAF/CSI(nieuwe sharepoint)2024/EAF 6310 Gent 22112024.pdf?csf=1&amp;web=1&amp;e=ycEeVa" xr:uid="{A76C89B6-F2FB-4788-B5F2-9F58711B2B2C}"/>
    <hyperlink ref="U454" r:id="rId353" display="../../../../../../:b:/r/teams/CTM-OTGentStad/Shared Documents/General/EAF/CSI(nieuwe sharepoint)2024/EAF 6312 Zwijnaardsesteenweg 26082024.pdf?csf=1&amp;web=1&amp;e=88t8ZY" xr:uid="{B7A50DF1-A7B5-4ECB-B9DB-D93CE410654F}"/>
    <hyperlink ref="U383" r:id="rId354" display="../../../../../../:b:/r/teams/CTM-OTGentStad/Shared Documents/General/EAF/CSI(nieuwe sharepoint)2024/EAF 6313 Albertlaan 14102024 Peter De Craene.pdf?csf=1&amp;web=1&amp;e=3ApSX0" xr:uid="{3DCD0A75-7D1F-463B-AB29-16E66DC3EA24}"/>
    <hyperlink ref="U282" r:id="rId355" display="../../../../../../:b:/r/teams/CTM-OTGentStad/Shared Documents/General/EAF/CSI(nieuwe sharepoint)2024/EAF 6314 Gent 21122024.pdf?csf=1&amp;web=1&amp;e=LZkx29" xr:uid="{87B08E6E-EED1-4A85-8D98-1F9AB20C58BC}"/>
    <hyperlink ref="U600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330" r:id="rId357" display="../../../../../../:b:/r/teams/CTM-OTGentStad/Shared Documents/General/EAF/CSI(nieuwe sharepoint)2024/EAF 6314 Gravensteen 19112024 Tom Vandaele_1.pdf?csf=1&amp;web=1&amp;e=RsaAUC" xr:uid="{4249E846-2CAB-40A1-98D1-C8AE0938E3B6}"/>
    <hyperlink ref="U680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331" r:id="rId359" display="../../../../../../:b:/r/teams/CTM-OTGentStad/Shared Documents/General/EAF/CSI(nieuwe sharepoint)2024/EAF 6314 Poperingestraat 19112024 Farhad.pdf?csf=1&amp;web=1&amp;e=rJdpKF" xr:uid="{63B4F5BC-68EE-4E81-A227-839704D6EA8E}"/>
    <hyperlink ref="U384" r:id="rId360" display="../../../../../../:b:/r/teams/CTM-OTGentStad/Shared Documents/General/EAF/CSI(nieuwe sharepoint)2024/EAF 6316 Gent 14102024.pdf?csf=1&amp;web=1&amp;e=fSTYhN" xr:uid="{FC7EC304-609B-44C8-9C81-332B140E78E5}"/>
    <hyperlink ref="U652" r:id="rId361" display="../../../../../../:b:/r/teams/CTM-OTGentStad/Shared Documents/General/EAF/CSI(nieuwe sharepoint)2024/EAF 6317 Wondelgem 29032024.pdf?csf=1&amp;web=1&amp;e=jVZc4e" xr:uid="{B443C951-8278-4C5F-A905-43C39B277335}"/>
    <hyperlink ref="U346" r:id="rId362" display="../../../../../../:b:/r/teams/CTM-OTGentStad/Shared Documents/General/EAF/CSI(nieuwe sharepoint)2024/EAF 6318 Gentbrugge 08112024.pdf?csf=1&amp;web=1&amp;e=mWDhW2" xr:uid="{F06534EA-26D0-4AFF-A844-C4E9F31500E7}"/>
    <hyperlink ref="U333" r:id="rId363" display="../../../../../../:b:/r/teams/CTM-OTGentStad/Shared Documents/General/EAF/CSI(nieuwe sharepoint)2024/EAF 6319 Gent 18112024.pdf?csf=1&amp;web=1&amp;e=Hfgwen" xr:uid="{B1108F83-47AC-412F-8BD7-FA1A1BD4F77D}"/>
    <hyperlink ref="U410" r:id="rId364" display="../../../../../../:b:/r/teams/CTM-OTGentStad/Shared Documents/General/EAF/CSI(nieuwe sharepoint)2024/EAF 6319 Gent 23092024.pdf?csf=1&amp;web=1&amp;e=NdgTcc" xr:uid="{1E544F17-152A-480E-9922-7EF0D976D6AE}"/>
    <hyperlink ref="U302" r:id="rId365" display="../../../../../../:b:/r/teams/CTM-OTGentStad/Shared Documents/General/EAF/CSI(nieuwe sharepoint)2024/EAF 6320 Griendeplein 9122024 Kenny Vanderstock.pdf?csf=1&amp;web=1&amp;e=0FD5aK" xr:uid="{16671670-0FCD-44CB-B871-6270497E88CA}"/>
    <hyperlink ref="U567" r:id="rId366" display="../../../../../../:b:/r/teams/CTM-OTGentStad/Shared Documents/General/EAF/CSI(nieuwe sharepoint)2024/EAF 6320 Poperingestraat 28052024 Atilla Ayidil.pdf?csf=1&amp;web=1&amp;e=gAhx9F" xr:uid="{40ABA013-9520-4E66-B9B9-D153ED18C881}"/>
    <hyperlink ref="U283" r:id="rId367" display="../../../../../../:b:/r/teams/CTM-OTGentStad/Shared Documents/General/EAF/CSI(nieuwe sharepoint)2024/EAF 6321 Gentbrugge 21122024.pdf?csf=1&amp;web=1&amp;e=iBNMu8" xr:uid="{9F2A07A0-3CD8-470A-A0B6-85F22C8A1348}"/>
    <hyperlink ref="U783" r:id="rId368" display="../../../../../../:b:/r/teams/CTM-OTGentStad/Shared Documents/General/EAF/CSI(nieuwe sharepoint)2024/EAF 6322 Hovenierstraat Ledeberg 05012024.pdf?csf=1&amp;web=1&amp;e=vFe7av" xr:uid="{BB3E34E9-5269-48D0-8DD7-F3AE231EF10A}"/>
    <hyperlink ref="U466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733" r:id="rId370" display="../../../../../../:b:/r/teams/CTM-OTGentStad/Shared Documents/General/EAF/CSI(nieuwe sharepoint)2024/EAF 6323 Wondelgem 07022024.pdf?csf=1&amp;web=1&amp;e=NW22ZG" xr:uid="{7D857CCE-D0A3-4835-83BE-DFB145D71BAB}"/>
    <hyperlink ref="U338" r:id="rId371" display="../../../../../../:b:/r/teams/CTM-OTGentStad/Shared Documents/General/EAF/CSI(nieuwe sharepoint)2024/EAF 6325 Keizerpoort Gent 14.11.2024.pdf?csf=1&amp;web=1&amp;e=riYYd0" xr:uid="{EC8D17A4-764E-4B90-B78E-CB0B2FBF6150}"/>
    <hyperlink ref="U361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27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772" r:id="rId374" display="../../../../../../:b:/r/teams/CTM-OTGentStad/Shared Documents/General/EAF/CSI(nieuwe sharepoint)2024/EAF 6326 De Pintelaan 12012024.pdf?csf=1&amp;web=1&amp;e=DiLIYF" xr:uid="{30C5537B-DF76-449B-AC74-16D031B3DBC2}"/>
    <hyperlink ref="U638" r:id="rId375" display="../../../../../../:b:/r/teams/CTM-OTGentStad/Shared Documents/General/EAF/CSI(nieuwe sharepoint)2024/EAF 6326 Gent 10042024.pdf?csf=1&amp;web=1&amp;e=hl7b1G" xr:uid="{917BDEDE-E12E-49F8-B7CC-225E0E245CA7}"/>
    <hyperlink ref="U719" r:id="rId376" display="../../../../../../:b:/r/teams/CTM-OTGentStad/Shared Documents/General/EAF/CSI(nieuwe sharepoint)2024/EAF 6326 Sint Pietersaalstraat 19022024.pdf?csf=1&amp;web=1&amp;e=aj7NBd" xr:uid="{998E2606-D56C-4CAF-B6B5-846A49B40D99}"/>
    <hyperlink ref="U500" r:id="rId377" display="../../../../../../:b:/r/teams/CTM-OTGentStad/Shared Documents/General/EAF/CSI(nieuwe sharepoint)2024/EAF 6326 UZ 11072024.pdf?csf=1&amp;web=1&amp;e=uQ73fs" xr:uid="{4DFACCFD-6E49-44CB-804E-3A588E664425}"/>
    <hyperlink ref="U434" r:id="rId378" display="../../../../../../:b:/r/teams/CTM-OTGentStad/Shared Documents/General/EAF/CSI(nieuwe sharepoint)2024/EAF 6329 Gent 06092024.pdf?csf=1&amp;web=1&amp;e=hKZZd2" xr:uid="{BEA1D943-D222-4A29-8414-78E95154D228}"/>
    <hyperlink ref="U55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492" r:id="rId380" display="../../../../../../:b:/r/teams/CTM-OTGentStad/Shared Documents/General/EAF/CSI(nieuwe sharepoint)2024/EAF 6331 GEnt 18072024.pdf?csf=1&amp;web=1&amp;e=icZnhB" xr:uid="{DAC7D166-F77E-45D2-BA6E-0EDFAAAE6F2E}"/>
    <hyperlink ref="U502" r:id="rId381" display="../../../../../../:b:/r/teams/CTM-OTGentStad/Shared Documents/General/EAF/CSI(nieuwe sharepoint)2024/EAF 6332 Brusselsestwg 10072024.pdf?csf=1&amp;web=1&amp;e=ikV0cR" xr:uid="{2BFE6322-0352-4E0A-B558-604FDF50EE2C}"/>
    <hyperlink ref="U587" r:id="rId382" display="../../../../../../:b:/r/teams/CTM-OTGentStad/Shared Documents/General/EAF/CSI(nieuwe sharepoint)2024/EAF 6332 Gent 12052024 De Craene Peter.pdf?csf=1&amp;web=1&amp;e=AlEJLc" xr:uid="{C6F93BF1-CEF8-4B71-BCD1-52741A12F9DA}"/>
    <hyperlink ref="U484" r:id="rId383" display="../../../../../../:b:/r/teams/CTM-OTGentStad/Shared Documents/General/EAF/CSI(nieuwe sharepoint)2024/EAF 6332 Gent 25072024.pdf?csf=1&amp;web=1&amp;e=AWDkxa" xr:uid="{857E009D-B9B3-40E4-B457-79F020177855}"/>
    <hyperlink ref="U653" r:id="rId384" display="../../../../../../:b:/r/teams/CTM-OTGentStad/Shared Documents/General/EAF/CSI(nieuwe sharepoint)2024/EAF 6332 Gent 29032024.pdf?csf=1&amp;web=1&amp;e=jLyfAV" xr:uid="{DAD38B99-063D-4E1F-BE77-354F71404BA1}"/>
    <hyperlink ref="U348" r:id="rId385" display="../../../../../../:b:/r/teams/CTM-OTGentStad/Shared Documents/General/EAF/CSI(nieuwe sharepoint)2024/EAF 6333 Gent 07112024.pdf?csf=1&amp;web=1&amp;e=5e4YGN" xr:uid="{7726DD93-2929-4233-895A-E43AA655FC0F}"/>
    <hyperlink ref="U464" r:id="rId386" display="../../../../../../:b:/r/teams/CTM-OTGentStad/Shared Documents/General/EAF/CSI(nieuwe sharepoint)2024/EAF 6333 Voormuid Gent 14082024.pdf?csf=1&amp;web=1&amp;e=RjPiIM" xr:uid="{B4FCE873-D337-4C22-B15A-FAECF4C8A635}"/>
    <hyperlink ref="U427" r:id="rId387" display="../../../../../../:b:/r/teams/CTM-OTGentStad/Shared Documents/General/EAF/CSI(nieuwe sharepoint)2024/EAF 6334 Gent 10092024.pdf?csf=1&amp;web=1&amp;e=ewvYgy" xr:uid="{4C5E3B26-5A2F-4889-8562-6C81711755FB}"/>
    <hyperlink ref="U565" r:id="rId388" display="../../../../../../:b:/r/teams/CTM-OTGentStad/Shared Documents/General/EAF/CSI(nieuwe sharepoint)2024/EAF 6335 Brusselsesteenweg 368 29052024.pdf?csf=1&amp;web=1&amp;e=khBiN8" xr:uid="{A2E10FE1-D461-40EF-AE84-44D9BA2F42E9}"/>
    <hyperlink ref="U375" r:id="rId389" display="../../../../../../:b:/r/teams/CTM-OTGentStad/Shared Documents/General/EAF/CSI(nieuwe sharepoint)2024/EAF 6335 Gent 21102024.pdf?csf=1&amp;web=1&amp;e=qaSvs7" xr:uid="{F4C7B592-0FCD-4185-A27F-BFD8452591D7}"/>
    <hyperlink ref="U456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316" r:id="rId391" display="../../../../../../:b:/r/teams/CTM-OTGentStad/Shared Documents/General/EAF/CSI(nieuwe sharepoint)2024/EAF 6337 Gent 30102024.pdf?csf=1&amp;web=1&amp;e=0H5Fe7" xr:uid="{395909A6-E752-4B32-833E-1A3EDC0D95CB}"/>
    <hyperlink ref="U312" r:id="rId392" display="../../../../../../:b:/r/teams/CTM-OTGentStad/Shared Documents/General/EAF/CSI(nieuwe sharepoint)2024/EAF 6339 Gent 02122024.pdf?csf=1&amp;web=1&amp;e=TkaVl7" xr:uid="{C6BCCA65-1B57-401C-BD0B-A7170E28E15F}"/>
    <hyperlink ref="U389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403" r:id="rId394" display="../../../../../../:b:/r/teams/CTM-OTGentStad/Shared Documents/General/EAF/CSI(nieuwe sharepoint)2024/EAF 6339 Ledebergstraat 27092024.pdf?csf=1&amp;web=1&amp;e=kydSaL" xr:uid="{F510BA36-EFD1-4D4C-B4BB-90EE088EB689}"/>
    <hyperlink ref="U609" r:id="rId395" display="../../../../../../:b:/r/teams/CTM-OTGentStad/Shared Documents/General/EAF/CSI(nieuwe sharepoint)2024/EAF 6340 29042024.pdf?csf=1&amp;web=1&amp;e=6rHAiu" xr:uid="{70E63A47-4FE8-4B21-9979-575A7C65C00F}"/>
    <hyperlink ref="U759" r:id="rId396" display="../../../../../../:b:/r/teams/CTM-OTGentStad/Shared Documents/General/EAF/CSI(nieuwe sharepoint)2024/EAF 6340 Gent 23012024.pdf?csf=1&amp;web=1&amp;e=Sfpg5s" xr:uid="{793C28E3-44A0-4688-8E48-D81820C81F32}"/>
    <hyperlink ref="U530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493" r:id="rId398" display="../../../../../../:b:/r/teams/CTM-OTGentStad/Shared Documents/General/EAF/CSI(nieuwe sharepoint)2024/EAF 6351 Ledeberg 18072024.pdf?csf=1&amp;web=1&amp;e=dqcane" xr:uid="{4BE29D71-7128-4FDF-B961-735ECB16382D}"/>
    <hyperlink ref="U511" r:id="rId399" display="../../../../../../:b:/r/teams/CTM-OTGentStad/Shared Documents/General/EAF/CSI(nieuwe sharepoint)2024/EAF 6352 Gent 05072024.pdf?csf=1&amp;web=1&amp;e=IJPdnl" xr:uid="{964BF070-EA30-467C-909A-EE78DF5F5AE9}"/>
    <hyperlink ref="U305" r:id="rId400" display="../../../../../../:b:/r/teams/CTM-OTGentStad/Shared Documents/General/EAF/CSI(nieuwe sharepoint)2024/EAF 6352 Expo Gent 06122024.pdf?csf=1&amp;web=1&amp;e=0vLPpf" xr:uid="{D5537093-4C8E-460F-90E4-87F103CE6ECA}"/>
    <hyperlink ref="U623" r:id="rId401" display="../../../../../../:b:/r/teams/CTM-OTGentStad/Shared Documents/General/EAF/CSI(nieuwe sharepoint)2024/EAF 6352 Jozef Vervaenestraat Gent 19042024.pdf?csf=1&amp;web=1&amp;e=yjnj8a" xr:uid="{9A2907EE-EFFA-44EC-80BA-DA299DCB106D}"/>
    <hyperlink ref="U490" r:id="rId402" display="../../../../../../:b:/r/teams/CTM-OTGentStad/Shared Documents/General/EAF/CSI(nieuwe sharepoint)2024/EAF 6352 Ledebergplein 19072024.pdf?csf=1&amp;web=1&amp;e=bkrs0Z" xr:uid="{ECA85887-3998-42C1-B84E-1F8CA9FC5A86}"/>
    <hyperlink ref="U343" r:id="rId403" display="../../../../../../:b:/r/teams/CTM-OTGentStad/Shared Documents/General/EAF/CSI(nieuwe sharepoint)2024/EAF 6352 Papegaaistraat 11112024 Tom Haerens.pdf?csf=1&amp;web=1&amp;e=eNdPga" xr:uid="{80E6BA8C-0F31-4091-832B-98A88738360F}"/>
    <hyperlink ref="U568" r:id="rId404" display="../../../../../../:b:/r/teams/CTM-OTGentStad/Shared Documents/General/EAF/CSI(nieuwe sharepoint)2024/EAF 6353 GEnt 28052024.pdf?csf=1&amp;web=1&amp;e=WGHqLp" xr:uid="{DB5A8078-51B2-4D7E-A0BE-B0788FB79736}"/>
    <hyperlink ref="U532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569" r:id="rId406" display="../../../../../../:b:/r/teams/CTM-OTGentStad/Shared Documents/General/EAF/CSI(nieuwe sharepoint)2024/EAF 6355 Gent 27052024.pdf?csf=1&amp;web=1&amp;e=1PDaCB" xr:uid="{86E0D265-D6E0-49B3-A838-FD978831EB27}"/>
    <hyperlink ref="U689" r:id="rId407" display="../../../../../../:b:/r/teams/CTM-OTGentStad/Shared Documents/General/EAF/CSI(nieuwe sharepoint)2024/EAF 6355 Hovenierstraat 06-03-2024 Vandaele Tom.pdf?csf=1&amp;web=1&amp;e=m3Qhsn" xr:uid="{DB3ADE9C-69DE-4468-97EC-0D1C5E3BC228}"/>
    <hyperlink ref="U363" r:id="rId408" display="../../../../../../:b:/r/teams/CTM-OTGentStad/Shared Documents/General/EAF/CSI(nieuwe sharepoint)2024/EAF 6355 Ledeberg 26102024.pdf?csf=1&amp;web=1&amp;e=2AjqFD" xr:uid="{648569DD-27DD-4A2C-8AB2-A8ACCE0F024E}"/>
    <hyperlink ref="U327" r:id="rId409" display="../../../../../../:b:/r/teams/CTM-OTGentStad/Shared Documents/General/EAF/CSI(nieuwe sharepoint)2024/EAF 6355 Melle Leeuw 21112024 Illya Wulleput.pdf?csf=1&amp;web=1&amp;e=laBaH2" xr:uid="{5A738A92-C79F-4AA7-85FA-D51066A602CE}"/>
    <hyperlink ref="U347" r:id="rId410" display="../../../../../../:b:/r/teams/CTM-OTGentStad/Shared Documents/General/EAF/CSI(nieuwe sharepoint)2024/EAF 6356 Gent 08112024.pdf?csf=1&amp;web=1&amp;e=jkVkea" xr:uid="{B29D513A-1F56-492B-8793-7F02C753B210}"/>
    <hyperlink ref="U299" r:id="rId411" display="../../../../../../:b:/r/teams/CTM-OTGentStad/Shared Documents/General/EAF/CSI(nieuwe sharepoint)2024/EAF 6356 Gent 12122024.pdf?csf=1&amp;web=1&amp;e=J29EOj" xr:uid="{C9D844F2-BBA0-4348-B6B3-C714BC0DCE18}"/>
    <hyperlink ref="U715" r:id="rId412" display="../../../../../../:b:/r/teams/CTM-OTGentStad/Shared Documents/General/EAF/CSI(nieuwe sharepoint)2024/EAF 6356 Gent 22022024.pdf?csf=1&amp;web=1&amp;e=xcEsno" xr:uid="{73BC41EA-814F-4314-88D3-64636FB5A614}"/>
    <hyperlink ref="U739" r:id="rId413" display="../../../../../../:b:/r/teams/CTM-OTGentStad/Shared Documents/General/EAF/CSI(nieuwe sharepoint)2024/EAF 6357 Gent 04022024.pdf?csf=1&amp;web=1&amp;e=dVRwnl" xr:uid="{289A9B42-AE87-44F9-9E69-01BA23C01A15}"/>
    <hyperlink ref="U317" r:id="rId414" display="../../../../../../:b:/r/teams/CTM-OTGentStad/Shared Documents/General/EAF/CSI(nieuwe sharepoint)2024/EAF 6357 Gent 30112024.pdf?csf=1&amp;web=1&amp;e=SbnKoU" xr:uid="{D43EA783-EADF-4029-9063-50551BB9FA3B}"/>
    <hyperlink ref="U408" r:id="rId415" display="../../../../../../:b:/r/teams/CTM-OTGentStad/Shared Documents/General/EAF/CSI(nieuwe sharepoint)2024/EAF 6358 Gent 24092024.pdf?csf=1&amp;web=1&amp;e=duNjmM" xr:uid="{72AAD7C4-D07D-460D-A39A-C6B3AD2CAA4A}"/>
    <hyperlink ref="U478" r:id="rId416" display="../../../../../../:b:/r/teams/CTM-OTGentStad/Shared Documents/General/EAF/CSI(nieuwe sharepoint)2024/EAF 6359 Gent 29072024.pdf?csf=1&amp;web=1&amp;e=DqAMsF" xr:uid="{9425BE95-CF56-41B0-84E1-789EF748600C}"/>
    <hyperlink ref="U604" r:id="rId417" display="../../../../../../:b:/r/teams/CTM-OTGentStad/Shared Documents/General/EAF/CSI(nieuwe sharepoint)2024/EAF 6359 Gent 30042024.pdf?csf=1&amp;web=1&amp;e=12OFdg" xr:uid="{0530410E-A176-4D29-AA2B-FE87D8291D7A}"/>
    <hyperlink ref="U371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303" r:id="rId419" display="../../../../../../:b:/r/teams/CTM-OTGentStad/Shared Documents/General/EAF/CSI(nieuwe sharepoint)2024/EAF 6361 Gent 09122024.pdf?csf=1&amp;web=1&amp;e=pyBqjh" xr:uid="{25DF6A81-5D18-4CF7-8F3A-D9281FB56EFF}"/>
    <hyperlink ref="U284" r:id="rId420" display="../../../../../../:b:/r/teams/CTM-OTGentStad/Shared Documents/General/EAF/CSI(nieuwe sharepoint)2024/EAF 6362 Gent 21122024.pdf?csf=1&amp;web=1&amp;e=AwaCWK" xr:uid="{F57E973E-D2A5-4668-9304-58D9E1F27F41}"/>
    <hyperlink ref="U286" r:id="rId421" display="../../../../../../:b:/r/teams/CTM-OTGentStad/Shared Documents/General/EAF/CSI(nieuwe sharepoint)2024/EAF 6362 Zwijnaardsestwg 20122024.pdf?csf=1&amp;web=1&amp;e=WnxLdY" xr:uid="{CAFCF17D-6ABA-4AA9-868C-CC62A825CC4F}"/>
    <hyperlink ref="U448" r:id="rId422" display="../../../../../../:b:/r/teams/CTM-OTGentStad/Shared Documents/General/EAF/CSI(nieuwe sharepoint)2024/EAF 6363 Gent 01092024.pdf?csf=1&amp;web=1&amp;e=AfcvZh" xr:uid="{C4ADE72C-7CB8-4FA3-A64D-50E0897B1EE4}"/>
    <hyperlink ref="U373" r:id="rId423" display="../../../../../../:b:/r/teams/CTM-OTGentStad/Shared Documents/General/EAF/CSI(nieuwe sharepoint)2024/EAF 6363 Gent 22102024.pdf?csf=1&amp;web=1&amp;e=V8ZrbJ" xr:uid="{E092AEE2-4935-44B8-A3D9-F17B3BCD8B36}"/>
    <hyperlink ref="U558" r:id="rId424" display="../../../../../../:b:/r/teams/CTM-OTGentStad/Shared Documents/General/EAF/CSI(nieuwe sharepoint)2024/EAF 6365 Gent 04062024.pdf?csf=1&amp;web=1&amp;e=79tgOp" xr:uid="{E7D05D18-7F19-49CE-B50A-BE29F0765F46}"/>
    <hyperlink ref="U287" r:id="rId425" display="../../../../../../:b:/r/teams/CTM-OTGentStad/Shared Documents/General/EAF/CSI(nieuwe sharepoint)2024/EAF 6366 Gent 20122024.pdf?csf=1&amp;web=1&amp;e=UOkLqZ" xr:uid="{3E28AA93-BF6C-468E-8819-9F28F0DB812B}"/>
    <hyperlink ref="U611" r:id="rId426" display="../../../../../../:b:/r/teams/CTM-OTGentStad/Shared Documents/General/EAF/CSI(nieuwe sharepoint)2024/EAF 6367 Gent 28042024.pdf?csf=1&amp;web=1&amp;e=Olf5lK" xr:uid="{C6280804-1A70-4124-8349-5104C084F736}"/>
    <hyperlink ref="U669" r:id="rId427" display="../../../../../../:b:/r/teams/CTM-OTGentStad/Shared Documents/General/EAF/CSI(nieuwe sharepoint)2024/EAF 6367 Wondelgem 20032024.pdf?csf=1&amp;web=1&amp;e=MuJkpQ" xr:uid="{39517C9B-157D-4FBE-BFCB-1837F74C7BDF}"/>
    <hyperlink ref="U479" r:id="rId428" display="../../../../../../:b:/r/teams/CTM-OTGentStad/Shared Documents/General/EAF/CSI(nieuwe sharepoint)2024/EAF 6368 Gent Zuid 29072024.pdf?csf=1&amp;web=1&amp;e=Zxr26Z" xr:uid="{D76FCEC5-3950-4647-902F-A2A71F4D3CAD}"/>
    <hyperlink ref="U531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670" r:id="rId430" display="../../../../../../:b:/r/teams/CTM-OTGentStad/Shared Documents/General/EAF/CSI(nieuwe sharepoint)2024/EAF 6369 Frereobanlaan 20032024.pdf?csf=1&amp;web=1&amp;e=KpGF0y" xr:uid="{E880125D-E882-40CE-BFA9-261EC13BB1A2}"/>
    <hyperlink ref="U775" r:id="rId431" display="../../../../../../:b:/r/teams/CTM-OTGentStad/Shared Documents/General/EAF/CSI(nieuwe sharepoint)2024/EAF 6369 Gent 11012024.pdf?csf=1&amp;web=1&amp;e=0jbna4" xr:uid="{BB2FCDD8-7BF9-4A90-B2C3-9179BF304811}"/>
    <hyperlink ref="U459" r:id="rId432" display="../../../../../../:b:/r/teams/CTM-OTGentStad/Shared Documents/General/EAF/CSI(nieuwe sharepoint)2024/EAF 6369 GEnt 20082024.pdf?csf=1&amp;web=1&amp;e=2gt9e0" xr:uid="{C913052B-4AC8-4CB4-9800-7F48C6DA6EE2}"/>
    <hyperlink ref="U503" r:id="rId433" display="../../../../../../:b:/r/teams/CTM-OTGentStad/Shared Documents/General/EAF/CSI(nieuwe sharepoint)2024/EAF 6370 10072024.pdf?csf=1&amp;web=1&amp;e=IXVT46" xr:uid="{DAC5F022-7B26-491E-A5D5-A26A839035A6}"/>
    <hyperlink ref="U411" r:id="rId434" display="../../../../../../:b:/r/teams/CTM-OTGentStad/Shared Documents/General/EAF/CSI(nieuwe sharepoint)2024/EAF 6370 Gent 22092024.pdf?csf=1&amp;web=1&amp;e=hJK5yW" xr:uid="{CB0955F0-925E-47A9-BF3B-8043C4484C14}"/>
    <hyperlink ref="U681" r:id="rId435" display="../../../../../../:b:/r/teams/CTM-OTGentStad/Shared Documents/General/EAF/CSI(nieuwe sharepoint)2024/EAF 6370 Gentbrugge 13032024.pdf?csf=1&amp;web=1&amp;e=gdPnza" xr:uid="{CE4A6DFA-0076-4396-8BFE-E59292112C6C}"/>
    <hyperlink ref="U480" r:id="rId436" display="../../../../../../:b:/r/teams/CTM-OTGentStad/Shared Documents/General/EAF/CSI(nieuwe sharepoint)2024/EAF 6370 Gentbrugge 29072024.pdf?csf=1&amp;web=1&amp;e=HnIR3a" xr:uid="{29EBD292-F939-4B11-8112-B700ED16CB29}"/>
    <hyperlink ref="U707" r:id="rId437" display="../../../../../../:b:/r/teams/CTM-OTGentStad/Shared Documents/General/EAF/CSI(nieuwe sharepoint)2024/EAF 6371 Albertlaan 29022024.pdf?csf=1&amp;web=1&amp;e=GIi3rG" xr:uid="{AC898D38-F55A-41AC-AD57-4859435E7321}"/>
    <hyperlink ref="U418" r:id="rId438" display="../../../../../../:b:/r/teams/CTM-OTGentStad/Shared Documents/General/EAF/CSI(nieuwe sharepoint)2024/EAF 6371 Gent 16092024.pdf?csf=1&amp;web=1&amp;e=ewguSb" xr:uid="{3CBCA0D0-A218-48C2-A501-75B8657B3E28}"/>
    <hyperlink ref="U657" r:id="rId439" display="../../../../../../:b:/r/teams/CTM-OTGentStad/Shared Documents/General/EAF/CSI(nieuwe sharepoint)2024/EAF 6371 Gent 25032024.pdf?csf=1&amp;web=1&amp;e=ciQtpD" xr:uid="{65DFABA2-DD65-4675-94FD-C735D09A5759}"/>
    <hyperlink ref="U277" r:id="rId440" display="../../../../../../:b:/r/teams/CTM-OTGentStad/Shared Documents/General/EAF/CSI(nieuwe sharepoint)2024/EAF 6371 Gent 27122024.pdf?csf=1&amp;web=1&amp;e=AeDj5a" xr:uid="{610FE50D-2750-49CC-A0FF-AC4FEDC88217}"/>
    <hyperlink ref="U596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313" r:id="rId442" display="../../../../../../:b:/r/teams/CTM-OTGentStad/Shared Documents/General/EAF/CSI(nieuwe sharepoint)2024/EAF 6372 Albertbrug Gent 01122024.pdf?csf=1&amp;web=1&amp;e=phpnaA" xr:uid="{ECAEA2FE-18A4-4DFA-8C30-01992E38AB62}"/>
    <hyperlink ref="U605" r:id="rId443" display="../../../../../../:b:/r/teams/CTM-OTGentStad/Shared Documents/General/EAF/CSI(nieuwe sharepoint)2024/EAF 6372 Gent 30042024.pdf?csf=1&amp;web=1&amp;e=nkerhf" xr:uid="{777B68FD-B011-4AF6-89F2-2E2B920DC694}"/>
    <hyperlink ref="U391" r:id="rId444" display="../../../../../../:b:/r/teams/CTM-OTGentStad/Shared Documents/General/EAF/CSI(nieuwe sharepoint)2024/EAF 6372 Koning Albertlaan Gent 09102024.pdf?csf=1&amp;web=1&amp;e=61015Z" xr:uid="{98B7DCD0-B93C-4B77-8B4A-5C8E06EEFB6B}"/>
    <hyperlink ref="U624" r:id="rId445" display="../../../../../../:b:/r/teams/CTM-OTGentStad/Shared Documents/General/EAF/CSI(nieuwe sharepoint)2024/EAF 6373 Gent 19042024.pdf?csf=1&amp;web=1&amp;e=H4ZpLA" xr:uid="{5792624D-132E-45E5-AAA7-E0DF3816FA4E}"/>
    <hyperlink ref="U476" r:id="rId446" display="../../../../../../:b:/r/teams/CTM-OTGentStad/Shared Documents/General/EAF/CSI(nieuwe sharepoint)2024/EAF 6373 Gent 30072024.pdf?csf=1&amp;web=1&amp;e=KGwb1o" xr:uid="{DDEE70D9-BB3E-4C33-9C08-737BE714E2E3}"/>
    <hyperlink ref="U575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599" r:id="rId448" display="../../../../../../:b:/r/teams/CTM-OTGentStad/Shared Documents/General/EAF/CSI(nieuwe sharepoint)2024/EAF 6373 Hundelgelsesteenweg 04052024.pdf?csf=1&amp;web=1&amp;e=lPN2VH" xr:uid="{3F74D7CC-54AE-4F4E-933D-503B9A3D077F}"/>
    <hyperlink ref="U673" r:id="rId449" display="../../../../../../:b:/r/teams/CTM-OTGentStad/Shared Documents/General/EAF/CSI(nieuwe sharepoint)2024/EAF 6374 Gent 19032024 De Wit Bruno 25993.pdf?csf=1&amp;web=1&amp;e=y4BN3M" xr:uid="{14428031-B2E5-4596-91AF-05CE38BB7612}"/>
    <hyperlink ref="U620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662" r:id="rId451" display="../../../../../../:b:/r/teams/CTM-OTGentStad/Shared Documents/General/EAF/CSI(nieuwe sharepoint)2024/EAF 6376 Botermarkt 22032024.pdf?csf=1&amp;web=1&amp;e=6wV3c3" xr:uid="{930BF3F1-7F08-4AE0-91EC-154515589787}"/>
    <hyperlink ref="U66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556" r:id="rId453" display="../../../../../../:b:/r/teams/CTM-OTGentStad/Shared Documents/General/EAF/CSI(nieuwe sharepoint)2024/EAF 6376 Ledeberg 05062024.pdf?csf=1&amp;web=1&amp;e=aDsAGg" xr:uid="{0458FFD0-533C-4F25-B462-0370887D9AC7}"/>
    <hyperlink ref="U654" r:id="rId454" display="../../../../../../:b:/r/teams/CTM-OTGentStad/Shared Documents/General/EAF/CSI(nieuwe sharepoint)2024/EAF 6376 Ledeberg 28032024.pdf?csf=1&amp;web=1&amp;e=7mSJBA" xr:uid="{45CC5FA4-5D46-49CB-873A-9EAA6E7342C9}"/>
    <hyperlink ref="U9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544" r:id="rId456" display="../../../../../../:b:/r/teams/CTM-OTGentStad/Shared Documents/General/EAF/CSI(nieuwe sharepoint)2024/EAF 8089 Zele 11062024.pdf?csf=1&amp;web=1&amp;e=A8knCw" xr:uid="{74ADF89B-FB9A-478A-A708-6F2758F29368}"/>
    <hyperlink ref="U664" r:id="rId457" display="../../../../../../:b:/r/teams/CTM-OTGentStad/Shared Documents/General/EAF/CSI(nieuwe sharepoint)2024/EAF 8101 Gent 22032024.pdf?csf=1&amp;web=1&amp;e=yVZUyo" xr:uid="{AF6D2838-6CEF-44B5-B8CF-E62811F7F14D}"/>
    <hyperlink ref="U293" r:id="rId458" display="../../../../../../:b:/r/teams/CTM-OTGentStad/Shared Documents/General/EAF/CSI(nieuwe sharepoint)2024/EAF 8104 Gent 1612204.pdf?csf=1&amp;web=1&amp;e=zXWqWn" xr:uid="{D5F85815-D275-4669-9A81-1B573C8CA4D1}"/>
    <hyperlink ref="U508" r:id="rId459" display="../../../../../../:b:/r/teams/CTM-OTGentStad/Shared Documents/General/EAF/CSI(nieuwe sharepoint)2024/EAF 50406 Gent 06022024.pdf?csf=1&amp;web=1&amp;e=aeXaW1" xr:uid="{B9E17875-7AD1-4728-9706-650D2B5BB61D}"/>
    <hyperlink ref="U763" r:id="rId460" display="../../../../../../:b:/r/teams/CTM-OTGentStad/Shared Documents/General/EAF/CSI(nieuwe sharepoint)2024/EAF 110965 Gent 18012024.pdf?csf=1&amp;web=1&amp;e=SDKJsz" xr:uid="{574FCB0B-0E13-4228-8E74-DD3EAC7E925D}"/>
    <hyperlink ref="U332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701" r:id="rId462" display="../../../../../../:b:/r/teams/CTM-OTGentStad/Shared Documents/General/EAF/CSI(nieuwe sharepoint)2024/EAF 112214 Gent 01032024.pdf?csf=1&amp;web=1&amp;e=B8Vkyk" xr:uid="{420DF9E7-24A9-42C5-A3CC-025FE477D9EE}"/>
    <hyperlink ref="U702" r:id="rId463" display="../../../../../../:b:/r/teams/CTM-OTGentStad/Shared Documents/General/EAF/CSI(nieuwe sharepoint)2024/EAF 112216 Gent Kouter 01032024.pdf?csf=1&amp;web=1&amp;e=JUmY5q" xr:uid="{896BE651-3B32-4438-9D39-4E75F56E757C}"/>
    <hyperlink ref="U549" r:id="rId464" display="../../../../../../:b:/r/teams/CTM-OTGentStad/Shared Documents/General/EAF/CSI(nieuwe sharepoint)2024/EAF 112223 Gent 10062024.pdf?csf=1&amp;web=1&amp;e=VeifI1" xr:uid="{85471258-6F2B-4F35-96AD-84F4E4EDAA6A}"/>
    <hyperlink ref="U610" r:id="rId465" display="../../../../../../:b:/r/teams/CTM-OTGentStad/Shared Documents/General/EAF/CSI(nieuwe sharepoint)2024/EAF 222478 Blaisantvest 29-4-24 Ilhan Kurudere.pdf?csf=1&amp;web=1&amp;e=hy0Ivq" xr:uid="{61F18952-E2B2-48D1-92A3-9D1E459D39AF}"/>
    <hyperlink ref="U385" r:id="rId466" display="../../../../../../:b:/r/teams/CTM-OTGentStad/Shared Documents/General/EAF/CSI(nieuwe sharepoint)2024/EAF 222478 Gent Sint-Pietersstation 14.10.2024.pdf?csf=1&amp;web=1&amp;e=knuwGv" xr:uid="{2F0D0379-83E5-43DC-9158-765206F8DCBA}"/>
    <hyperlink ref="U53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576" r:id="rId468" display="../../../../../../:b:/r/teams/CTM-OTGentStad/Shared Documents/General/EAF/CSI(nieuwe sharepoint)2024/EAF 222478 Gent Tolhuislaan 22052024.pdf?csf=1&amp;web=1&amp;e=XXdD1J" xr:uid="{F749DB7C-C5BC-4F24-9D59-5A1715B1CA50}"/>
    <hyperlink ref="U392" r:id="rId469" display="../../../../../../:b:/r/teams/CTM-OTGentStad/Shared Documents/General/EAF/CSI(nieuwe sharepoint)2024/EAF 222478 Hovenierstraat Ledeberg 09102024.pdf?csf=1&amp;web=1&amp;e=sBN0vt" xr:uid="{1C6700C2-BAE1-440D-BD5B-10BD5143CC2D}"/>
    <hyperlink ref="U276" r:id="rId470" display="../../../../../../:b:/r/teams/CTM-OTGentStad/Shared Documents/General/EAF/CSI(nieuwe sharepoint)2024/EAF 281224 AB2548.pdf?csf=1&amp;web=1&amp;e=EOcWlR" xr:uid="{C406A5D1-07C4-451C-83C2-17F18254CB79}"/>
    <hyperlink ref="U398" r:id="rId471" display="../../../../../../:b:/r/teams/CTM-OTGentStad/Shared Documents/General/EAF/CSI(nieuwe sharepoint)2024/EAF 03102024 6313 Gent Mathyn Eid.pdf?csf=1&amp;web=1&amp;e=u3V4dq" xr:uid="{981D291F-2739-4555-801F-FCF2B89458A2}"/>
    <hyperlink ref="U310" r:id="rId472" display="../../../../../../:b:/r/teams/CTM-OTGentStad/Shared Documents/General/EAF/CSI(nieuwe sharepoint)2024/EAF 03122024 5324 Gent Dolly De Geyter.pdf?csf=1&amp;web=1&amp;e=hd5Fa8" xr:uid="{BA267C0E-84BC-4F4D-A11D-582410302377}"/>
    <hyperlink ref="U55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97" r:id="rId474" display="../../../../../../:b:/r/teams/CTM-OTGentStad/Shared Documents/General/EAF/CSI(nieuwe sharepoint)2024/EAF 04102024 6305 Gent Ghani Mozamil.pdf?csf=1&amp;web=1&amp;e=tGE5iz" xr:uid="{BFEF057C-B665-4057-B5BF-0621A30EF28E}"/>
    <hyperlink ref="U308" r:id="rId475" display="../../../../../../:b:/r/teams/CTM-OTGentStad/Shared Documents/General/EAF/CSI(nieuwe sharepoint)2024/EAF 04122024 Ugur.pdf?csf=1&amp;web=1&amp;e=qvL55j" xr:uid="{EE9184C3-AB06-4468-860F-DE8502679A2A}"/>
    <hyperlink ref="U646" r:id="rId476" display="../../../../../../:b:/r/teams/CTM-OTGentStad/Shared Documents/General/EAF/CSI(nieuwe sharepoint)2024/EAF 05042024 Gent 6368 Patrick Gevaert.pdf?csf=1&amp;web=1&amp;e=zUri78" xr:uid="{6BCE0DE1-F10B-4648-A4C2-05FABDD12A5F}"/>
    <hyperlink ref="U468" r:id="rId477" display="../../../../../../:b:/r/teams/CTM-OTGentStad/Shared Documents/General/EAF/CSI(nieuwe sharepoint)2024/EAF 05082024 5929 Gent Roien Stanikazi.pdf?csf=1&amp;web=1&amp;e=x9jUUW" xr:uid="{8511C604-572C-4419-98DA-B62188C4CB0A}"/>
    <hyperlink ref="U396" r:id="rId478" display="../../../../../../:b:/r/teams/CTM-OTGentStad/Shared Documents/General/EAF/CSI(nieuwe sharepoint)2024/EAF 05102024 6369 Gent Roland Hublau.pdf?csf=1&amp;web=1&amp;e=2uPju7" xr:uid="{4F3F3701-0F19-4669-A04F-F869340A9086}"/>
    <hyperlink ref="U734" r:id="rId479" display="../../../../../../:b:/r/teams/CTM-OTGentStad/Shared Documents/General/EAF/CSI(nieuwe sharepoint)2024/EAF 06022024 Toby Pelrene.pdf?csf=1&amp;web=1&amp;e=sbgowk" xr:uid="{236DF2AB-8B98-413B-A72A-17D302A08579}"/>
    <hyperlink ref="U306" r:id="rId480" display="../../../../../../:b:/r/teams/CTM-OTGentStad/Shared Documents/General/EAF/CSI(nieuwe sharepoint)2024/EAF 06122024 6305 Gent Kazim Demirkaya.pdf?csf=1&amp;web=1&amp;e=qggd4K" xr:uid="{1F3D32CF-AEDF-446A-8E94-97897A2945FC}"/>
    <hyperlink ref="U395" r:id="rId481" display="../../../../../../:b:/r/teams/CTM-OTGentStad/Shared Documents/General/EAF/CSI(nieuwe sharepoint)2024/EAF 07102024 5041 Gent Charlotte De Boever.pdf?csf=1&amp;web=1&amp;e=158LfQ" xr:uid="{36C06359-7657-4442-A021-2E964AA35234}"/>
    <hyperlink ref="U349" r:id="rId482" display="../../../../../../:b:/r/teams/CTM-OTGentStad/Shared Documents/General/EAF/CSI(nieuwe sharepoint)2024/EAF 7112024 5039 Zwijnaarde Eva Teetaert.pdf?csf=1&amp;web=1&amp;e=RKrwBS" xr:uid="{C48AC797-E50F-4354-A04D-6145474E0CDD}"/>
    <hyperlink ref="U505" r:id="rId483" display="../../../../../../:b:/r/teams/CTM-OTGentStad/Shared Documents/General/EAF/CSI(nieuwe sharepoint)2024/EAF 10122021 2197 Gent Roien Stanikazi.pdf?csf=1&amp;web=1&amp;e=yB3xOy" xr:uid="{8112D1BD-2BC7-4C09-AAD2-A75C9EE97328}"/>
    <hyperlink ref="U637" r:id="rId484" display="../../../../../../:b:/r/teams/CTM-OTGentStad/Shared Documents/General/EAF/CSI(nieuwe sharepoint)2024/EAF 11042024 6357 Gent Kenan Kocabas.pdf?csf=1&amp;web=1&amp;e=Tq4c5d" xr:uid="{2C046AD0-4325-4F35-919A-2777E2A40545}"/>
    <hyperlink ref="U589" r:id="rId485" display="../../../../../../:b:/r/teams/CTM-OTGentStad/Shared Documents/General/EAF/CSI(nieuwe sharepoint)2024/EAF 11052024 6338 Gent Tony Vandenbogaerde.pdf?csf=1&amp;web=1&amp;e=pCqePg" xr:uid="{B533B8E4-88A1-4ADB-A048-96292D9940CE}"/>
    <hyperlink ref="U542" r:id="rId486" display="../../../../../../:b:/r/teams/CTM-OTGentStad/Shared Documents/General/EAF/CSI(nieuwe sharepoint)2024/EAF 12062024 5376 Gent Jay Van Achte.pdf?csf=1&amp;web=1&amp;e=GUlnzr" xr:uid="{52056EBD-EC67-41DC-8C83-BACB1A5D45E2}"/>
    <hyperlink ref="U682" r:id="rId487" display="../../../../../../:b:/r/teams/CTM-OTGentStad/Shared Documents/General/EAF/CSI(nieuwe sharepoint)2024/EAF 13032024 4678 Gent Yasin Doolaege.pdf?csf=1&amp;web=1&amp;e=K5hLfj" xr:uid="{4C95F8C6-4400-4E06-BB67-BB8711DF34E7}"/>
    <hyperlink ref="U294" r:id="rId488" display="../../../../../../:b:/r/teams/CTM-OTGentStad/Shared Documents/General/EAF/CSI(nieuwe sharepoint)2024/EAF 15122024 6310 Gent Andy Vanden Daele.pdf?csf=1&amp;web=1&amp;e=L3K2pE" xr:uid="{BBF39C28-6443-401D-9DC4-52927F90B8EC}"/>
    <hyperlink ref="U630" r:id="rId489" display="../../../../../../:b:/r/teams/CTM-OTGentStad/Shared Documents/General/EAF/CSI(nieuwe sharepoint)2024/EAF 17042024 6311 Gent Philippe Pretel.pdf?csf=1&amp;web=1&amp;e=i96lXt" xr:uid="{34AFA34A-FDE0-4E8F-92C3-976F678ABFF5}"/>
    <hyperlink ref="U720" r:id="rId490" display="../../../../../../:b:/r/teams/CTM-OTGentStad/Shared Documents/General/EAF/CSI(nieuwe sharepoint)2024/EAF 19022024 6320 Gent Mathyn Eid.pdf?csf=1&amp;web=1&amp;e=sk3TED" xr:uid="{053CAE1D-0F2F-4F29-B550-C7DBC63E86B0}"/>
    <hyperlink ref="U619" r:id="rId491" display="../../../../../../:b:/r/teams/CTM-OTGentStad/Shared Documents/General/EAF/CSI(nieuwe sharepoint)2024/EAF 21042024 Gent 5915 Kenan Kocabas.pdf?csf=1&amp;web=1&amp;e=xL3d0i" xr:uid="{DD0F662B-74CA-4057-A404-70F2E36731E5}"/>
    <hyperlink ref="U527" r:id="rId492" display="../../../../../../:b:/r/teams/CTM-OTGentStad/Shared Documents/General/EAF/CSI(nieuwe sharepoint)2024/EAF 21062024 5369 Gent Roien Stanikazi.pdf?csf=1&amp;web=1&amp;e=WMdKJT" xr:uid="{66944DF1-46F9-4631-9E5D-953F0CCA42E4}"/>
    <hyperlink ref="U665" r:id="rId493" display="../../../../../../:b:/r/teams/CTM-OTGentStad/Shared Documents/General/EAF/CSI(nieuwe sharepoint)2024/EAF 22032024 6328 Gent Sabri Toumi.pdf?csf=1&amp;web=1&amp;e=5OfcMP" xr:uid="{2C114CC6-2B85-4C8F-A25A-71BEC31D32CA}"/>
    <hyperlink ref="U617" r:id="rId494" display="../../../../../../:b:/r/teams/CTM-OTGentStad/Shared Documents/General/EAF/CSI(nieuwe sharepoint)2024/EAF 22042024 Gent De Ridder Danny 21124.pdf?csf=1&amp;web=1&amp;e=kgfPA4" xr:uid="{957BCDAB-DD4F-43A2-9000-8CCFBD7019D8}"/>
    <hyperlink ref="U572" r:id="rId495" display="../../../../../../:b:/r/teams/CTM-OTGentStad/Shared Documents/General/EAF/CSI(nieuwe sharepoint)2024/EAF 24052024 2207 Gent Semih Dogan.pdf?csf=1&amp;web=1&amp;e=1u9yi0" xr:uid="{8B266A34-AE51-4345-86CF-51AB121A0557}"/>
    <hyperlink ref="U369" r:id="rId496" display="../../../../../../:b:/r/teams/CTM-OTGentStad/Shared Documents/General/EAF/CSI(nieuwe sharepoint)2024/EAF 24102024 5043 Gent Kenny Sturtewagen.pdf?csf=1&amp;web=1&amp;e=OnoJyT" xr:uid="{51758C7D-5E1F-4145-9F36-21162369CE6C}"/>
    <hyperlink ref="U524" r:id="rId497" display="../../../../../../:b:/r/teams/CTM-OTGentStad/Shared Documents/General/EAF/CSI(nieuwe sharepoint)2024/EAF 25062024 6329 Gent Heidi Limbourg.pdf?csf=1&amp;web=1&amp;e=dvoWLd" xr:uid="{1340D8AF-05CE-41FA-9B2F-90AF0F927549}"/>
    <hyperlink ref="U365" r:id="rId498" display="../../../../../../:b:/r/teams/CTM-OTGentStad/Shared Documents/General/EAF/CSI(nieuwe sharepoint)2024/EAF 25102024 5039 Gent Kenny Sturtewagen.pdf?csf=1&amp;web=1&amp;e=2Q7fgj" xr:uid="{148C6851-2BA3-49C5-8825-B3F5E86ECD23}"/>
    <hyperlink ref="U655" r:id="rId499" display="../../../../../../:b:/r/teams/CTM-OTGentStad/Shared Documents/General/EAF/CSI(nieuwe sharepoint)2024/EAF 28032024 6358 Gent Ghani Mozamil.pdf?csf=1&amp;web=1&amp;e=D9xLWc" xr:uid="{909F217B-1116-47C9-AA4F-26F0FA47D9EF}"/>
    <hyperlink ref="U651" r:id="rId500" display="../../../../../../:b:/r/teams/CTM-OTGentStad/Shared Documents/General/EAF/CSI(nieuwe sharepoint)2024/EAF 31032024 6376 Gent Tom Van Vliet.pdf?csf=1&amp;web=1&amp;e=GknYii" xr:uid="{16FC20DA-172C-4C1C-881A-DA86AB58500B}"/>
    <hyperlink ref="U696" r:id="rId501" display="../../../../../../:b:/r/teams/CTM-OTGentStad/Shared Documents/General/EAF/CSI(nieuwe sharepoint)2024/EAF Bremstraat Wondelgem AB 5922 05.03.2024.pdf?csf=1&amp;web=1&amp;e=fFCoEH" xr:uid="{7261214F-D54E-48DC-A263-FC2D186134B8}"/>
    <hyperlink ref="U690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768" r:id="rId503" display="../../../../../../:b:/r/teams/CTM-OTGentStad/Shared Documents/General/EAF/CSI(nieuwe sharepoint)2024/EAF Dendermondesteenweg 5767 15.01.2024.pdf?csf=1&amp;web=1&amp;e=IdIrgB" xr:uid="{C7125488-8147-467F-B360-DF903598A41E}"/>
    <hyperlink ref="U718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731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781" r:id="rId506" display="../../../../../../:b:/r/teams/CTM-OTGentStad/Shared Documents/General/EAF/CSI(nieuwe sharepoint)2024/EAF Gent 5367 06012024.pdf?csf=1&amp;web=1&amp;e=wquwTh" xr:uid="{DC1B9E94-D008-404E-B7CD-06B1F26DED52}"/>
    <hyperlink ref="U784" r:id="rId507" display="../../../../../../:b:/r/teams/CTM-OTGentStad/Shared Documents/General/EAF/CSI(nieuwe sharepoint)2024/EAF Gent 5935 05012024.pdf?csf=1&amp;web=1&amp;e=e6lTYz" xr:uid="{D3431BA8-4669-46F7-9248-ABF2DBDA760C}"/>
    <hyperlink ref="U435" r:id="rId508" display="../../../../../../:b:/r/teams/CTM-OTGentStad/Shared Documents/General/EAF/CSI(nieuwe sharepoint)2024/EAF Gent 06092024.pdf?csf=1&amp;web=1&amp;e=Mzhrwe" xr:uid="{C7C81001-A0E0-42A9-A30D-DCF3A6C8486F}"/>
    <hyperlink ref="U498" r:id="rId509" display="../../../../../../:b:/r/teams/CTM-OTGentStad/Shared Documents/General/EAF/CSI(nieuwe sharepoint)2024/EAF Gent 12012024.pdf?csf=1&amp;web=1&amp;e=yoeY89" xr:uid="{0894B335-DDD4-42AE-BDA0-21B9A030FCB8}"/>
    <hyperlink ref="U658" r:id="rId510" display="../../../../../../:b:/r/teams/CTM-OTGentStad/Shared Documents/General/EAF/CSI(nieuwe sharepoint)2024/EAF Gent 24032024 Mossa Toubadie.pdf?csf=1&amp;web=1&amp;e=wSavHQ" xr:uid="{97C646B3-D8D9-4F9D-9D3D-FE3E48168429}"/>
    <hyperlink ref="U606" r:id="rId511" display="../../../../../../:b:/r/teams/CTM-OTGentStad/Shared Documents/General/EAF/CSI(nieuwe sharepoint)2024/EAF Gent 30042024.pdf?csf=1&amp;web=1&amp;e=nvI6d5" xr:uid="{BA1B9E59-D26B-4AB9-B6F9-7B01DF65F991}"/>
    <hyperlink ref="U776" r:id="rId512" display="../../../../../../:b:/r/teams/CTM-OTGentStad/Shared Documents/General/EAF/CSI(nieuwe sharepoint)2024/EAF Gent Brugsepoort 5237 11.01.2024.pdf?csf=1&amp;web=1&amp;e=IlLTCE" xr:uid="{739AAB43-396F-4EC4-9366-3F181CA2253A}"/>
    <hyperlink ref="U675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351" r:id="rId514" display="../../../../../../:b:/r/teams/CTM-OTGentStad/Shared Documents/General/EAF/CSI(nieuwe sharepoint)2024/EAF Gent Sint Pieters 06012024.pdf?csf=1&amp;web=1&amp;e=cmcO9u" xr:uid="{177C61AC-E97F-4D5D-AF7B-6F9C6395041A}"/>
    <hyperlink ref="U773" r:id="rId515" display="../../../../../../:b:/r/teams/CTM-OTGentStad/Shared Documents/General/EAF/CSI(nieuwe sharepoint)2024/EAF Gent Sint-Pietersstation 2197 12.01.2024.pdf?csf=1&amp;web=1&amp;e=X6V4xH" xr:uid="{69889DB9-708D-4B53-A403-810B95AF23BE}"/>
    <hyperlink ref="U513" r:id="rId516" display="../../../../../../:b:/r/teams/CTM-OTGentStad/Shared Documents/General/EAF/CSI(nieuwe sharepoint)2024/EAF Gentbrugge parking 2 E-17 AB5237 26.02.204.pdf?csf=1&amp;web=1&amp;e=hdXeXc" xr:uid="{31498395-57AA-431C-BD4F-6D9650EFA9DD}"/>
    <hyperlink ref="U769" r:id="rId517" display="../../../../../../:b:/r/teams/CTM-OTGentStad/Shared Documents/General/EAF/CSI(nieuwe sharepoint)2024/EAF Gentsesteenweg Deinze 5042 15012024.pdf?csf=1&amp;web=1&amp;e=1e0liK" xr:uid="{76EA4AB3-8A74-416C-A729-989304C419B8}"/>
    <hyperlink ref="U703" r:id="rId518" display="../../../../../../:b:/r/teams/CTM-OTGentStad/Shared Documents/General/EAF/CSI(nieuwe sharepoint)2024/EAF Heerweg-Noord Zwijnaarde 6357 01.03.2024.pdf?csf=1&amp;web=1&amp;e=W1HcGk" xr:uid="{367F7CB3-0B66-4E21-98A7-D1C95ABF8B3F}"/>
    <hyperlink ref="U618" r:id="rId519" display="../../../../../../:b:/r/teams/CTM-OTGentStad/Shared Documents/General/EAF/CSI(nieuwe sharepoint)2024/EAF Koning Albertlaan Gent 2207 22.04.2024.pdf?csf=1&amp;web=1&amp;e=jni0A6" xr:uid="{DBE9064E-5762-422F-A673-CA86A99FD096}"/>
    <hyperlink ref="U631" r:id="rId520" display="../../../../../../:b:/r/teams/CTM-OTGentStad/Shared Documents/General/EAF/CSI(nieuwe sharepoint)2024/EAF Kouter Gent  5932 15.04.2024.pdf?csf=1&amp;web=1&amp;e=qfdIQv" xr:uid="{FF4FEF07-C2A0-4DEF-84FE-85A322B085BB}"/>
    <hyperlink ref="U603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666" r:id="rId522" display="../../../../../../:b:/r/teams/CTM-OTGentStad/Shared Documents/General/EAF/CSI(nieuwe sharepoint)2024/EAF Nazarethsesteenweg Deinze 5047 22.03.2024.pdf?csf=1&amp;web=1&amp;e=wWmwol" xr:uid="{52214B2E-6C4E-4D11-BA0B-E3F275200E4A}"/>
    <hyperlink ref="U671" r:id="rId523" display="../../../../../../:b:/r/teams/CTM-OTGentStad/Shared Documents/General/EAF/CSI(nieuwe sharepoint)2024/EAF Oktrooiplein Gent AB5233 20.03.2024.pdf?csf=1&amp;web=1&amp;e=84F5v2" xr:uid="{AD71EFBC-FA0D-460E-81FD-1B66350B22A9}"/>
    <hyperlink ref="U710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582" r:id="rId525" display="../../../../../../:b:/r/teams/CTM-OTGentStad/Shared Documents/General/EAF/CSI(nieuwe sharepoint)2024/EAF Segersplein Gent AB2205 16.05.2024.pdf?csf=1&amp;web=1&amp;e=wdPSqn" xr:uid="{AB5EDD5B-138F-4845-BD28-E1625D52C3BF}"/>
    <hyperlink ref="U504" r:id="rId526" display="../../../../../../:b:/r/teams/CTM-OTGentStad/Shared Documents/General/EAF/CSI(nieuwe sharepoint)2024/EAF Tolhuislaan 10072024.pdf?csf=1&amp;web=1&amp;e=mCYWQX" xr:uid="{C516BE93-805F-4415-8FCC-DDE9F785186E}"/>
    <hyperlink ref="U550" r:id="rId527" display="../../../../../../:b:/r/teams/CTM-OTGentStad/Shared Documents/General/EAF/CSI(nieuwe sharepoint)2024/EAF Tolhuislaan Gent AB 2204 10.06.2024.pdf?csf=1&amp;web=1&amp;e=oIGycL" xr:uid="{5D0F0C7F-856F-4DE7-A47A-B95A34EDA6C0}"/>
    <hyperlink ref="U574" r:id="rId528" display="../../../../../../:b:/r/teams/CTM-OTGentStad/Shared Documents/General/EAF/CSI(nieuwe sharepoint)2024/EAF Tolhuislaan Gent AB 5372 23.05.2024.pdf?csf=1&amp;web=1&amp;e=clu0yW" xr:uid="{A6127BC4-E878-47DB-9298-204D8EE6E258}"/>
    <hyperlink ref="U535" r:id="rId529" display="../../../../../../:b:/r/teams/CTM-OTGentStad/Shared Documents/General/EAF/CSI(nieuwe sharepoint)2024/EAF Tolhuislaan Gent AB 5917 15.06.2024.pdf?csf=1&amp;web=1&amp;e=fmyHcw" xr:uid="{6CEDA0A3-D1D1-4D22-8D39-0160865CFF4F}"/>
    <hyperlink ref="U539" r:id="rId530" display="../../../../../../:b:/r/teams/CTM-OTGentStad/Shared Documents/General/EAF/CSI(nieuwe sharepoint)2024/EAF Tolhuislaan Gent AB 222478 13.06.2024.pdf?csf=1&amp;web=1&amp;e=2tz8cF" xr:uid="{9122CEC9-72E5-450E-B445-C420372E7297}"/>
    <hyperlink ref="U612" r:id="rId531" display="../../../../../../:b:/r/teams/CTM-OTGentStad/Shared Documents/General/EAF/CSI(nieuwe sharepoint)2024/EAF Tolhuislaan Gent AB 614040 27.04.2024.pdf?csf=1&amp;web=1&amp;e=f2XmeF" xr:uid="{86F44152-7E08-4DD9-8AD6-405457EC6946}"/>
    <hyperlink ref="U728" r:id="rId532" display="../../../../../../:b:/r/teams/CTM-OTGentStad/Shared Documents/General/EAF/CSI(nieuwe sharepoint)2024/EAF Zwijnaardsesteenweg Gent 5926 13.02.2024.pdf?csf=1&amp;web=1&amp;e=Fa2o2I" xr:uid="{00F39016-44EF-4DC0-8DC0-1A062A0D109F}"/>
    <hyperlink ref="U9" r:id="rId533" xr:uid="{150DA4FD-1711-4867-B634-D05F4AEFF1A7}"/>
    <hyperlink ref="U232" r:id="rId534" xr:uid="{D4A9EBC2-7040-472D-9CD7-25E0CD73A803}"/>
    <hyperlink ref="U107" r:id="rId535" xr:uid="{863C6FA1-A756-4D70-AC71-51E5A76689C5}"/>
    <hyperlink ref="U247" r:id="rId536" xr:uid="{DACDB412-C833-4291-9C28-79BA532569AA}"/>
    <hyperlink ref="U245" r:id="rId537" xr:uid="{0B00DD93-46E6-429E-BC0E-941F7DDDCE2A}"/>
    <hyperlink ref="U269" r:id="rId538" xr:uid="{225EB26C-7772-460F-A73C-0F374D7AF285}"/>
    <hyperlink ref="U270" r:id="rId539" xr:uid="{BD0527B6-7BCC-4011-AFE4-A7A21EEA6DF1}"/>
    <hyperlink ref="U231" r:id="rId540" xr:uid="{C2CD05F9-E24E-4861-A589-1C820F320F9E}"/>
    <hyperlink ref="U271" r:id="rId541" xr:uid="{FE436817-0B4F-438C-A63D-C51B18F105A4}"/>
    <hyperlink ref="U236" r:id="rId542" xr:uid="{4A3BDEF3-14A7-45E2-8146-4BAA33388E54}"/>
    <hyperlink ref="U257" r:id="rId543" xr:uid="{56E8F87E-FC9C-4191-9A01-2285D988C8C0}"/>
    <hyperlink ref="U242" r:id="rId544" xr:uid="{3BF788E9-2462-4020-AC4B-A66BB6793883}"/>
    <hyperlink ref="U258" r:id="rId545" xr:uid="{67C81648-7A07-49F8-9510-14AC3651BFAC}"/>
    <hyperlink ref="U238" r:id="rId546" xr:uid="{D17842E8-28B7-4700-8F51-1BF6AAFEEDED}"/>
    <hyperlink ref="U7" r:id="rId547" xr:uid="{1D07BE5F-6D45-449E-A856-72ABC302C426}"/>
    <hyperlink ref="U8" r:id="rId548" xr:uid="{74CF06CF-A463-4FAA-9D33-6F2484FDFE16}"/>
    <hyperlink ref="U819" r:id="rId549" xr:uid="{4D2D47F3-D93E-4E06-A609-F6F31A503B9E}"/>
    <hyperlink ref="U4" r:id="rId550" xr:uid="{BB3ADF8B-2677-4058-AC30-13299C7C8573}"/>
    <hyperlink ref="U6" r:id="rId551" xr:uid="{F243989D-7F6A-4CAE-A35A-DDFC357040CB}"/>
    <hyperlink ref="U5" r:id="rId552" xr:uid="{E058195F-A560-43AD-B42C-D9F293BF83BE}"/>
    <hyperlink ref="U12" r:id="rId553" xr:uid="{E23FAE86-C71A-42EC-8B47-C80E9CF9E459}"/>
    <hyperlink ref="U11" r:id="rId554" xr:uid="{56031605-4B81-4A26-9C04-859AC6BC7199}"/>
    <hyperlink ref="U3" r:id="rId555" xr:uid="{37F3A534-9157-4431-A907-DA8F76A26E11}"/>
    <hyperlink ref="U20" r:id="rId556" xr:uid="{3B159F39-D1EE-4FFE-B00F-CD5A30667FFD}"/>
    <hyperlink ref="U263" r:id="rId557" xr:uid="{D0BD2ED7-E6F8-44FF-AA5C-9C16A6C1804B}"/>
    <hyperlink ref="U272" r:id="rId558" xr:uid="{F33A1740-8EB8-4025-8F53-80BACD691CA6}"/>
    <hyperlink ref="U235" r:id="rId559" xr:uid="{9D95C12D-8E65-4229-9718-A51321D9D94F}"/>
    <hyperlink ref="U237" r:id="rId560" xr:uid="{E4224694-117F-4F4F-9BF7-195BE73397D9}"/>
    <hyperlink ref="U246" r:id="rId561" xr:uid="{C8F55B2D-0BB9-4A25-9B22-6ED11D2439AC}"/>
    <hyperlink ref="U233" r:id="rId562" xr:uid="{086A88D0-A6B0-4F2C-A4EA-1445ED053D6B}"/>
    <hyperlink ref="U241" r:id="rId563" xr:uid="{C251BE52-D64A-40F3-8DC1-707966587D02}"/>
    <hyperlink ref="U240" r:id="rId564" xr:uid="{C7F96931-1F41-4392-BB45-AB92C7E8FFD7}"/>
    <hyperlink ref="U249" r:id="rId565" xr:uid="{730C7AE1-7643-4719-8632-C64D319771B0}"/>
    <hyperlink ref="U244" r:id="rId566" xr:uid="{D2369495-C800-435E-BFFA-8E9093A0F80C}"/>
    <hyperlink ref="U251" r:id="rId567" xr:uid="{0008102A-7EB8-4F37-BAC1-D6E4CC390730}"/>
    <hyperlink ref="U248" r:id="rId568" xr:uid="{351AB9DA-E3BE-4B59-ACEA-9324F3745699}"/>
    <hyperlink ref="U243" r:id="rId569" xr:uid="{899603D8-6E8D-4C79-924A-93406B78EE6B}"/>
    <hyperlink ref="U253" r:id="rId570" xr:uid="{A9F5798F-300C-4BC1-A1B4-06B6054503B7}"/>
    <hyperlink ref="U256" r:id="rId571" xr:uid="{81401BA5-C27E-4D6E-A3BE-13A3DE7927D3}"/>
    <hyperlink ref="U250" r:id="rId572" xr:uid="{8B0F07D6-AE8A-451D-8D1C-41E66AA0B123}"/>
    <hyperlink ref="U254" r:id="rId573" xr:uid="{F8D24394-978E-485C-8512-376B34C9D206}"/>
    <hyperlink ref="U252" r:id="rId574" xr:uid="{75BDEF6D-E245-4089-9D06-E52A0E0E795D}"/>
    <hyperlink ref="U255" r:id="rId575" xr:uid="{E465F374-DB36-41EF-9408-9AAAF868BAFE}"/>
    <hyperlink ref="U260" r:id="rId576" xr:uid="{3DE33E38-BC69-43E7-A2F4-FF3992FBB1C9}"/>
    <hyperlink ref="U262" r:id="rId577" xr:uid="{FC00D559-9EF1-4F91-AD31-31D9EA911704}"/>
    <hyperlink ref="U259" r:id="rId578" xr:uid="{C7205737-9829-4547-A889-2926DD023738}"/>
    <hyperlink ref="U261" r:id="rId579" xr:uid="{58642315-5AF4-42F7-BEE7-55CBCF1C9245}"/>
    <hyperlink ref="U265" r:id="rId580" xr:uid="{9F8B2670-1D8E-490C-BA83-01C7BEF546C6}"/>
    <hyperlink ref="U267" r:id="rId581" xr:uid="{82C47FF0-C30B-4A63-B16D-8D26943A680A}"/>
    <hyperlink ref="U216" r:id="rId582" xr:uid="{2EDE9429-F341-4878-AB9F-AF725DA96FB3}"/>
    <hyperlink ref="U207" r:id="rId583" xr:uid="{D0A8B0FF-DF89-4F65-839E-1E68205C5FFF}"/>
    <hyperlink ref="U194" r:id="rId584" xr:uid="{2E040C5D-D095-44E3-B108-B706873F4965}"/>
    <hyperlink ref="U201" r:id="rId585" xr:uid="{C380338D-B4EB-403F-8201-FF24A466E0AE}"/>
    <hyperlink ref="U229" r:id="rId586" xr:uid="{898BACA9-0B24-4041-83A0-D0979000C0A0}"/>
    <hyperlink ref="U211" r:id="rId587" xr:uid="{F35FBE87-2C1F-4A44-AB97-02EB30AC6E6E}"/>
    <hyperlink ref="U213" r:id="rId588" xr:uid="{4D737CE6-73A6-4025-8559-A716C852BB95}"/>
    <hyperlink ref="U220" r:id="rId589" xr:uid="{0FC9E311-23DD-4419-B96B-98BEF4FED6F2}"/>
    <hyperlink ref="U228" r:id="rId590" xr:uid="{CD2DBC0B-1260-46CE-84BB-78105AC98D90}"/>
    <hyperlink ref="U224" r:id="rId591" xr:uid="{E3AA322B-9412-406B-8DCF-EA1782F3C537}"/>
    <hyperlink ref="U198" r:id="rId592" xr:uid="{145D5B93-B022-4AA5-BCE0-1F27B283997C}"/>
    <hyperlink ref="U196" r:id="rId593" xr:uid="{EC15FBBC-3DD8-418C-B6A0-2A05877526FA}"/>
    <hyperlink ref="U206" r:id="rId594" xr:uid="{F9FC5F25-4055-4C41-B010-4340642B1532}"/>
    <hyperlink ref="U205" r:id="rId595" xr:uid="{EC00F961-65B6-466B-B885-D48582405F11}"/>
    <hyperlink ref="U204" r:id="rId596" xr:uid="{07F0B742-6CE5-4373-91E8-D4D1692F9DC3}"/>
    <hyperlink ref="U189" r:id="rId597" xr:uid="{7FA0A5F5-AA81-4888-A3D8-56C51C832365}"/>
    <hyperlink ref="U203" r:id="rId598" xr:uid="{AB21B84C-4547-4A3C-BB78-3A25340BB2F7}"/>
    <hyperlink ref="U200" r:id="rId599" xr:uid="{39217EE0-75C0-4402-B10E-A014D4704D80}"/>
    <hyperlink ref="U190" r:id="rId600" xr:uid="{83E41EC9-3241-447D-B3D2-B8BBE514E846}"/>
    <hyperlink ref="U210" r:id="rId601" xr:uid="{9B7CC6C0-DE32-42AF-A032-A7DE6B20A49A}"/>
    <hyperlink ref="U223" r:id="rId602" xr:uid="{0B1560EE-DF6A-4F3C-95E1-15E330022847}"/>
    <hyperlink ref="U225" r:id="rId603" xr:uid="{516D4D8A-BCD6-4BD2-A762-62154B283621}"/>
    <hyperlink ref="U222" r:id="rId604" xr:uid="{8DC45460-FF99-4B45-B29A-DF778ECF6172}"/>
    <hyperlink ref="U218" r:id="rId605" xr:uid="{1BC6803B-76CD-4B8F-B5A4-9C3613CBA4F2}"/>
    <hyperlink ref="U209" r:id="rId606" xr:uid="{A4B53BAE-D44A-4347-A973-54F4E0FF678D}"/>
    <hyperlink ref="U212" r:id="rId607" xr:uid="{9688A2CA-6817-402E-BB11-1FFE0CE3D72A}"/>
    <hyperlink ref="U197" r:id="rId608" xr:uid="{CDAA5689-B753-4C35-9F3B-F46334AA0D28}"/>
    <hyperlink ref="U208" r:id="rId609" xr:uid="{3DAC90A6-8D42-4FEE-AF74-97C01BD7600E}"/>
    <hyperlink ref="U215" r:id="rId610" xr:uid="{E1DB103D-F090-4258-8E3B-055683FCD7B4}"/>
    <hyperlink ref="U192" r:id="rId611" xr:uid="{3D1FAB95-5B8B-4634-B0B4-7DB8CC60FFB8}"/>
    <hyperlink ref="U230" r:id="rId612" xr:uid="{043D990C-2F93-4782-B504-B8CA72F45A43}"/>
    <hyperlink ref="U188" r:id="rId613" xr:uid="{1F54DB39-AE2C-4D07-A41A-12435C3E02CE}"/>
    <hyperlink ref="U195" r:id="rId614" xr:uid="{89D6702A-34CC-4980-B10A-5BA92B354176}"/>
    <hyperlink ref="U214" r:id="rId615" xr:uid="{77330D35-BD0B-4CB7-9F5A-65D536231B32}"/>
    <hyperlink ref="U187" r:id="rId616" xr:uid="{478E4DD9-50AE-4E56-8AAD-BF7B5CB410CD}"/>
    <hyperlink ref="U219" r:id="rId617" xr:uid="{95E8979D-9B42-4992-8BAF-3E4668DFB37A}"/>
    <hyperlink ref="U191" r:id="rId618" xr:uid="{A5A32A1E-3517-41A7-94F5-1E7E58CB0021}"/>
    <hyperlink ref="U221" r:id="rId619" xr:uid="{10324561-F0B5-4F2C-A30E-0CCC67F69554}"/>
    <hyperlink ref="U202" r:id="rId620" xr:uid="{5F8DF6C1-8BAD-4816-B651-79AB4DC08D38}"/>
    <hyperlink ref="U217" r:id="rId621" xr:uid="{B935B8C7-66A1-48FB-97B5-581A072674C9}"/>
    <hyperlink ref="U166" r:id="rId622" xr:uid="{96DD215D-8D77-42B5-87FD-AAD46745E6CE}"/>
    <hyperlink ref="U182" r:id="rId623" xr:uid="{25E3891C-A841-4FAD-8848-83BCDA07B07D}"/>
    <hyperlink ref="U806" r:id="rId624" xr:uid="{6B2453B4-DE64-4299-98A6-04B583A216BE}"/>
    <hyperlink ref="U161" r:id="rId625" xr:uid="{ABB49E0F-D960-4CBD-9512-B12078CCF062}"/>
    <hyperlink ref="U159" r:id="rId626" xr:uid="{310C0FCD-B925-4842-B943-ECA2DEB634D8}"/>
    <hyperlink ref="U154" r:id="rId627" xr:uid="{DF068475-DB5A-4B55-AC50-4551B49647A5}"/>
    <hyperlink ref="U162" r:id="rId628" xr:uid="{96287227-49F7-4F9C-AB86-3F9606F24C0C}"/>
    <hyperlink ref="U807" r:id="rId629" xr:uid="{56BCDB2C-7703-45F5-A312-C5E893E4471F}"/>
    <hyperlink ref="U156" r:id="rId630" xr:uid="{DB7207BC-37CA-486F-B566-C1D2EEC1D98C}"/>
    <hyperlink ref="U169" r:id="rId631" xr:uid="{EB1DE0E7-525B-41A5-B65D-E4EFDD71FA50}"/>
    <hyperlink ref="U167" r:id="rId632" xr:uid="{9EC01C6F-6C00-4ADD-9130-4C36DFCB9779}"/>
    <hyperlink ref="U150" r:id="rId633" xr:uid="{93F4F107-6055-4000-B994-82766AC2F8B3}"/>
    <hyperlink ref="U155" r:id="rId634" xr:uid="{7CF19AB4-E4D1-4E84-8F6B-D30EEFAB42E5}"/>
    <hyperlink ref="U170" r:id="rId635" xr:uid="{AD2BAD26-D2CD-4C3C-A625-0421ABE6776E}"/>
    <hyperlink ref="U163" r:id="rId636" xr:uid="{AB528683-13E1-43EF-9397-0F1EA0A95500}"/>
    <hyperlink ref="U179" r:id="rId637" xr:uid="{63D05921-89F2-42B2-8802-476070CE7486}"/>
    <hyperlink ref="U168" r:id="rId638" xr:uid="{7511178A-2DAB-45C1-B7D5-E5AB38820A3D}"/>
    <hyperlink ref="U149" r:id="rId639" xr:uid="{3A3EB255-474E-47F0-A53A-051803ED74C0}"/>
    <hyperlink ref="U153" r:id="rId640" xr:uid="{768F261D-495B-41EC-B1C0-677BBCBABEC5}"/>
    <hyperlink ref="U157" r:id="rId641" xr:uid="{CC1D23EA-2FA4-475A-B130-CAFDD977883C}"/>
    <hyperlink ref="U164" r:id="rId642" xr:uid="{4532DF16-2F25-4398-A9D2-C64BCAC2623A}"/>
    <hyperlink ref="U160" r:id="rId643" xr:uid="{DBF3EEA2-E5BA-4578-9529-31D42BC09EE8}"/>
    <hyperlink ref="U174" r:id="rId644" xr:uid="{6DBCD5CC-7915-4AD2-ACB7-9AF638A8D476}"/>
    <hyperlink ref="U809" r:id="rId645" xr:uid="{ABEA59BF-FF44-4925-AA21-B49F73E586F9}"/>
    <hyperlink ref="U151" r:id="rId646" xr:uid="{6ADC597C-C276-4C62-8E82-A4969ACC73EF}"/>
    <hyperlink ref="U810" r:id="rId647" xr:uid="{2FBBADAF-55DB-491E-AD6E-CBCBA567C379}"/>
    <hyperlink ref="U165" r:id="rId648" xr:uid="{FC933634-D1AA-401F-9EC8-E2A2DA5B1806}"/>
    <hyperlink ref="U152" r:id="rId649" xr:uid="{B0C3DC5B-76AF-4980-9ED1-806AF6657A94}"/>
    <hyperlink ref="U183" r:id="rId650" xr:uid="{26A56EE1-DB69-411D-ACCF-185580542394}"/>
    <hyperlink ref="U158" r:id="rId651" xr:uid="{CCE2BD31-28A5-4D0E-89EE-5DB37DEC1506}"/>
    <hyperlink ref="U185" r:id="rId652" xr:uid="{D422ED3F-5E9D-4F5A-A8B1-B5ED221AA5CB}"/>
    <hyperlink ref="U184" r:id="rId653" xr:uid="{1EEB36FB-467C-4173-9337-6930BD20E5BF}"/>
    <hyperlink ref="U180" r:id="rId654" xr:uid="{4A86C2AA-47F9-4BF7-8520-E38A909DD226}"/>
    <hyperlink ref="U181" r:id="rId655" xr:uid="{80485985-F15E-473A-982F-1696C89487EF}"/>
    <hyperlink ref="U175" r:id="rId656" xr:uid="{C011010E-C6E0-4E9F-8C53-F07785B63047}"/>
    <hyperlink ref="U176" r:id="rId657" xr:uid="{083F9CE9-FB70-4A23-968F-174CB60F5F3C}"/>
    <hyperlink ref="U177" r:id="rId658" xr:uid="{5DBEABD7-9276-4526-98A7-F5BD247071FC}"/>
    <hyperlink ref="U178" r:id="rId659" xr:uid="{9152E7DD-8182-4F52-B2D5-9C32E77A51E3}"/>
    <hyperlink ref="U173" r:id="rId660" xr:uid="{01D51050-FBEA-4B59-8B56-73F47A55F718}"/>
    <hyperlink ref="U172" r:id="rId661" xr:uid="{6E0D216D-F35E-408D-A4BA-9CB81B5BDEF6}"/>
    <hyperlink ref="U171" r:id="rId662" xr:uid="{B3851F33-F581-4CD5-B45F-70F07B9370B5}"/>
    <hyperlink ref="U799" r:id="rId663" xr:uid="{C2DA7E70-657B-451F-BE61-5753ED491960}"/>
    <hyperlink ref="U138" r:id="rId664" xr:uid="{E760B65F-D437-4A82-ADB0-CE57C56613BB}"/>
    <hyperlink ref="U124" r:id="rId665" xr:uid="{389D8CFC-6E96-47C9-95C2-6D0DC5FDC47F}"/>
    <hyperlink ref="U116" r:id="rId666" xr:uid="{D2F96A81-C7E3-4D73-A9D6-8A3776AEECF0}"/>
    <hyperlink ref="U144" r:id="rId667" xr:uid="{6A2967DA-72F6-4A66-BEB1-06B967D72FB9}"/>
    <hyperlink ref="U145" r:id="rId668" xr:uid="{F10DFD8F-A4E6-41F4-BE12-01AC9829729E}"/>
    <hyperlink ref="U113" r:id="rId669" xr:uid="{DCEB82AA-5B00-4B67-8A9B-4E25B22FF280}"/>
    <hyperlink ref="U146" r:id="rId670" xr:uid="{BB9AC7A1-5FDB-4793-9AA6-3BB716B0C417}"/>
    <hyperlink ref="U800" r:id="rId671" xr:uid="{4CBA8A86-B0FD-497B-A600-0A4526F783DB}"/>
    <hyperlink ref="U139" r:id="rId672" xr:uid="{D79D5AFE-C6AE-4FA5-A4C4-9789128877A0}"/>
    <hyperlink ref="U127" r:id="rId673" xr:uid="{87D82A19-8903-4915-BAF9-F10A723DAE7D}"/>
    <hyperlink ref="U140" r:id="rId674" xr:uid="{0726CA3F-D1B7-4365-8444-071E08AB4843}"/>
    <hyperlink ref="U143" r:id="rId675" xr:uid="{4DABF424-4C2A-4687-9B10-293A0FA9CC8F}"/>
    <hyperlink ref="U132" r:id="rId676" xr:uid="{708E88D7-B2D1-4C38-9F56-2D3CEA54003B}"/>
    <hyperlink ref="U114" r:id="rId677" xr:uid="{4D1CA8F5-6233-474B-A545-0E94FA4DC8F3}"/>
    <hyperlink ref="U123" r:id="rId678" xr:uid="{14267202-C2D0-4352-8EB8-846DAF2A0233}"/>
    <hyperlink ref="U128" r:id="rId679" xr:uid="{648D6711-B4FB-49BE-91E9-C9B8326515D3}"/>
    <hyperlink ref="U111" r:id="rId680" xr:uid="{A1731FAA-3015-41C5-8D89-A3BC6FF922C1}"/>
    <hyperlink ref="U118" r:id="rId681" xr:uid="{FB514E15-C32B-496E-B7E0-17F9FFE4F17A}"/>
    <hyperlink ref="U125" r:id="rId682" xr:uid="{5808F782-76C6-429E-96A0-A064A37AB21C}"/>
    <hyperlink ref="U126" r:id="rId683" xr:uid="{0959C9E6-7835-43BF-8547-BF481EE80D5F}"/>
    <hyperlink ref="U115" r:id="rId684" xr:uid="{E52DBEBD-5887-4E06-947D-8EBE36982A82}"/>
    <hyperlink ref="U119" r:id="rId685" xr:uid="{BEDB739D-737F-46F1-8D57-3FC8CC982198}"/>
    <hyperlink ref="U129" r:id="rId686" xr:uid="{2C8D7F5E-0E75-41BC-BBB4-A9211236EFFC}"/>
    <hyperlink ref="U141" r:id="rId687" xr:uid="{F99B1E7C-2349-405E-AA64-6967C432A75C}"/>
    <hyperlink ref="U121" r:id="rId688" xr:uid="{7C2A0286-1324-4403-B4DD-361A1DE5D0D9}"/>
    <hyperlink ref="U801" r:id="rId689" xr:uid="{A843F00B-7BAC-4217-9322-AFAA44197BF0}"/>
    <hyperlink ref="U147" r:id="rId690" xr:uid="{7B9D040B-C241-4309-A54F-21F4A2598A78}"/>
    <hyperlink ref="U148" r:id="rId691" xr:uid="{D015F0C9-969C-41A7-B05D-E8B186DD2A94}"/>
    <hyperlink ref="U134" r:id="rId692" xr:uid="{3C13EDDC-696D-4A5F-8A9E-BF272DB24513}"/>
    <hyperlink ref="U130" r:id="rId693" xr:uid="{E34F6C64-B60F-4F48-B4F1-8F9AACEBD075}"/>
    <hyperlink ref="U131" r:id="rId694" xr:uid="{220AA725-B3A5-4243-828D-E1C53155A150}"/>
    <hyperlink ref="U112" r:id="rId695" xr:uid="{BD4E9079-B973-4420-B1FD-4BF6FB1C7BE3}"/>
    <hyperlink ref="U802" r:id="rId696" xr:uid="{9B75B6EB-4972-47F4-A52E-FEF937B469CF}"/>
    <hyperlink ref="U136" r:id="rId697" xr:uid="{B58AB238-8D14-4EBC-B9DB-4A28D670C5DE}"/>
    <hyperlink ref="U122" r:id="rId698" xr:uid="{5173BAAC-F800-464C-B1AE-88F401557E13}"/>
    <hyperlink ref="U117" r:id="rId699" xr:uid="{484C4C1C-5CCC-486B-A82C-68FA2983E0DC}"/>
    <hyperlink ref="U142" r:id="rId700" xr:uid="{103C09BE-ED5D-4747-B5EA-48E902C6140F}"/>
    <hyperlink ref="U137" r:id="rId701" xr:uid="{251288C3-BF64-4860-9A54-41802A975EDB}"/>
    <hyperlink ref="U135" r:id="rId702" xr:uid="{FAF8B960-BFE9-4FB4-9CC7-36E0BE491390}"/>
    <hyperlink ref="U133" r:id="rId703" xr:uid="{6949557C-A40F-49B7-BB27-5E184F540F37}"/>
    <hyperlink ref="U120" r:id="rId704" xr:uid="{BA558B59-A969-4F15-8D2F-64FA1E58F79D}"/>
    <hyperlink ref="U110" r:id="rId705" xr:uid="{6D11B92B-7522-488B-A553-08C77073F8DF}"/>
    <hyperlink ref="U87" r:id="rId706" xr:uid="{A432BF3B-B956-4B79-A609-35525C4FFC9D}"/>
    <hyperlink ref="U85" r:id="rId707" xr:uid="{B09855AE-7B80-4B3A-911C-960610B88F94}"/>
    <hyperlink ref="U81" r:id="rId708" xr:uid="{EB8F3410-4B22-4544-A2C6-9E83C2900923}"/>
    <hyperlink ref="U83" r:id="rId709" xr:uid="{03AA8935-8534-457F-8190-65FC4AD3BB0D}"/>
    <hyperlink ref="U803" r:id="rId710" xr:uid="{F4EFC8AC-0CB9-4AD7-92FA-021D8A8DC863}"/>
    <hyperlink ref="U86" r:id="rId711" xr:uid="{593C82B9-E6E1-4283-9A5A-1601224BACAE}"/>
    <hyperlink ref="U84" r:id="rId712" xr:uid="{A0977BE1-A651-41F4-AE35-711937967CEF}"/>
    <hyperlink ref="U96" r:id="rId713" xr:uid="{F49DB4A0-BC81-4A06-9A32-5C72DB73A3BA}"/>
    <hyperlink ref="U90" r:id="rId714" xr:uid="{1FA4F1A2-C68C-43F7-B1C4-BA99F25F26CE}"/>
    <hyperlink ref="U89" r:id="rId715" xr:uid="{3AAD246B-25BE-4D96-817A-D6CB2F311E44}"/>
    <hyperlink ref="U92" r:id="rId716" xr:uid="{18B2D28D-956E-4BA4-AFA1-1B87456A0A2C}"/>
    <hyperlink ref="U91" r:id="rId717" xr:uid="{B22F530F-E864-4C38-8989-BD6CCCFFE2C2}"/>
    <hyperlink ref="U93" r:id="rId718" xr:uid="{83DE97E8-FA36-495A-88E8-38CAC06F844C}"/>
    <hyperlink ref="U103" r:id="rId719" xr:uid="{5C67D965-A539-410D-A59A-D6AEF2A02C03}"/>
    <hyperlink ref="U95" r:id="rId720" xr:uid="{FC61B223-3866-4716-9F84-568EC3B46547}"/>
    <hyperlink ref="U100" r:id="rId721" xr:uid="{D85F952D-CB1B-44F4-B28A-6C3D09476CF2}"/>
    <hyperlink ref="U105" r:id="rId722" xr:uid="{5568D8F3-F32F-4736-A916-963C9CCB47FA}"/>
    <hyperlink ref="U109" r:id="rId723" xr:uid="{B723EA80-581E-475A-B68D-9A836974DD11}"/>
    <hyperlink ref="U97" r:id="rId724" xr:uid="{0F637775-FD3B-4C08-8D6F-C589BFDB9CC9}"/>
    <hyperlink ref="U99" r:id="rId725" xr:uid="{51B51EB8-64EF-476E-ACD4-48008568D921}"/>
    <hyperlink ref="U98" r:id="rId726" xr:uid="{C120082C-3A17-4BF4-9FE5-8316049E6832}"/>
    <hyperlink ref="U101" r:id="rId727" xr:uid="{6939651F-8743-40D7-8248-7C59BC326531}"/>
    <hyperlink ref="U102" r:id="rId728" xr:uid="{AE840088-FA86-44F9-8AEA-7685D8FC1882}"/>
    <hyperlink ref="U793" r:id="rId729" xr:uid="{F06FFB0D-5885-4D14-8AC6-016C02308BD6}"/>
    <hyperlink ref="U790" r:id="rId730" xr:uid="{34E44BC6-0C9A-468D-8837-FC115CC6C91C}"/>
    <hyperlink ref="U104" r:id="rId731" xr:uid="{0ED0DD59-3557-4D96-AA95-5DC7A645AE06}"/>
    <hyperlink ref="U106" r:id="rId732" xr:uid="{A2170097-8EAE-46AC-9251-EF553AB1A9D6}"/>
    <hyperlink ref="U108" r:id="rId733" xr:uid="{F8BF4E85-D8D9-47D4-AB8E-C87937357FA9}"/>
    <hyperlink ref="U805" r:id="rId734" xr:uid="{4CE98016-D7E6-4D5E-912E-DED4D44F20AD}"/>
    <hyperlink ref="U65" r:id="rId735" xr:uid="{9321BFD9-F8A8-4656-8410-61658A528AC5}"/>
    <hyperlink ref="U48" r:id="rId736" xr:uid="{A92F0936-5E6B-42FE-85E7-A4B061C5DAD3}"/>
    <hyperlink ref="U49" r:id="rId737" xr:uid="{6049A51A-F4DF-4E73-8440-DE6F40AEBDD9}"/>
    <hyperlink ref="U50" r:id="rId738" xr:uid="{7928FACB-A4C4-47AE-B295-577B8CBBB398}"/>
    <hyperlink ref="U75" r:id="rId739" xr:uid="{941EBDF1-E734-4E5A-AA48-F30D0B24F93C}"/>
    <hyperlink ref="U51" r:id="rId740" xr:uid="{574AA468-D84B-4155-9894-72B740EF0AB1}"/>
    <hyperlink ref="U78" r:id="rId741" xr:uid="{E57FF12C-76E0-4A86-99D4-5E1538E38ACD}"/>
    <hyperlink ref="U71" r:id="rId742" xr:uid="{7E75644F-64CB-4F63-924E-F8365E75C71A}"/>
    <hyperlink ref="U72" r:id="rId743" xr:uid="{973F95B8-C132-4D72-96F7-C5CD97AB7E19}"/>
    <hyperlink ref="U55" r:id="rId744" xr:uid="{4511E0E2-3308-42B9-8AB9-1E3204BB4AB9}"/>
    <hyperlink ref="U52" r:id="rId745" xr:uid="{5805C3DE-57A9-46D6-9F19-1050F00D1E46}"/>
    <hyperlink ref="U66" r:id="rId746" xr:uid="{DAF3293A-AB51-4EAB-94D6-99379936EE9A}"/>
    <hyperlink ref="U79" r:id="rId747" xr:uid="{0D2FAD1A-6FB7-42BC-ACD4-2ED17239737A}"/>
    <hyperlink ref="U58" r:id="rId748" xr:uid="{C97D0CF5-D880-48AA-976A-46B72F6366E2}"/>
    <hyperlink ref="U68" r:id="rId749" xr:uid="{5B139B7F-C169-4457-832F-2CDEE69FD825}"/>
    <hyperlink ref="U59" r:id="rId750" xr:uid="{03CEA0C4-C067-4D36-8EC4-BD674608B5EC}"/>
    <hyperlink ref="U56" r:id="rId751" xr:uid="{7F799986-DE7E-4CB4-9450-D1751467B184}"/>
    <hyperlink ref="U76" r:id="rId752" xr:uid="{2FEEE5DD-8A0F-48EB-80CD-BE2AF1317FD9}"/>
    <hyperlink ref="U57" r:id="rId753" xr:uid="{95504083-0ADC-4023-97B7-A22841E41A0A}"/>
    <hyperlink ref="U82" r:id="rId754" xr:uid="{B3527575-B430-444E-9B0B-A3C05BCAB247}"/>
    <hyperlink ref="U80" r:id="rId755" xr:uid="{6A58F34B-5E83-417C-AE7D-F5176857093F}"/>
    <hyperlink ref="U77" r:id="rId756" xr:uid="{A65CEF8A-32E1-43C3-A6EE-B0328385DBFC}"/>
    <hyperlink ref="U62" r:id="rId757" xr:uid="{2C6873D5-430D-4DDD-932E-93E40910B97B}"/>
    <hyperlink ref="U63" r:id="rId758" xr:uid="{FCD32162-3212-4E63-83FF-A086C4015E85}"/>
    <hyperlink ref="U808" r:id="rId759" xr:uid="{43EDAC8C-154F-4594-876F-3F9377E4C0C1}"/>
    <hyperlink ref="U69" r:id="rId760" xr:uid="{8D3EABC5-7EEB-4300-9EC6-7B98D5F8E029}"/>
    <hyperlink ref="U53" r:id="rId761" xr:uid="{E0BA6773-6967-4D97-A6D9-16414C9EBA75}"/>
    <hyperlink ref="U74" r:id="rId762" xr:uid="{373A757C-29EC-4205-A1DA-27EEA898D2E7}"/>
    <hyperlink ref="U60" r:id="rId763" xr:uid="{E74A0A93-7E76-4BC0-99FA-7A5BB8BD7138}"/>
    <hyperlink ref="U804" r:id="rId764" xr:uid="{F37985B0-E9F1-438A-82A1-42D19BFF8F90}"/>
    <hyperlink ref="U70" r:id="rId765" xr:uid="{DCE67A40-B91D-42D6-B85F-800E2487CF07}"/>
    <hyperlink ref="U67" r:id="rId766" xr:uid="{23CA3DFE-A440-4845-ADDC-E00CDDC2FAB8}"/>
    <hyperlink ref="U54" r:id="rId767" xr:uid="{DC114D74-FDA1-4A5B-99B3-1F704C9F9E88}"/>
    <hyperlink ref="U796" r:id="rId768" xr:uid="{5FB200BE-8F49-4D2F-AF1F-5BDC0C88CA57}"/>
    <hyperlink ref="U73" r:id="rId769" xr:uid="{E9488F98-417D-45F0-AF31-42083D111195}"/>
    <hyperlink ref="U64" r:id="rId770" xr:uid="{F330EFD7-79BD-46D0-80F4-426AC08554CF}"/>
    <hyperlink ref="U61" r:id="rId771" xr:uid="{11491747-2133-49D4-A272-44F6FF53D9C6}"/>
    <hyperlink ref="U19" r:id="rId772" xr:uid="{93FCF700-48E1-4AAB-8495-FC2999DF82EF}"/>
    <hyperlink ref="U17" r:id="rId773" xr:uid="{254E9E40-B563-406B-8450-9FF9E949AC8C}"/>
    <hyperlink ref="U817" r:id="rId774" xr:uid="{8C7050E5-1548-47AD-9816-9F8590927730}"/>
    <hyperlink ref="U816" r:id="rId775" xr:uid="{298E54A3-9DBF-4CA6-8BA6-31974C23228C}"/>
    <hyperlink ref="U815" r:id="rId776" xr:uid="{1562B673-8C26-4B21-ACFD-266C8A1777FD}"/>
    <hyperlink ref="U13" r:id="rId777" xr:uid="{ED1DD83C-6022-4BD4-8146-1AD33BD7F5AA}"/>
    <hyperlink ref="U21" r:id="rId778" xr:uid="{8DEB09DF-90D5-4C0F-84ED-2C9E5F524D87}"/>
    <hyperlink ref="U15" r:id="rId779" xr:uid="{FA5FD159-9EBA-4548-9418-76FA3AEF3C15}"/>
    <hyperlink ref="U814" r:id="rId780" xr:uid="{77FF1940-85B2-4158-80F6-DBA00A0D3F48}"/>
    <hyperlink ref="U813" r:id="rId781" xr:uid="{59EF7A79-E073-4066-A0E3-4FBC18F26DDD}"/>
    <hyperlink ref="U14" r:id="rId782" xr:uid="{754E2135-D332-4D17-85A1-DC7CD58911BE}"/>
    <hyperlink ref="U27" r:id="rId783" xr:uid="{88F06494-6D83-4A92-B776-4B6746B0CDAD}"/>
    <hyperlink ref="U22" r:id="rId784" xr:uid="{DFC68BEC-B39F-4AC2-9D00-AF674412F4D1}"/>
    <hyperlink ref="U16" r:id="rId785" xr:uid="{D39377EB-7E62-4F41-B32C-DD7C8FD9FD9A}"/>
    <hyperlink ref="U18" r:id="rId786" xr:uid="{9929740E-87D0-46BF-BF92-B7A6F0F75EB5}"/>
    <hyperlink ref="U23" r:id="rId787" xr:uid="{E123B967-6F80-47D3-AA99-5D00D58C1C7B}"/>
    <hyperlink ref="U818" r:id="rId788" xr:uid="{BD1736A6-FDDE-4E2B-AEC4-56B7A59A4D9B}"/>
    <hyperlink ref="U24" r:id="rId789" xr:uid="{2C5F8736-DD9A-4211-A2E6-04D793B952E2}"/>
    <hyperlink ref="U25" r:id="rId790" xr:uid="{CAA0EEB7-98AD-4175-978B-3481CD4B09A2}"/>
    <hyperlink ref="U28" r:id="rId791" xr:uid="{B994F345-9D6F-49FE-936F-A1FF870DA159}"/>
    <hyperlink ref="U26" r:id="rId792" xr:uid="{4E7BD72F-64F1-4161-94B3-40F3EAD4DF8D}"/>
    <hyperlink ref="U30" r:id="rId793" xr:uid="{42CE2B8A-4445-4D38-A19B-27E617E5355F}"/>
    <hyperlink ref="U33" r:id="rId794" xr:uid="{77672107-1074-4CC5-B773-C90D586B98DC}"/>
    <hyperlink ref="U34" r:id="rId795" xr:uid="{B8BBF23F-600D-4EA8-8F9E-4C020A484596}"/>
    <hyperlink ref="U31" r:id="rId796" xr:uid="{DF5118FE-DD0A-43D5-A04A-F1BB5EC966CB}"/>
    <hyperlink ref="U32" r:id="rId797" xr:uid="{80154DBC-66DF-4433-A9D0-087580B052BE}"/>
    <hyperlink ref="U29" r:id="rId798" xr:uid="{DA9F6E43-F97B-474A-85EE-108BF5C95D67}"/>
    <hyperlink ref="U37" r:id="rId799" xr:uid="{AD697AE6-4666-4389-B2B4-38726DB31C7C}"/>
    <hyperlink ref="U38" r:id="rId800" xr:uid="{436AFDD6-523C-43FE-9A08-ED579E166D7F}"/>
    <hyperlink ref="U36" r:id="rId801" xr:uid="{D71CB4A7-6A12-475B-B09C-97A19E5BF7E7}"/>
    <hyperlink ref="U35" r:id="rId802" xr:uid="{86BB9DC2-49BD-4EA6-88AF-16451F0EF0F2}"/>
    <hyperlink ref="U45" r:id="rId803" xr:uid="{FF4ED1A0-310A-4193-BF64-B647931B2430}"/>
    <hyperlink ref="U39" r:id="rId804" xr:uid="{5C6636C1-94D3-4505-AC39-65A67FE4CB32}"/>
    <hyperlink ref="U42" r:id="rId805" xr:uid="{BB7CE327-230E-48A5-8741-25B18189C503}"/>
    <hyperlink ref="U41" r:id="rId806" xr:uid="{DD89C437-E14C-48AB-B80E-F8AF986B6A7D}"/>
    <hyperlink ref="U811" r:id="rId807" xr:uid="{5E6E094E-D08D-41A9-9AD4-AB96C0D2D0E5}"/>
    <hyperlink ref="U40" r:id="rId808" xr:uid="{738BBA94-39E1-4EAD-85E3-D6FD30B5D2A2}"/>
    <hyperlink ref="U812" r:id="rId809" xr:uid="{366A0727-3127-49A7-8A3D-1CF9FEDBA2C5}"/>
    <hyperlink ref="U43" r:id="rId810" xr:uid="{36071FA3-ED9D-4C49-BBE1-80EA68977EF9}"/>
    <hyperlink ref="U44" r:id="rId811" xr:uid="{6E08855B-C243-4269-AE79-8EAC47FB9816}"/>
    <hyperlink ref="U47" r:id="rId812" xr:uid="{3F757C3A-AABB-46B0-A376-7F8782AED0B7}"/>
    <hyperlink ref="U10" r:id="rId813" xr:uid="{E6EBA1DA-3AD1-419D-8F5E-43BB39D94529}"/>
    <hyperlink ref="U46" r:id="rId814" xr:uid="{713D8C42-321D-4476-9086-F7A96074829F}"/>
    <hyperlink ref="U2" r:id="rId815" xr:uid="{C7E0C9F1-1B82-42AF-BD02-CB6701562797}"/>
    <hyperlink ref="U820" r:id="rId816" xr:uid="{349B90B7-AFFD-4A4F-BBC3-9B3B0444F1B2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str">
        <f>_xlfn.CONCAT(bron[[#This Row],[personeelsnr]]," ",C2," ",D2)</f>
        <v>41871 Karanfil Ibrahim</v>
      </c>
      <c r="C2" t="str">
        <f>VLOOKUP(bron[[#This Row],[personeelsnr]],'data hastus'!$A:$C,2,0)</f>
        <v>Karanfil</v>
      </c>
      <c r="D2" t="str">
        <f>VLOOKUP(bron[[#This Row],[personeelsnr]],'data hastus'!$A:$C,3,0)</f>
        <v>Ibrahim</v>
      </c>
      <c r="E2" t="str">
        <f>VLOOKUP(bron[[#This Row],[personeelsnr]],'data hastus'!A:K,11,FALSE)</f>
        <v>Dominique De Clercq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38740 Meskens Anthony</v>
      </c>
      <c r="C3" t="str">
        <f>VLOOKUP(bron[[#This Row],[personeelsnr]],'data hastus'!$A:$C,2,0)</f>
        <v>Meskens</v>
      </c>
      <c r="D3" t="str">
        <f>VLOOKUP(bron[[#This Row],[personeelsnr]],'data hastus'!$A:$C,3,0)</f>
        <v>Anthony</v>
      </c>
      <c r="E3" t="str">
        <f>VLOOKUP(bron[[#This Row],[personeelsnr]],'data hastus'!A:K,11,FALSE)</f>
        <v>Christoff Rotty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37254 Coulon Rayan</v>
      </c>
      <c r="C5" t="str">
        <f>VLOOKUP(bron[[#This Row],[personeelsnr]],'data hastus'!$A:$C,2,0)</f>
        <v>Coulon</v>
      </c>
      <c r="D5" t="str">
        <f>VLOOKUP(bron[[#This Row],[personeelsnr]],'data hastus'!$A:$C,3,0)</f>
        <v>Rayan</v>
      </c>
      <c r="E5" t="str">
        <f>VLOOKUP(bron[[#This Row],[personeelsnr]],'data hastus'!A:K,11,FALSE)</f>
        <v>Kenneth De Rick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41874 Dobbeleire Bruno</v>
      </c>
      <c r="C6" t="str">
        <f>VLOOKUP(bron[[#This Row],[personeelsnr]],'data hastus'!$A:$C,2,0)</f>
        <v>Dobbeleire</v>
      </c>
      <c r="D6" t="str">
        <f>VLOOKUP(bron[[#This Row],[personeelsnr]],'data hastus'!$A:$C,3,0)</f>
        <v>Bruno</v>
      </c>
      <c r="E6" t="str">
        <f>VLOOKUP(bron[[#This Row],[personeelsnr]],'data hastus'!A:K,11,FALSE)</f>
        <v>Dominique De Clercq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41162 Hoeckman Jeroen</v>
      </c>
      <c r="C7" t="str">
        <f>VLOOKUP(bron[[#This Row],[personeelsnr]],'data hastus'!$A:$C,2,0)</f>
        <v>Hoeckman</v>
      </c>
      <c r="D7" t="str">
        <f>VLOOKUP(bron[[#This Row],[personeelsnr]],'data hastus'!$A:$C,3,0)</f>
        <v>Jeroen</v>
      </c>
      <c r="E7" t="str">
        <f>VLOOKUP(bron[[#This Row],[personeelsnr]],'data hastus'!A:K,11,FALSE)</f>
        <v>Dominique De Clercq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37345 Walleyn Renaat</v>
      </c>
      <c r="C8" t="str">
        <f>VLOOKUP(bron[[#This Row],[personeelsnr]],'data hastus'!$A:$C,2,0)</f>
        <v>Walleyn</v>
      </c>
      <c r="D8" t="str">
        <f>VLOOKUP(bron[[#This Row],[personeelsnr]],'data hastus'!$A:$C,3,0)</f>
        <v>Renaat</v>
      </c>
      <c r="E8" t="str">
        <f>VLOOKUP(bron[[#This Row],[personeelsnr]],'data hastus'!A:K,11,FALSE)</f>
        <v>Lucie Vande Velde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40859 Yagoub Abdelali</v>
      </c>
      <c r="C9" t="str">
        <f>VLOOKUP(bron[[#This Row],[personeelsnr]],'data hastus'!$A:$C,2,0)</f>
        <v>Yagoub</v>
      </c>
      <c r="D9" t="str">
        <f>VLOOKUP(bron[[#This Row],[personeelsnr]],'data hastus'!$A:$C,3,0)</f>
        <v>Abdelali</v>
      </c>
      <c r="E9" t="str">
        <f>VLOOKUP(bron[[#This Row],[personeelsnr]],'data hastus'!A:K,11,FALSE)</f>
        <v>Els Vanhoe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40138 Moerman Tjimmy</v>
      </c>
      <c r="C10" t="str">
        <f>VLOOKUP(bron[[#This Row],[personeelsnr]],'data hastus'!$A:$C,2,0)</f>
        <v>Moerman</v>
      </c>
      <c r="D10" t="str">
        <f>VLOOKUP(bron[[#This Row],[personeelsnr]],'data hastus'!$A:$C,3,0)</f>
        <v>Tjimmy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41296 Abulehia Oday</v>
      </c>
      <c r="C11" t="str">
        <f>VLOOKUP(bron[[#This Row],[personeelsnr]],'data hastus'!$A:$C,2,0)</f>
        <v>Abulehia</v>
      </c>
      <c r="D11" t="str">
        <f>VLOOKUP(bron[[#This Row],[personeelsnr]],'data hastus'!$A:$C,3,0)</f>
        <v>Oday</v>
      </c>
      <c r="E11" t="str">
        <f>VLOOKUP(bron[[#This Row],[personeelsnr]],'data hastus'!A:K,11,FALSE)</f>
        <v>Christoff Rotty</v>
      </c>
      <c r="F11">
        <v>5</v>
      </c>
    </row>
    <row r="12" spans="1:6" x14ac:dyDescent="0.25">
      <c r="A12">
        <v>40110</v>
      </c>
      <c r="B12" t="e">
        <f>_xlfn.CONCAT(bron[[#This Row],[personeelsnr]]," ",C12," ",D12)</f>
        <v>#N/A</v>
      </c>
      <c r="C12" t="e">
        <f>VLOOKUP(bron[[#This Row],[personeelsnr]],'data hastus'!$A:$C,2,0)</f>
        <v>#N/A</v>
      </c>
      <c r="D12" t="e">
        <f>VLOOKUP(bron[[#This Row],[personeelsnr]],'data hastus'!$A:$C,3,0)</f>
        <v>#N/A</v>
      </c>
      <c r="E12" t="e">
        <f>VLOOKUP(bron[[#This Row],[personeelsnr]],'data hastus'!A:K,11,FALSE)</f>
        <v>#N/A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39673 Steurbaut Henri</v>
      </c>
      <c r="C13" t="str">
        <f>VLOOKUP(bron[[#This Row],[personeelsnr]],'data hastus'!$A:$C,2,0)</f>
        <v>Steurbaut</v>
      </c>
      <c r="D13" t="str">
        <f>VLOOKUP(bron[[#This Row],[personeelsnr]],'data hastus'!$A:$C,3,0)</f>
        <v>Henri</v>
      </c>
      <c r="E13" t="str">
        <f>VLOOKUP(bron[[#This Row],[personeelsnr]],'data hastus'!A:K,11,FALSE)</f>
        <v>Els Vanhoe</v>
      </c>
      <c r="F13">
        <v>5</v>
      </c>
    </row>
    <row r="14" spans="1:6" x14ac:dyDescent="0.25">
      <c r="A14">
        <v>29179</v>
      </c>
      <c r="B14" t="str">
        <f>_xlfn.CONCAT(bron[[#This Row],[personeelsnr]]," ",C14," ",D14)</f>
        <v>12819 Van Eenaeme David</v>
      </c>
      <c r="C14" t="str">
        <f>VLOOKUP(bron[[#This Row],[personeelsnr]],'data hastus'!$A:$C,2,0)</f>
        <v>Van Eenaeme</v>
      </c>
      <c r="D14" t="str">
        <f>VLOOKUP(bron[[#This Row],[personeelsnr]],'data hastus'!$A:$C,3,0)</f>
        <v>David</v>
      </c>
      <c r="E14" t="str">
        <f>VLOOKUP(bron[[#This Row],[personeelsnr]],'data hastus'!A:K,11,FALSE)</f>
        <v>Bart Van Der Beken</v>
      </c>
      <c r="F14">
        <v>5</v>
      </c>
    </row>
    <row r="15" spans="1:6" x14ac:dyDescent="0.25">
      <c r="A15">
        <v>37662</v>
      </c>
      <c r="B15" t="str">
        <f>_xlfn.CONCAT(bron[[#This Row],[personeelsnr]]," ",C15," ",D15)</f>
        <v>23918 D'Haeyere Bernard</v>
      </c>
      <c r="C15" t="str">
        <f>VLOOKUP(bron[[#This Row],[personeelsnr]],'data hastus'!$A:$C,2,0)</f>
        <v>D'Haeyere</v>
      </c>
      <c r="D15" t="str">
        <f>VLOOKUP(bron[[#This Row],[personeelsnr]],'data hastus'!$A:$C,3,0)</f>
        <v>Bernard</v>
      </c>
      <c r="E15" t="str">
        <f>VLOOKUP(bron[[#This Row],[personeelsnr]],'data hastus'!A:K,11,FALSE)</f>
        <v>Els Vanhoe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11213 De Plus Gunter</v>
      </c>
      <c r="C16" t="str">
        <f>VLOOKUP(bron[[#This Row],[personeelsnr]],'data hastus'!$A:$C,2,0)</f>
        <v>De Plus</v>
      </c>
      <c r="D16" t="str">
        <f>VLOOKUP(bron[[#This Row],[personeelsnr]],'data hastus'!$A:$C,3,0)</f>
        <v>Gunter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41162 Hoeckman Jeroen</v>
      </c>
      <c r="C17" t="str">
        <f>VLOOKUP(bron[[#This Row],[personeelsnr]],'data hastus'!$A:$C,2,0)</f>
        <v>Hoeckman</v>
      </c>
      <c r="D17" t="str">
        <f>VLOOKUP(bron[[#This Row],[personeelsnr]],'data hastus'!$A:$C,3,0)</f>
        <v>Jeroen</v>
      </c>
      <c r="E17" t="str">
        <f>VLOOKUP(bron[[#This Row],[personeelsnr]],'data hastus'!A:K,11,FALSE)</f>
        <v>Dominique De Clercq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39581 Vandenhaute Linus</v>
      </c>
      <c r="C18" t="str">
        <f>VLOOKUP(bron[[#This Row],[personeelsnr]],'data hastus'!$A:$C,2,0)</f>
        <v>Vandenhaute</v>
      </c>
      <c r="D18" t="str">
        <f>VLOOKUP(bron[[#This Row],[personeelsnr]],'data hastus'!$A:$C,3,0)</f>
        <v>Linus</v>
      </c>
      <c r="E18" t="str">
        <f>VLOOKUP(bron[[#This Row],[personeelsnr]],'data hastus'!A:K,11,FALSE)</f>
        <v>Els Dewulf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35397 Minbari Ako</v>
      </c>
      <c r="C19" t="str">
        <f>VLOOKUP(bron[[#This Row],[personeelsnr]],'data hastus'!$A:$C,2,0)</f>
        <v>Minbari</v>
      </c>
      <c r="D19" t="str">
        <f>VLOOKUP(bron[[#This Row],[personeelsnr]],'data hastus'!$A:$C,3,0)</f>
        <v>Ako</v>
      </c>
      <c r="E19" t="str">
        <f>VLOOKUP(bron[[#This Row],[personeelsnr]],'data hastus'!A:K,11,FALSE)</f>
        <v>Lucie Vande Velde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41137 De smet Dirk</v>
      </c>
      <c r="C20" t="str">
        <f>VLOOKUP(bron[[#This Row],[personeelsnr]],'data hastus'!$A:$C,2,0)</f>
        <v>De smet</v>
      </c>
      <c r="D20" t="str">
        <f>VLOOKUP(bron[[#This Row],[personeelsnr]],'data hastus'!$A:$C,3,0)</f>
        <v>Dirk</v>
      </c>
      <c r="E20" t="str">
        <f>VLOOKUP(bron[[#This Row],[personeelsnr]],'data hastus'!A:K,11,FALSE)</f>
        <v>Dominique De Clercq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26331 Van Semmertier Pascal</v>
      </c>
      <c r="C21" t="str">
        <f>VLOOKUP(bron[[#This Row],[personeelsnr]],'data hastus'!$A:$C,2,0)</f>
        <v>Van Semmertier</v>
      </c>
      <c r="D21" t="str">
        <f>VLOOKUP(bron[[#This Row],[personeelsnr]],'data hastus'!$A:$C,3,0)</f>
        <v>Pascal</v>
      </c>
      <c r="E21" t="str">
        <f>VLOOKUP(bron[[#This Row],[personeelsnr]],'data hastus'!A:K,11,FALSE)</f>
        <v>Bart Van Der Beken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30271 Bracke Jeroen</v>
      </c>
      <c r="C22" t="str">
        <f>VLOOKUP(bron[[#This Row],[personeelsnr]],'data hastus'!$A:$C,2,0)</f>
        <v>Bracke</v>
      </c>
      <c r="D22" t="str">
        <f>VLOOKUP(bron[[#This Row],[personeelsnr]],'data hastus'!$A:$C,3,0)</f>
        <v>Jeroen</v>
      </c>
      <c r="E22" t="str">
        <f>VLOOKUP(bron[[#This Row],[personeelsnr]],'data hastus'!A:K,11,FALSE)</f>
        <v>Els Dewulf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12684 Van Den Bossche Martine</v>
      </c>
      <c r="C23" t="str">
        <f>VLOOKUP(bron[[#This Row],[personeelsnr]],'data hastus'!$A:$C,2,0)</f>
        <v>Van Den Bossche</v>
      </c>
      <c r="D23" t="str">
        <f>VLOOKUP(bron[[#This Row],[personeelsnr]],'data hastus'!$A:$C,3,0)</f>
        <v>Martine</v>
      </c>
      <c r="E23" t="str">
        <f>VLOOKUP(bron[[#This Row],[personeelsnr]],'data hastus'!A:K,11,FALSE)</f>
        <v>Els Vanhoe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19917 Vandevyvere Frank</v>
      </c>
      <c r="C24" t="str">
        <f>VLOOKUP(bron[[#This Row],[personeelsnr]],'data hastus'!$A:$C,2,0)</f>
        <v>Vandevyvere</v>
      </c>
      <c r="D24" t="str">
        <f>VLOOKUP(bron[[#This Row],[personeelsnr]],'data hastus'!$A:$C,3,0)</f>
        <v>Frank</v>
      </c>
      <c r="E24" t="str">
        <f>VLOOKUP(bron[[#This Row],[personeelsnr]],'data hastus'!A:K,11,FALSE)</f>
        <v>Bart Van Der Beken</v>
      </c>
      <c r="F24">
        <v>3</v>
      </c>
    </row>
    <row r="25" spans="1:6" x14ac:dyDescent="0.25">
      <c r="A25">
        <v>40138</v>
      </c>
      <c r="B25" t="str">
        <f>_xlfn.CONCAT(bron[[#This Row],[personeelsnr]]," ",C25," ",D25)</f>
        <v>36577 De Smet Martine</v>
      </c>
      <c r="C25" t="str">
        <f>VLOOKUP(bron[[#This Row],[personeelsnr]],'data hastus'!$A:$C,2,0)</f>
        <v>De Smet</v>
      </c>
      <c r="D25" t="str">
        <f>VLOOKUP(bron[[#This Row],[personeelsnr]],'data hastus'!$A:$C,3,0)</f>
        <v>Martine</v>
      </c>
      <c r="E25" t="str">
        <f>VLOOKUP(bron[[#This Row],[personeelsnr]],'data hastus'!A:K,11,FALSE)</f>
        <v>Els Dewulf</v>
      </c>
      <c r="F25">
        <v>3</v>
      </c>
    </row>
    <row r="26" spans="1:6" x14ac:dyDescent="0.25">
      <c r="A26">
        <v>40223</v>
      </c>
      <c r="B26" t="str">
        <f>_xlfn.CONCAT(bron[[#This Row],[personeelsnr]]," ",C26," ",D26)</f>
        <v>36428 Abdi Shaiye Rashid</v>
      </c>
      <c r="C26" t="str">
        <f>VLOOKUP(bron[[#This Row],[personeelsnr]],'data hastus'!$A:$C,2,0)</f>
        <v>Abdi Shaiye</v>
      </c>
      <c r="D26" t="str">
        <f>VLOOKUP(bron[[#This Row],[personeelsnr]],'data hastus'!$A:$C,3,0)</f>
        <v>Rashid</v>
      </c>
      <c r="E26" t="str">
        <f>VLOOKUP(bron[[#This Row],[personeelsnr]],'data hastus'!A:K,11,FALSE)</f>
        <v>Lucie Vande Velde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37936 Detaeye Alexander</v>
      </c>
      <c r="C27" t="str">
        <f>VLOOKUP(bron[[#This Row],[personeelsnr]],'data hastus'!$A:$C,2,0)</f>
        <v>Detaeye</v>
      </c>
      <c r="D27" t="str">
        <f>VLOOKUP(bron[[#This Row],[personeelsnr]],'data hastus'!$A:$C,3,0)</f>
        <v>Alexander</v>
      </c>
      <c r="E27" t="str">
        <f>VLOOKUP(bron[[#This Row],[personeelsnr]],'data hastus'!A:K,11,FALSE)</f>
        <v>Steven Storm</v>
      </c>
      <c r="F27">
        <v>3</v>
      </c>
    </row>
    <row r="28" spans="1:6" x14ac:dyDescent="0.25">
      <c r="A28">
        <v>22240</v>
      </c>
      <c r="B28" t="str">
        <f>_xlfn.CONCAT(bron[[#This Row],[personeelsnr]]," ",C28," ",D28)</f>
        <v>40856 Neissi Sadegh</v>
      </c>
      <c r="C28" t="str">
        <f>VLOOKUP(bron[[#This Row],[personeelsnr]],'data hastus'!$A:$C,2,0)</f>
        <v>Neissi</v>
      </c>
      <c r="D28" t="str">
        <f>VLOOKUP(bron[[#This Row],[personeelsnr]],'data hastus'!$A:$C,3,0)</f>
        <v>Sadegh</v>
      </c>
      <c r="E28" t="str">
        <f>VLOOKUP(bron[[#This Row],[personeelsnr]],'data hastus'!A:K,11,FALSE)</f>
        <v>Kenneth De Rick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31668 Weemhof Maurice</v>
      </c>
      <c r="C29" t="str">
        <f>VLOOKUP(bron[[#This Row],[personeelsnr]],'data hastus'!$A:$C,2,0)</f>
        <v>Weemhof</v>
      </c>
      <c r="D29" t="str">
        <f>VLOOKUP(bron[[#This Row],[personeelsnr]],'data hastus'!$A:$C,3,0)</f>
        <v>Maurice</v>
      </c>
      <c r="E29" t="str">
        <f>VLOOKUP(bron[[#This Row],[personeelsnr]],'data hastus'!A:K,11,FALSE)</f>
        <v>Dominique De Clercq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12684 Van Den Bossche Martine</v>
      </c>
      <c r="C30" t="str">
        <f>VLOOKUP(bron[[#This Row],[personeelsnr]],'data hastus'!$A:$C,2,0)</f>
        <v>Van Den Bossche</v>
      </c>
      <c r="D30" t="str">
        <f>VLOOKUP(bron[[#This Row],[personeelsnr]],'data hastus'!$A:$C,3,0)</f>
        <v>Martine</v>
      </c>
      <c r="E30" t="str">
        <f>VLOOKUP(bron[[#This Row],[personeelsnr]],'data hastus'!A:K,11,FALSE)</f>
        <v>Els Vanhoe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40362 Kuru Cetin</v>
      </c>
      <c r="C31" t="str">
        <f>VLOOKUP(bron[[#This Row],[personeelsnr]],'data hastus'!$A:$C,2,0)</f>
        <v>Kuru</v>
      </c>
      <c r="D31" t="str">
        <f>VLOOKUP(bron[[#This Row],[personeelsnr]],'data hastus'!$A:$C,3,0)</f>
        <v>Cetin</v>
      </c>
      <c r="E31" t="str">
        <f>VLOOKUP(bron[[#This Row],[personeelsnr]],'data hastus'!A:K,11,FALSE)</f>
        <v>Kenneth De Rick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32002 Hasni Helmi</v>
      </c>
      <c r="C32" t="str">
        <f>VLOOKUP(bron[[#This Row],[personeelsnr]],'data hastus'!$A:$C,2,0)</f>
        <v>Hasni</v>
      </c>
      <c r="D32" t="str">
        <f>VLOOKUP(bron[[#This Row],[personeelsnr]],'data hastus'!$A:$C,3,0)</f>
        <v>Helmi</v>
      </c>
      <c r="E32" t="str">
        <f>VLOOKUP(bron[[#This Row],[personeelsnr]],'data hastus'!A:K,11,FALSE)</f>
        <v>Steven Storm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22877 Goossens Gunther</v>
      </c>
      <c r="C33" t="str">
        <f>VLOOKUP(bron[[#This Row],[personeelsnr]],'data hastus'!$A:$C,2,0)</f>
        <v>Goossens</v>
      </c>
      <c r="D33" t="str">
        <f>VLOOKUP(bron[[#This Row],[personeelsnr]],'data hastus'!$A:$C,3,0)</f>
        <v>Gunther</v>
      </c>
      <c r="E33" t="str">
        <f>VLOOKUP(bron[[#This Row],[personeelsnr]],'data hastus'!A:K,11,FALSE)</f>
        <v>Els Dewulf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4720 De Roo Jo</v>
      </c>
      <c r="C34" t="str">
        <f>VLOOKUP(bron[[#This Row],[personeelsnr]],'data hastus'!$A:$C,2,0)</f>
        <v>De Roo</v>
      </c>
      <c r="D34" t="str">
        <f>VLOOKUP(bron[[#This Row],[personeelsnr]],'data hastus'!$A:$C,3,0)</f>
        <v>Jo</v>
      </c>
      <c r="E34" t="str">
        <f>VLOOKUP(bron[[#This Row],[personeelsnr]],'data hastus'!A:K,11,FALSE)</f>
        <v>Els Vanhoe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18987 De Geyter Dolly</v>
      </c>
      <c r="C35" t="str">
        <f>VLOOKUP(bron[[#This Row],[personeelsnr]],'data hastus'!$A:$C,2,0)</f>
        <v>De Geyter</v>
      </c>
      <c r="D35" t="str">
        <f>VLOOKUP(bron[[#This Row],[personeelsnr]],'data hastus'!$A:$C,3,0)</f>
        <v>Dolly</v>
      </c>
      <c r="E35" t="str">
        <f>VLOOKUP(bron[[#This Row],[personeelsnr]],'data hastus'!A:K,11,FALSE)</f>
        <v>Steven Storm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31776 Famelaer Steve</v>
      </c>
      <c r="C36" t="str">
        <f>VLOOKUP(bron[[#This Row],[personeelsnr]],'data hastus'!$A:$C,2,0)</f>
        <v>Famelaer</v>
      </c>
      <c r="D36" t="str">
        <f>VLOOKUP(bron[[#This Row],[personeelsnr]],'data hastus'!$A:$C,3,0)</f>
        <v>Steve</v>
      </c>
      <c r="E36" t="str">
        <f>VLOOKUP(bron[[#This Row],[personeelsnr]],'data hastus'!A:K,11,FALSE)</f>
        <v>Dominique De Clercq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37439 Demirkazik Mustafa</v>
      </c>
      <c r="C37" t="str">
        <f>VLOOKUP(bron[[#This Row],[personeelsnr]],'data hastus'!$A:$C,2,0)</f>
        <v>Demirkazik</v>
      </c>
      <c r="D37" t="str">
        <f>VLOOKUP(bron[[#This Row],[personeelsnr]],'data hastus'!$A:$C,3,0)</f>
        <v>Mustafa</v>
      </c>
      <c r="E37" t="str">
        <f>VLOOKUP(bron[[#This Row],[personeelsnr]],'data hastus'!A:K,11,FALSE)</f>
        <v>Kenneth De Rick</v>
      </c>
      <c r="F37">
        <v>3</v>
      </c>
    </row>
    <row r="38" spans="1:6" x14ac:dyDescent="0.25">
      <c r="A38">
        <v>31092</v>
      </c>
      <c r="B38" t="e">
        <f>_xlfn.CONCAT(bron[[#This Row],[personeelsnr]]," ",C38," ",D38)</f>
        <v>#N/A</v>
      </c>
      <c r="C38" t="e">
        <f>VLOOKUP(bron[[#This Row],[personeelsnr]],'data hastus'!$A:$C,2,0)</f>
        <v>#N/A</v>
      </c>
      <c r="D38" t="e">
        <f>VLOOKUP(bron[[#This Row],[personeelsnr]],'data hastus'!$A:$C,3,0)</f>
        <v>#N/A</v>
      </c>
      <c r="E38" t="e">
        <f>VLOOKUP(bron[[#This Row],[personeelsnr]],'data hastus'!A:K,11,FALSE)</f>
        <v>#N/A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40939 Cisse Sayon</v>
      </c>
      <c r="C39" t="str">
        <f>VLOOKUP(bron[[#This Row],[personeelsnr]],'data hastus'!$A:$C,2,0)</f>
        <v>Cisse</v>
      </c>
      <c r="D39" t="str">
        <f>VLOOKUP(bron[[#This Row],[personeelsnr]],'data hastus'!$A:$C,3,0)</f>
        <v>Sayon</v>
      </c>
      <c r="E39" t="str">
        <f>VLOOKUP(bron[[#This Row],[personeelsnr]],'data hastus'!A:K,11,FALSE)</f>
        <v>Kenneth De Rick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22416 Bicici Abdul Kadir</v>
      </c>
      <c r="C40" t="str">
        <f>VLOOKUP(bron[[#This Row],[personeelsnr]],'data hastus'!$A:$C,2,0)</f>
        <v>Bicici</v>
      </c>
      <c r="D40" t="str">
        <f>VLOOKUP(bron[[#This Row],[personeelsnr]],'data hastus'!$A:$C,3,0)</f>
        <v>Abdul Kadir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28737 El-Mohamed Mohamed</v>
      </c>
      <c r="C41" t="str">
        <f>VLOOKUP(bron[[#This Row],[personeelsnr]],'data hastus'!$A:$C,2,0)</f>
        <v>El-Mohamed</v>
      </c>
      <c r="D41" t="str">
        <f>VLOOKUP(bron[[#This Row],[personeelsnr]],'data hastus'!$A:$C,3,0)</f>
        <v>Mohamed</v>
      </c>
      <c r="E41" t="str">
        <f>VLOOKUP(bron[[#This Row],[personeelsnr]],'data hastus'!A:K,11,FALSE)</f>
        <v>Lucie Vande Velde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40745 Ivanov Ivan</v>
      </c>
      <c r="C42" t="str">
        <f>VLOOKUP(bron[[#This Row],[personeelsnr]],'data hastus'!$A:$C,2,0)</f>
        <v>Ivanov</v>
      </c>
      <c r="D42" t="str">
        <f>VLOOKUP(bron[[#This Row],[personeelsnr]],'data hastus'!$A:$C,3,0)</f>
        <v>Ivan</v>
      </c>
      <c r="E42" t="str">
        <f>VLOOKUP(bron[[#This Row],[personeelsnr]],'data hastus'!A:K,11,FALSE)</f>
        <v>Bart Van Der Beken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37542 De Tandt Hans</v>
      </c>
      <c r="C43" t="str">
        <f>VLOOKUP(bron[[#This Row],[personeelsnr]],'data hastus'!$A:$C,2,0)</f>
        <v>De Tandt</v>
      </c>
      <c r="D43" t="str">
        <f>VLOOKUP(bron[[#This Row],[personeelsnr]],'data hastus'!$A:$C,3,0)</f>
        <v>Hans</v>
      </c>
      <c r="E43" t="str">
        <f>VLOOKUP(bron[[#This Row],[personeelsnr]],'data hastus'!A:K,11,FALSE)</f>
        <v>Bart Van Der Beken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38648 Uckuyulu Muhammet Emin</v>
      </c>
      <c r="C44" t="str">
        <f>VLOOKUP(bron[[#This Row],[personeelsnr]],'data hastus'!$A:$C,2,0)</f>
        <v>Uckuyulu</v>
      </c>
      <c r="D44" t="str">
        <f>VLOOKUP(bron[[#This Row],[personeelsnr]],'data hastus'!$A:$C,3,0)</f>
        <v>Muhammet Emin</v>
      </c>
      <c r="E44" t="str">
        <f>VLOOKUP(bron[[#This Row],[personeelsnr]],'data hastus'!A:K,11,FALSE)</f>
        <v>Lucie Vande Velde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32528 Benjilali Abdelhak</v>
      </c>
      <c r="C45" t="str">
        <f>VLOOKUP(bron[[#This Row],[personeelsnr]],'data hastus'!$A:$C,2,0)</f>
        <v>Benjilali</v>
      </c>
      <c r="D45" t="str">
        <f>VLOOKUP(bron[[#This Row],[personeelsnr]],'data hastus'!$A:$C,3,0)</f>
        <v>Abdelhak</v>
      </c>
      <c r="E45" t="str">
        <f>VLOOKUP(bron[[#This Row],[personeelsnr]],'data hastus'!A:K,11,FALSE)</f>
        <v>Steven Storm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4419 Maelbrancke Eddy</v>
      </c>
      <c r="C46" t="str">
        <f>VLOOKUP(bron[[#This Row],[personeelsnr]],'data hastus'!$A:$C,2,0)</f>
        <v>Maelbrancke</v>
      </c>
      <c r="D46" t="str">
        <f>VLOOKUP(bron[[#This Row],[personeelsnr]],'data hastus'!$A:$C,3,0)</f>
        <v>Eddy</v>
      </c>
      <c r="E46" t="str">
        <f>VLOOKUP(bron[[#This Row],[personeelsnr]],'data hastus'!A:K,11,FALSE)</f>
        <v>Lucie Vande Velde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21509 De Craemer Kris</v>
      </c>
      <c r="C47" t="str">
        <f>VLOOKUP(bron[[#This Row],[personeelsnr]],'data hastus'!$A:$C,2,0)</f>
        <v>De Craemer</v>
      </c>
      <c r="D47" t="str">
        <f>VLOOKUP(bron[[#This Row],[personeelsnr]],'data hastus'!$A:$C,3,0)</f>
        <v>Kris</v>
      </c>
      <c r="E47" t="str">
        <f>VLOOKUP(bron[[#This Row],[personeelsnr]],'data hastus'!A:K,11,FALSE)</f>
        <v>Dominique De Clercq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39850 Helleputte William</v>
      </c>
      <c r="C48" t="str">
        <f>VLOOKUP(bron[[#This Row],[personeelsnr]],'data hastus'!$A:$C,2,0)</f>
        <v>Helleputte</v>
      </c>
      <c r="D48" t="str">
        <f>VLOOKUP(bron[[#This Row],[personeelsnr]],'data hastus'!$A:$C,3,0)</f>
        <v>William</v>
      </c>
      <c r="E48" t="str">
        <f>VLOOKUP(bron[[#This Row],[personeelsnr]],'data hastus'!A:K,11,FALSE)</f>
        <v>Dominique De Clercq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15088 Laute Dirk</v>
      </c>
      <c r="C49" t="str">
        <f>VLOOKUP(bron[[#This Row],[personeelsnr]],'data hastus'!$A:$C,2,0)</f>
        <v>Laute</v>
      </c>
      <c r="D49" t="str">
        <f>VLOOKUP(bron[[#This Row],[personeelsnr]],'data hastus'!$A:$C,3,0)</f>
        <v>Dirk</v>
      </c>
      <c r="E49" t="str">
        <f>VLOOKUP(bron[[#This Row],[personeelsnr]],'data hastus'!A:K,11,FALSE)</f>
        <v>Els Vanhoe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40223 Teetaert Billy</v>
      </c>
      <c r="C50" t="str">
        <f>VLOOKUP(bron[[#This Row],[personeelsnr]],'data hastus'!$A:$C,2,0)</f>
        <v>Teetaert</v>
      </c>
      <c r="D50" t="str">
        <f>VLOOKUP(bron[[#This Row],[personeelsnr]],'data hastus'!$A:$C,3,0)</f>
        <v>Billy</v>
      </c>
      <c r="E50" t="str">
        <f>VLOOKUP(bron[[#This Row],[personeelsnr]],'data hastus'!A:K,11,FALSE)</f>
        <v>Dominique De Clercq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40362 Kuru Cetin</v>
      </c>
      <c r="C51" t="str">
        <f>VLOOKUP(bron[[#This Row],[personeelsnr]],'data hastus'!$A:$C,2,0)</f>
        <v>Kuru</v>
      </c>
      <c r="D51" t="str">
        <f>VLOOKUP(bron[[#This Row],[personeelsnr]],'data hastus'!$A:$C,3,0)</f>
        <v>Cetin</v>
      </c>
      <c r="E51" t="str">
        <f>VLOOKUP(bron[[#This Row],[personeelsnr]],'data hastus'!A:K,11,FALSE)</f>
        <v>Kenneth De Rick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15412 Dhondt Frank</v>
      </c>
      <c r="C52" t="str">
        <f>VLOOKUP(bron[[#This Row],[personeelsnr]],'data hastus'!$A:$C,2,0)</f>
        <v>Dhondt</v>
      </c>
      <c r="D52" t="str">
        <f>VLOOKUP(bron[[#This Row],[personeelsnr]],'data hastus'!$A:$C,3,0)</f>
        <v>Frank</v>
      </c>
      <c r="E52" t="str">
        <f>VLOOKUP(bron[[#This Row],[personeelsnr]],'data hastus'!A:K,11,FALSE)</f>
        <v>Bart Van Der Beken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38634 Asskale Zouhir</v>
      </c>
      <c r="C53" t="str">
        <f>VLOOKUP(bron[[#This Row],[personeelsnr]],'data hastus'!$A:$C,2,0)</f>
        <v>Asskale</v>
      </c>
      <c r="D53" t="str">
        <f>VLOOKUP(bron[[#This Row],[personeelsnr]],'data hastus'!$A:$C,3,0)</f>
        <v>Zouhir</v>
      </c>
      <c r="E53" t="str">
        <f>VLOOKUP(bron[[#This Row],[personeelsnr]],'data hastus'!A:K,11,FALSE)</f>
        <v>Bart Van Der Beken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38633 Stomphorst Mattanja</v>
      </c>
      <c r="C54" t="str">
        <f>VLOOKUP(bron[[#This Row],[personeelsnr]],'data hastus'!$A:$C,2,0)</f>
        <v>Stomphorst</v>
      </c>
      <c r="D54" t="str">
        <f>VLOOKUP(bron[[#This Row],[personeelsnr]],'data hastus'!$A:$C,3,0)</f>
        <v>Mattanja</v>
      </c>
      <c r="E54" t="str">
        <f>VLOOKUP(bron[[#This Row],[personeelsnr]],'data hastus'!A:K,11,FALSE)</f>
        <v>Els Dewulf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19917 Vandevyvere Frank</v>
      </c>
      <c r="C55" t="str">
        <f>VLOOKUP(bron[[#This Row],[personeelsnr]],'data hastus'!$A:$C,2,0)</f>
        <v>Vandevyvere</v>
      </c>
      <c r="D55" t="str">
        <f>VLOOKUP(bron[[#This Row],[personeelsnr]],'data hastus'!$A:$C,3,0)</f>
        <v>Frank</v>
      </c>
      <c r="E55" t="str">
        <f>VLOOKUP(bron[[#This Row],[personeelsnr]],'data hastus'!A:K,11,FALSE)</f>
        <v>Bart Van Der Beken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40478 Hashimi Ali Mir</v>
      </c>
      <c r="C56" t="str">
        <f>VLOOKUP(bron[[#This Row],[personeelsnr]],'data hastus'!$A:$C,2,0)</f>
        <v>Hashimi</v>
      </c>
      <c r="D56" t="str">
        <f>VLOOKUP(bron[[#This Row],[personeelsnr]],'data hastus'!$A:$C,3,0)</f>
        <v>Ali Mir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38808 Wasen Jens</v>
      </c>
      <c r="C57" t="str">
        <f>VLOOKUP(bron[[#This Row],[personeelsnr]],'data hastus'!$A:$C,2,0)</f>
        <v>Wasen</v>
      </c>
      <c r="D57" t="str">
        <f>VLOOKUP(bron[[#This Row],[personeelsnr]],'data hastus'!$A:$C,3,0)</f>
        <v>Jens</v>
      </c>
      <c r="E57" t="str">
        <f>VLOOKUP(bron[[#This Row],[personeelsnr]],'data hastus'!A:K,11,FALSE)</f>
        <v>Els Dewulf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41690 Van de Winckel Kelly</v>
      </c>
      <c r="C58" t="str">
        <f>VLOOKUP(bron[[#This Row],[personeelsnr]],'data hastus'!$A:$C,2,0)</f>
        <v>Van de Winckel</v>
      </c>
      <c r="D58" t="str">
        <f>VLOOKUP(bron[[#This Row],[personeelsnr]],'data hastus'!$A:$C,3,0)</f>
        <v>Kelly</v>
      </c>
      <c r="E58" t="str">
        <f>VLOOKUP(bron[[#This Row],[personeelsnr]],'data hastus'!A:K,11,FALSE)</f>
        <v>Els Dewulf</v>
      </c>
      <c r="F58">
        <v>2</v>
      </c>
    </row>
    <row r="59" spans="1:6" x14ac:dyDescent="0.25">
      <c r="A59">
        <v>39829</v>
      </c>
      <c r="B59" t="str">
        <f>_xlfn.CONCAT(bron[[#This Row],[personeelsnr]]," ",C59," ",D59)</f>
        <v>36624 De Meulenaere Kurt</v>
      </c>
      <c r="C59" t="str">
        <f>VLOOKUP(bron[[#This Row],[personeelsnr]],'data hastus'!$A:$C,2,0)</f>
        <v>De Meulenaere</v>
      </c>
      <c r="D59" t="str">
        <f>VLOOKUP(bron[[#This Row],[personeelsnr]],'data hastus'!$A:$C,3,0)</f>
        <v>Kurt</v>
      </c>
      <c r="E59" t="str">
        <f>VLOOKUP(bron[[#This Row],[personeelsnr]],'data hastus'!A:K,11,FALSE)</f>
        <v>Dominique De Clercq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36426 Mohamed Yassin Abdulhamid</v>
      </c>
      <c r="C60" t="str">
        <f>VLOOKUP(bron[[#This Row],[personeelsnr]],'data hastus'!$A:$C,2,0)</f>
        <v>Mohamed Yassin</v>
      </c>
      <c r="D60" t="str">
        <f>VLOOKUP(bron[[#This Row],[personeelsnr]],'data hastus'!$A:$C,3,0)</f>
        <v>Abdulhamid</v>
      </c>
      <c r="E60" t="str">
        <f>VLOOKUP(bron[[#This Row],[personeelsnr]],'data hastus'!A:K,11,FALSE)</f>
        <v>Bart Van Der Beken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26847 De Meester David</v>
      </c>
      <c r="C61" t="str">
        <f>VLOOKUP(bron[[#This Row],[personeelsnr]],'data hastus'!$A:$C,2,0)</f>
        <v>De Meester</v>
      </c>
      <c r="D61" t="str">
        <f>VLOOKUP(bron[[#This Row],[personeelsnr]],'data hastus'!$A:$C,3,0)</f>
        <v>David</v>
      </c>
      <c r="E61" t="str">
        <f>VLOOKUP(bron[[#This Row],[personeelsnr]],'data hastus'!A:K,11,FALSE)</f>
        <v>Bart Van Der Beken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41721 Nolf Philippe</v>
      </c>
      <c r="C62" t="str">
        <f>VLOOKUP(bron[[#This Row],[personeelsnr]],'data hastus'!$A:$C,2,0)</f>
        <v>Nolf</v>
      </c>
      <c r="D62" t="str">
        <f>VLOOKUP(bron[[#This Row],[personeelsnr]],'data hastus'!$A:$C,3,0)</f>
        <v>Philippe</v>
      </c>
      <c r="E62" t="str">
        <f>VLOOKUP(bron[[#This Row],[personeelsnr]],'data hastus'!A:K,11,FALSE)</f>
        <v>Kenneth De Rick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36569 Stroobandt Jonas</v>
      </c>
      <c r="C63" t="str">
        <f>VLOOKUP(bron[[#This Row],[personeelsnr]],'data hastus'!$A:$C,2,0)</f>
        <v>Stroobandt</v>
      </c>
      <c r="D63" t="str">
        <f>VLOOKUP(bron[[#This Row],[personeelsnr]],'data hastus'!$A:$C,3,0)</f>
        <v>Jonas</v>
      </c>
      <c r="E63" t="str">
        <f>VLOOKUP(bron[[#This Row],[personeelsnr]],'data hastus'!A:K,11,FALSE)</f>
        <v>Els Vanhoe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26695 Lippens Miguel</v>
      </c>
      <c r="C64" t="str">
        <f>VLOOKUP(bron[[#This Row],[personeelsnr]],'data hastus'!$A:$C,2,0)</f>
        <v>Lippens</v>
      </c>
      <c r="D64" t="str">
        <f>VLOOKUP(bron[[#This Row],[personeelsnr]],'data hastus'!$A:$C,3,0)</f>
        <v>Miguel</v>
      </c>
      <c r="E64" t="str">
        <f>VLOOKUP(bron[[#This Row],[personeelsnr]],'data hastus'!A:K,11,FALSE)</f>
        <v>Christoff Rotty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31150 Oueslati Mohamed Ali</v>
      </c>
      <c r="C65" t="str">
        <f>VLOOKUP(bron[[#This Row],[personeelsnr]],'data hastus'!$A:$C,2,0)</f>
        <v>Oueslati</v>
      </c>
      <c r="D65" t="str">
        <f>VLOOKUP(bron[[#This Row],[personeelsnr]],'data hastus'!$A:$C,3,0)</f>
        <v>Mohamed Ali</v>
      </c>
      <c r="E65" t="str">
        <f>VLOOKUP(bron[[#This Row],[personeelsnr]],'data hastus'!A:K,11,FALSE)</f>
        <v>Kenneth De Rick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7746 Aelterman Didier</v>
      </c>
      <c r="C66" t="str">
        <f>VLOOKUP(bron[[#This Row],[personeelsnr]],'data hastus'!$A:$C,2,0)</f>
        <v>Aelterman</v>
      </c>
      <c r="D66" t="str">
        <f>VLOOKUP(bron[[#This Row],[personeelsnr]],'data hastus'!$A:$C,3,0)</f>
        <v>Didier</v>
      </c>
      <c r="E66" t="str">
        <f>VLOOKUP(bron[[#This Row],[personeelsnr]],'data hastus'!A:K,11,FALSE)</f>
        <v>Christoff Rotty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36512 Van Herreweghe Branco</v>
      </c>
      <c r="C67" t="str">
        <f>VLOOKUP(bron[[#This Row],[personeelsnr]],'data hastus'!$A:$C,2,0)</f>
        <v>Van Herreweghe</v>
      </c>
      <c r="D67" t="str">
        <f>VLOOKUP(bron[[#This Row],[personeelsnr]],'data hastus'!$A:$C,3,0)</f>
        <v>Branco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40645 Bytebier Jason</v>
      </c>
      <c r="C68" t="str">
        <f>VLOOKUP(bron[[#This Row],[personeelsnr]],'data hastus'!$A:$C,2,0)</f>
        <v>Bytebier</v>
      </c>
      <c r="D68" t="str">
        <f>VLOOKUP(bron[[#This Row],[personeelsnr]],'data hastus'!$A:$C,3,0)</f>
        <v>Jason</v>
      </c>
      <c r="E68" t="str">
        <f>VLOOKUP(bron[[#This Row],[personeelsnr]],'data hastus'!A:K,11,FALSE)</f>
        <v>Els Dewulf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37208 Catar Gökhan</v>
      </c>
      <c r="C69" t="str">
        <f>VLOOKUP(bron[[#This Row],[personeelsnr]],'data hastus'!$A:$C,2,0)</f>
        <v>Catar</v>
      </c>
      <c r="D69" t="str">
        <f>VLOOKUP(bron[[#This Row],[personeelsnr]],'data hastus'!$A:$C,3,0)</f>
        <v>Gökhan</v>
      </c>
      <c r="E69" t="str">
        <f>VLOOKUP(bron[[#This Row],[personeelsnr]],'data hastus'!A:K,11,FALSE)</f>
        <v>Kenneth De Rick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36627 Dobbelaere David</v>
      </c>
      <c r="C70" t="str">
        <f>VLOOKUP(bron[[#This Row],[personeelsnr]],'data hastus'!$A:$C,2,0)</f>
        <v>Dobbelaere</v>
      </c>
      <c r="D70" t="str">
        <f>VLOOKUP(bron[[#This Row],[personeelsnr]],'data hastus'!$A:$C,3,0)</f>
        <v>David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41032 Rocabado Hinojosa Lukas</v>
      </c>
      <c r="C71" t="str">
        <f>VLOOKUP(bron[[#This Row],[personeelsnr]],'data hastus'!$A:$C,2,0)</f>
        <v>Rocabado Hinojosa</v>
      </c>
      <c r="D71" t="str">
        <f>VLOOKUP(bron[[#This Row],[personeelsnr]],'data hastus'!$A:$C,3,0)</f>
        <v>Lukas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41032 Rocabado Hinojosa Lukas</v>
      </c>
      <c r="C72" t="str">
        <f>VLOOKUP(bron[[#This Row],[personeelsnr]],'data hastus'!$A:$C,2,0)</f>
        <v>Rocabado Hinojosa</v>
      </c>
      <c r="D72" t="str">
        <f>VLOOKUP(bron[[#This Row],[personeelsnr]],'data hastus'!$A:$C,3,0)</f>
        <v>Lukas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38481 Sari Devrim</v>
      </c>
      <c r="C73" t="str">
        <f>VLOOKUP(bron[[#This Row],[personeelsnr]],'data hastus'!$A:$C,2,0)</f>
        <v>Sari</v>
      </c>
      <c r="D73" t="str">
        <f>VLOOKUP(bron[[#This Row],[personeelsnr]],'data hastus'!$A:$C,3,0)</f>
        <v>Devrim</v>
      </c>
      <c r="E73" t="str">
        <f>VLOOKUP(bron[[#This Row],[personeelsnr]],'data hastus'!A:K,11,FALSE)</f>
        <v>Kenneth De Rick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36154 De Clercq Sven</v>
      </c>
      <c r="C74" t="str">
        <f>VLOOKUP(bron[[#This Row],[personeelsnr]],'data hastus'!$A:$C,2,0)</f>
        <v>De Clercq</v>
      </c>
      <c r="D74" t="str">
        <f>VLOOKUP(bron[[#This Row],[personeelsnr]],'data hastus'!$A:$C,3,0)</f>
        <v>Sven</v>
      </c>
      <c r="E74" t="str">
        <f>VLOOKUP(bron[[#This Row],[personeelsnr]],'data hastus'!A:K,11,FALSE)</f>
        <v>Lucie Vande Velde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41064 Ardic Atilla</v>
      </c>
      <c r="C75" t="str">
        <f>VLOOKUP(bron[[#This Row],[personeelsnr]],'data hastus'!$A:$C,2,0)</f>
        <v>Ardic</v>
      </c>
      <c r="D75" t="str">
        <f>VLOOKUP(bron[[#This Row],[personeelsnr]],'data hastus'!$A:$C,3,0)</f>
        <v>Atilla</v>
      </c>
      <c r="E75" t="str">
        <f>VLOOKUP(bron[[#This Row],[personeelsnr]],'data hastus'!A:K,11,FALSE)</f>
        <v>Dominique De Clercq</v>
      </c>
      <c r="F75">
        <v>2</v>
      </c>
    </row>
    <row r="76" spans="1:6" x14ac:dyDescent="0.25">
      <c r="A76">
        <v>39889</v>
      </c>
      <c r="B76" t="str">
        <f>_xlfn.CONCAT(bron[[#This Row],[personeelsnr]]," ",C76," ",D76)</f>
        <v>41246 Van Holsbeeck Yana</v>
      </c>
      <c r="C76" t="str">
        <f>VLOOKUP(bron[[#This Row],[personeelsnr]],'data hastus'!$A:$C,2,0)</f>
        <v>Van Holsbeeck</v>
      </c>
      <c r="D76" t="str">
        <f>VLOOKUP(bron[[#This Row],[personeelsnr]],'data hastus'!$A:$C,3,0)</f>
        <v>Yana</v>
      </c>
      <c r="E76" t="str">
        <f>VLOOKUP(bron[[#This Row],[personeelsnr]],'data hastus'!A:K,11,FALSE)</f>
        <v>Dominique De Clercq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23918 D'Haeyere Bernard</v>
      </c>
      <c r="C77" t="str">
        <f>VLOOKUP(bron[[#This Row],[personeelsnr]],'data hastus'!$A:$C,2,0)</f>
        <v>D'Haeyere</v>
      </c>
      <c r="D77" t="str">
        <f>VLOOKUP(bron[[#This Row],[personeelsnr]],'data hastus'!$A:$C,3,0)</f>
        <v>Bernard</v>
      </c>
      <c r="E77" t="str">
        <f>VLOOKUP(bron[[#This Row],[personeelsnr]],'data hastus'!A:K,11,FALSE)</f>
        <v>Els Vanhoe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40278 Ates Firat</v>
      </c>
      <c r="C78" t="str">
        <f>VLOOKUP(bron[[#This Row],[personeelsnr]],'data hastus'!$A:$C,2,0)</f>
        <v>Ates</v>
      </c>
      <c r="D78" t="str">
        <f>VLOOKUP(bron[[#This Row],[personeelsnr]],'data hastus'!$A:$C,3,0)</f>
        <v>Firat</v>
      </c>
      <c r="E78" t="str">
        <f>VLOOKUP(bron[[#This Row],[personeelsnr]],'data hastus'!A:K,11,FALSE)</f>
        <v>Christoff Rotty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41384 Hillaert Thimo</v>
      </c>
      <c r="C79" t="str">
        <f>VLOOKUP(bron[[#This Row],[personeelsnr]],'data hastus'!$A:$C,2,0)</f>
        <v>Hillaert</v>
      </c>
      <c r="D79" t="str">
        <f>VLOOKUP(bron[[#This Row],[personeelsnr]],'data hastus'!$A:$C,3,0)</f>
        <v>Thimo</v>
      </c>
      <c r="E79" t="str">
        <f>VLOOKUP(bron[[#This Row],[personeelsnr]],'data hastus'!A:K,11,FALSE)</f>
        <v>Christoff Rotty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40036 Karakaya Oguz</v>
      </c>
      <c r="C80" t="str">
        <f>VLOOKUP(bron[[#This Row],[personeelsnr]],'data hastus'!$A:$C,2,0)</f>
        <v>Karakaya</v>
      </c>
      <c r="D80" t="str">
        <f>VLOOKUP(bron[[#This Row],[personeelsnr]],'data hastus'!$A:$C,3,0)</f>
        <v>Oguz</v>
      </c>
      <c r="E80" t="str">
        <f>VLOOKUP(bron[[#This Row],[personeelsnr]],'data hastus'!A:K,11,FALSE)</f>
        <v>Dominique De Clercq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39927 De Wilde Jordy</v>
      </c>
      <c r="C81" t="str">
        <f>VLOOKUP(bron[[#This Row],[personeelsnr]],'data hastus'!$A:$C,2,0)</f>
        <v>De Wilde</v>
      </c>
      <c r="D81" t="str">
        <f>VLOOKUP(bron[[#This Row],[personeelsnr]],'data hastus'!$A:$C,3,0)</f>
        <v>Jordy</v>
      </c>
      <c r="E81" t="str">
        <f>VLOOKUP(bron[[#This Row],[personeelsnr]],'data hastus'!A:K,11,FALSE)</f>
        <v>Christoff Rotty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41619 Bachiri Ousama</v>
      </c>
      <c r="C82" t="str">
        <f>VLOOKUP(bron[[#This Row],[personeelsnr]],'data hastus'!$A:$C,2,0)</f>
        <v>Bachiri</v>
      </c>
      <c r="D82" t="str">
        <f>VLOOKUP(bron[[#This Row],[personeelsnr]],'data hastus'!$A:$C,3,0)</f>
        <v>Ousama</v>
      </c>
      <c r="E82" t="str">
        <f>VLOOKUP(bron[[#This Row],[personeelsnr]],'data hastus'!A:K,11,FALSE)</f>
        <v>Bart Van Der Beken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40856 Neissi Sadegh</v>
      </c>
      <c r="C83" t="str">
        <f>VLOOKUP(bron[[#This Row],[personeelsnr]],'data hastus'!$A:$C,2,0)</f>
        <v>Neissi</v>
      </c>
      <c r="D83" t="str">
        <f>VLOOKUP(bron[[#This Row],[personeelsnr]],'data hastus'!$A:$C,3,0)</f>
        <v>Sadegh</v>
      </c>
      <c r="E83" t="str">
        <f>VLOOKUP(bron[[#This Row],[personeelsnr]],'data hastus'!A:K,11,FALSE)</f>
        <v>Kenneth De Rick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15282 Marinx Kristoff</v>
      </c>
      <c r="C84" t="str">
        <f>VLOOKUP(bron[[#This Row],[personeelsnr]],'data hastus'!$A:$C,2,0)</f>
        <v>Marinx</v>
      </c>
      <c r="D84" t="str">
        <f>VLOOKUP(bron[[#This Row],[personeelsnr]],'data hastus'!$A:$C,3,0)</f>
        <v>Kristoff</v>
      </c>
      <c r="E84" t="str">
        <f>VLOOKUP(bron[[#This Row],[personeelsnr]],'data hastus'!A:K,11,FALSE)</f>
        <v>Kenneth De Rick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15412 Dhondt Frank</v>
      </c>
      <c r="C85" t="str">
        <f>VLOOKUP(bron[[#This Row],[personeelsnr]],'data hastus'!$A:$C,2,0)</f>
        <v>Dhondt</v>
      </c>
      <c r="D85" t="str">
        <f>VLOOKUP(bron[[#This Row],[personeelsnr]],'data hastus'!$A:$C,3,0)</f>
        <v>Frank</v>
      </c>
      <c r="E85" t="str">
        <f>VLOOKUP(bron[[#This Row],[personeelsnr]],'data hastus'!A:K,11,FALSE)</f>
        <v>Bart Van Der Beken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36438 Agil Birol</v>
      </c>
      <c r="C86" t="str">
        <f>VLOOKUP(bron[[#This Row],[personeelsnr]],'data hastus'!$A:$C,2,0)</f>
        <v>Agil</v>
      </c>
      <c r="D86" t="str">
        <f>VLOOKUP(bron[[#This Row],[personeelsnr]],'data hastus'!$A:$C,3,0)</f>
        <v>Birol</v>
      </c>
      <c r="E86" t="str">
        <f>VLOOKUP(bron[[#This Row],[personeelsnr]],'data hastus'!A:K,11,FALSE)</f>
        <v>Bart Van Der Beken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39651 Kallenbach Sunny</v>
      </c>
      <c r="C87" t="str">
        <f>VLOOKUP(bron[[#This Row],[personeelsnr]],'data hastus'!$A:$C,2,0)</f>
        <v>Kallenbach</v>
      </c>
      <c r="D87" t="str">
        <f>VLOOKUP(bron[[#This Row],[personeelsnr]],'data hastus'!$A:$C,3,0)</f>
        <v>Sunny</v>
      </c>
      <c r="E87" t="str">
        <f>VLOOKUP(bron[[#This Row],[personeelsnr]],'data hastus'!A:K,11,FALSE)</f>
        <v>Kenneth De Rick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40278 Ates Firat</v>
      </c>
      <c r="C88" t="str">
        <f>VLOOKUP(bron[[#This Row],[personeelsnr]],'data hastus'!$A:$C,2,0)</f>
        <v>Ates</v>
      </c>
      <c r="D88" t="str">
        <f>VLOOKUP(bron[[#This Row],[personeelsnr]],'data hastus'!$A:$C,3,0)</f>
        <v>Firat</v>
      </c>
      <c r="E88" t="str">
        <f>VLOOKUP(bron[[#This Row],[personeelsnr]],'data hastus'!A:K,11,FALSE)</f>
        <v>Christoff Rotty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41482 Özdemir Osman</v>
      </c>
      <c r="C89" t="str">
        <f>VLOOKUP(bron[[#This Row],[personeelsnr]],'data hastus'!$A:$C,2,0)</f>
        <v>Özdemir</v>
      </c>
      <c r="D89" t="str">
        <f>VLOOKUP(bron[[#This Row],[personeelsnr]],'data hastus'!$A:$C,3,0)</f>
        <v>Osman</v>
      </c>
      <c r="E89" t="str">
        <f>VLOOKUP(bron[[#This Row],[personeelsnr]],'data hastus'!A:K,11,FALSE)</f>
        <v>Bart Van Der Beken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41671 Hasan Salem</v>
      </c>
      <c r="C90" t="str">
        <f>VLOOKUP(bron[[#This Row],[personeelsnr]],'data hastus'!$A:$C,2,0)</f>
        <v>Hasan</v>
      </c>
      <c r="D90" t="str">
        <f>VLOOKUP(bron[[#This Row],[personeelsnr]],'data hastus'!$A:$C,3,0)</f>
        <v>Salem</v>
      </c>
      <c r="E90" t="str">
        <f>VLOOKUP(bron[[#This Row],[personeelsnr]],'data hastus'!A:K,11,FALSE)</f>
        <v>Bart Van Der Beken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41710 Ghani Fazal</v>
      </c>
      <c r="C91" t="str">
        <f>VLOOKUP(bron[[#This Row],[personeelsnr]],'data hastus'!$A:$C,2,0)</f>
        <v>Ghani</v>
      </c>
      <c r="D91" t="str">
        <f>VLOOKUP(bron[[#This Row],[personeelsnr]],'data hastus'!$A:$C,3,0)</f>
        <v>Fazal</v>
      </c>
      <c r="E91" t="str">
        <f>VLOOKUP(bron[[#This Row],[personeelsnr]],'data hastus'!A:K,11,FALSE)</f>
        <v>Els Vanhoe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41230 De Witte Bart</v>
      </c>
      <c r="C93" t="str">
        <f>VLOOKUP(bron[[#This Row],[personeelsnr]],'data hastus'!$A:$C,2,0)</f>
        <v>De Witte</v>
      </c>
      <c r="D93" t="str">
        <f>VLOOKUP(bron[[#This Row],[personeelsnr]],'data hastus'!$A:$C,3,0)</f>
        <v>Bart</v>
      </c>
      <c r="E93" t="str">
        <f>VLOOKUP(bron[[#This Row],[personeelsnr]],'data hastus'!A:K,11,FALSE)</f>
        <v>Dominique De Clercq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40393 Salimova Eydzhan</v>
      </c>
      <c r="C94" t="str">
        <f>VLOOKUP(bron[[#This Row],[personeelsnr]],'data hastus'!$A:$C,2,0)</f>
        <v>Salimova</v>
      </c>
      <c r="D94" t="str">
        <f>VLOOKUP(bron[[#This Row],[personeelsnr]],'data hastus'!$A:$C,3,0)</f>
        <v>Eydzhan</v>
      </c>
      <c r="E94" t="str">
        <f>VLOOKUP(bron[[#This Row],[personeelsnr]],'data hastus'!A:K,11,FALSE)</f>
        <v>Dominique De Clercq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36428 Abdi Shaiye Rashid</v>
      </c>
      <c r="C95" t="str">
        <f>VLOOKUP(bron[[#This Row],[personeelsnr]],'data hastus'!$A:$C,2,0)</f>
        <v>Abdi Shaiye</v>
      </c>
      <c r="D95" t="str">
        <f>VLOOKUP(bron[[#This Row],[personeelsnr]],'data hastus'!$A:$C,3,0)</f>
        <v>Rashid</v>
      </c>
      <c r="E95" t="str">
        <f>VLOOKUP(bron[[#This Row],[personeelsnr]],'data hastus'!A:K,11,FALSE)</f>
        <v>Lucie Vande Velde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29746 Huyse Annicke</v>
      </c>
      <c r="C96" t="str">
        <f>VLOOKUP(bron[[#This Row],[personeelsnr]],'data hastus'!$A:$C,2,0)</f>
        <v>Huyse</v>
      </c>
      <c r="D96" t="str">
        <f>VLOOKUP(bron[[#This Row],[personeelsnr]],'data hastus'!$A:$C,3,0)</f>
        <v>Annicke</v>
      </c>
      <c r="E96" t="str">
        <f>VLOOKUP(bron[[#This Row],[personeelsnr]],'data hastus'!A:K,11,FALSE)</f>
        <v>Bart Van Der Beken</v>
      </c>
      <c r="F96">
        <v>2</v>
      </c>
    </row>
    <row r="97" spans="1:6" x14ac:dyDescent="0.25">
      <c r="A97">
        <v>13020</v>
      </c>
      <c r="B97" t="str">
        <f>_xlfn.CONCAT(bron[[#This Row],[personeelsnr]]," ",C97," ",D97)</f>
        <v>39856 Curukcu Bayram</v>
      </c>
      <c r="C97" t="str">
        <f>VLOOKUP(bron[[#This Row],[personeelsnr]],'data hastus'!$A:$C,2,0)</f>
        <v>Curukcu</v>
      </c>
      <c r="D97" t="str">
        <f>VLOOKUP(bron[[#This Row],[personeelsnr]],'data hastus'!$A:$C,3,0)</f>
        <v>Bayram</v>
      </c>
      <c r="E97" t="str">
        <f>VLOOKUP(bron[[#This Row],[personeelsnr]],'data hastus'!A:K,11,FALSE)</f>
        <v>Kenneth De Rick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40138 Moerman Tjimmy</v>
      </c>
      <c r="C98" t="str">
        <f>VLOOKUP(bron[[#This Row],[personeelsnr]],'data hastus'!$A:$C,2,0)</f>
        <v>Moerman</v>
      </c>
      <c r="D98" t="str">
        <f>VLOOKUP(bron[[#This Row],[personeelsnr]],'data hastus'!$A:$C,3,0)</f>
        <v>Tjimmy</v>
      </c>
      <c r="E98" t="str">
        <f>VLOOKUP(bron[[#This Row],[personeelsnr]],'data hastus'!A:K,11,FALSE)</f>
        <v>Christoff Rotty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31165 Govaerts Sandro</v>
      </c>
      <c r="C99" t="str">
        <f>VLOOKUP(bron[[#This Row],[personeelsnr]],'data hastus'!$A:$C,2,0)</f>
        <v>Govaerts</v>
      </c>
      <c r="D99" t="str">
        <f>VLOOKUP(bron[[#This Row],[personeelsnr]],'data hastus'!$A:$C,3,0)</f>
        <v>Sandro</v>
      </c>
      <c r="E99" t="str">
        <f>VLOOKUP(bron[[#This Row],[personeelsnr]],'data hastus'!A:K,11,FALSE)</f>
        <v>Lucie Vande Velde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27672 Criel Veronique</v>
      </c>
      <c r="C100" t="str">
        <f>VLOOKUP(bron[[#This Row],[personeelsnr]],'data hastus'!$A:$C,2,0)</f>
        <v>Criel</v>
      </c>
      <c r="D100" t="str">
        <f>VLOOKUP(bron[[#This Row],[personeelsnr]],'data hastus'!$A:$C,3,0)</f>
        <v>Veronique</v>
      </c>
      <c r="E100" t="str">
        <f>VLOOKUP(bron[[#This Row],[personeelsnr]],'data hastus'!A:K,11,FALSE)</f>
        <v>Steven Storm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38931 Sancak Eyuphan</v>
      </c>
      <c r="C101" t="str">
        <f>VLOOKUP(bron[[#This Row],[personeelsnr]],'data hastus'!$A:$C,2,0)</f>
        <v>Sancak</v>
      </c>
      <c r="D101" t="str">
        <f>VLOOKUP(bron[[#This Row],[personeelsnr]],'data hastus'!$A:$C,3,0)</f>
        <v>Eyuphan</v>
      </c>
      <c r="E101" t="str">
        <f>VLOOKUP(bron[[#This Row],[personeelsnr]],'data hastus'!A:K,11,FALSE)</f>
        <v>Bart Van Der Beken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40652 Van Damme Gilyann</v>
      </c>
      <c r="C102" t="str">
        <f>VLOOKUP(bron[[#This Row],[personeelsnr]],'data hastus'!$A:$C,2,0)</f>
        <v>Van Damme</v>
      </c>
      <c r="D102" t="str">
        <f>VLOOKUP(bron[[#This Row],[personeelsnr]],'data hastus'!$A:$C,3,0)</f>
        <v>Gilyann</v>
      </c>
      <c r="E102" t="str">
        <f>VLOOKUP(bron[[#This Row],[personeelsnr]],'data hastus'!A:K,11,FALSE)</f>
        <v>Els Vanhoe</v>
      </c>
      <c r="F102">
        <v>2</v>
      </c>
    </row>
    <row r="103" spans="1:6" x14ac:dyDescent="0.25">
      <c r="A103">
        <v>31111</v>
      </c>
      <c r="B103" t="str">
        <f>_xlfn.CONCAT(bron[[#This Row],[personeelsnr]]," ",C103," ",D103)</f>
        <v>40938 Hasnaoui Nejmeddine</v>
      </c>
      <c r="C103" t="str">
        <f>VLOOKUP(bron[[#This Row],[personeelsnr]],'data hastus'!$A:$C,2,0)</f>
        <v>Hasnaoui</v>
      </c>
      <c r="D103" t="str">
        <f>VLOOKUP(bron[[#This Row],[personeelsnr]],'data hastus'!$A:$C,3,0)</f>
        <v>Nejmeddine</v>
      </c>
      <c r="E103" t="str">
        <f>VLOOKUP(bron[[#This Row],[personeelsnr]],'data hastus'!A:K,11,FALSE)</f>
        <v>Dominique De Clercq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38731 Ben Sidhom Samir</v>
      </c>
      <c r="C104" t="str">
        <f>VLOOKUP(bron[[#This Row],[personeelsnr]],'data hastus'!$A:$C,2,0)</f>
        <v>Ben Sidhom</v>
      </c>
      <c r="D104" t="str">
        <f>VLOOKUP(bron[[#This Row],[personeelsnr]],'data hastus'!$A:$C,3,0)</f>
        <v>Samir</v>
      </c>
      <c r="E104" t="str">
        <f>VLOOKUP(bron[[#This Row],[personeelsnr]],'data hastus'!A:K,11,FALSE)</f>
        <v>Christoff Rotty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33965 Van de Gehuchte Gilles</v>
      </c>
      <c r="C105" t="str">
        <f>VLOOKUP(bron[[#This Row],[personeelsnr]],'data hastus'!$A:$C,2,0)</f>
        <v>Van de Gehuchte</v>
      </c>
      <c r="D105" t="str">
        <f>VLOOKUP(bron[[#This Row],[personeelsnr]],'data hastus'!$A:$C,3,0)</f>
        <v>Gilles</v>
      </c>
      <c r="E105" t="str">
        <f>VLOOKUP(bron[[#This Row],[personeelsnr]],'data hastus'!A:K,11,FALSE)</f>
        <v>Kenneth De Rick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4608 Steenbrugge Johan</v>
      </c>
      <c r="C106" t="str">
        <f>VLOOKUP(bron[[#This Row],[personeelsnr]],'data hastus'!$A:$C,2,0)</f>
        <v>Steenbrugge</v>
      </c>
      <c r="D106" t="str">
        <f>VLOOKUP(bron[[#This Row],[personeelsnr]],'data hastus'!$A:$C,3,0)</f>
        <v>Johan</v>
      </c>
      <c r="E106" t="str">
        <f>VLOOKUP(bron[[#This Row],[personeelsnr]],'data hastus'!A:K,11,FALSE)</f>
        <v>Lucie Vande Velde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40652 Van Damme Gilyann</v>
      </c>
      <c r="C107" t="str">
        <f>VLOOKUP(bron[[#This Row],[personeelsnr]],'data hastus'!$A:$C,2,0)</f>
        <v>Van Damme</v>
      </c>
      <c r="D107" t="str">
        <f>VLOOKUP(bron[[#This Row],[personeelsnr]],'data hastus'!$A:$C,3,0)</f>
        <v>Gilyann</v>
      </c>
      <c r="E107" t="str">
        <f>VLOOKUP(bron[[#This Row],[personeelsnr]],'data hastus'!A:K,11,FALSE)</f>
        <v>Els Vanhoe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40652 Van Damme Gilyann</v>
      </c>
      <c r="C108" t="str">
        <f>VLOOKUP(bron[[#This Row],[personeelsnr]],'data hastus'!$A:$C,2,0)</f>
        <v>Van Damme</v>
      </c>
      <c r="D108" t="str">
        <f>VLOOKUP(bron[[#This Row],[personeelsnr]],'data hastus'!$A:$C,3,0)</f>
        <v>Gilyann</v>
      </c>
      <c r="E108" t="str">
        <f>VLOOKUP(bron[[#This Row],[personeelsnr]],'data hastus'!A:K,11,FALSE)</f>
        <v>Els Vanhoe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30967 Taser Fatih</v>
      </c>
      <c r="C109" t="str">
        <f>VLOOKUP(bron[[#This Row],[personeelsnr]],'data hastus'!$A:$C,2,0)</f>
        <v>Taser</v>
      </c>
      <c r="D109" t="str">
        <f>VLOOKUP(bron[[#This Row],[personeelsnr]],'data hastus'!$A:$C,3,0)</f>
        <v>Fatih</v>
      </c>
      <c r="E109" t="str">
        <f>VLOOKUP(bron[[#This Row],[personeelsnr]],'data hastus'!A:K,11,FALSE)</f>
        <v>Dominique De Clercq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37908 Vandenberghe Michael</v>
      </c>
      <c r="C110" t="str">
        <f>VLOOKUP(bron[[#This Row],[personeelsnr]],'data hastus'!$A:$C,2,0)</f>
        <v>Vandenberghe</v>
      </c>
      <c r="D110" t="str">
        <f>VLOOKUP(bron[[#This Row],[personeelsnr]],'data hastus'!$A:$C,3,0)</f>
        <v>Michael</v>
      </c>
      <c r="E110" t="str">
        <f>VLOOKUP(bron[[#This Row],[personeelsnr]],'data hastus'!A:K,11,FALSE)</f>
        <v>Steven Storm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41092 De Keyser Dorien</v>
      </c>
      <c r="C111" t="str">
        <f>VLOOKUP(bron[[#This Row],[personeelsnr]],'data hastus'!$A:$C,2,0)</f>
        <v>De Keyser</v>
      </c>
      <c r="D111" t="str">
        <f>VLOOKUP(bron[[#This Row],[personeelsnr]],'data hastus'!$A:$C,3,0)</f>
        <v>Dorien</v>
      </c>
      <c r="E111" t="str">
        <f>VLOOKUP(bron[[#This Row],[personeelsnr]],'data hastus'!A:K,11,FALSE)</f>
        <v>Dominique De Clercq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24155 Luttens Koen</v>
      </c>
      <c r="C112" t="str">
        <f>VLOOKUP(bron[[#This Row],[personeelsnr]],'data hastus'!$A:$C,2,0)</f>
        <v>Luttens</v>
      </c>
      <c r="D112" t="str">
        <f>VLOOKUP(bron[[#This Row],[personeelsnr]],'data hastus'!$A:$C,3,0)</f>
        <v>Koen</v>
      </c>
      <c r="E112" t="str">
        <f>VLOOKUP(bron[[#This Row],[personeelsnr]],'data hastus'!A:K,11,FALSE)</f>
        <v>Els Vanhoe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40591 Hiloui Mahmoud</v>
      </c>
      <c r="C113" t="str">
        <f>VLOOKUP(bron[[#This Row],[personeelsnr]],'data hastus'!$A:$C,2,0)</f>
        <v>Hiloui</v>
      </c>
      <c r="D113" t="str">
        <f>VLOOKUP(bron[[#This Row],[personeelsnr]],'data hastus'!$A:$C,3,0)</f>
        <v>Mahmoud</v>
      </c>
      <c r="E113" t="str">
        <f>VLOOKUP(bron[[#This Row],[personeelsnr]],'data hastus'!A:K,11,FALSE)</f>
        <v>Dominique De Clercq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40134 Cardon Sharon</v>
      </c>
      <c r="C114" t="str">
        <f>VLOOKUP(bron[[#This Row],[personeelsnr]],'data hastus'!$A:$C,2,0)</f>
        <v>Cardon</v>
      </c>
      <c r="D114" t="str">
        <f>VLOOKUP(bron[[#This Row],[personeelsnr]],'data hastus'!$A:$C,3,0)</f>
        <v>Sharon</v>
      </c>
      <c r="E114" t="str">
        <f>VLOOKUP(bron[[#This Row],[personeelsnr]],'data hastus'!A:K,11,FALSE)</f>
        <v>Dominique De Clercq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38475 Verschraegen Katleen</v>
      </c>
      <c r="C115" t="str">
        <f>VLOOKUP(bron[[#This Row],[personeelsnr]],'data hastus'!$A:$C,2,0)</f>
        <v>Verschraegen</v>
      </c>
      <c r="D115" t="str">
        <f>VLOOKUP(bron[[#This Row],[personeelsnr]],'data hastus'!$A:$C,3,0)</f>
        <v>Katleen</v>
      </c>
      <c r="E115" t="str">
        <f>VLOOKUP(bron[[#This Row],[personeelsnr]],'data hastus'!A:K,11,FALSE)</f>
        <v>Els Dewulf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33085 Van Hoe Ivo</v>
      </c>
      <c r="C116" t="str">
        <f>VLOOKUP(bron[[#This Row],[personeelsnr]],'data hastus'!$A:$C,2,0)</f>
        <v>Van Hoe</v>
      </c>
      <c r="D116" t="str">
        <f>VLOOKUP(bron[[#This Row],[personeelsnr]],'data hastus'!$A:$C,3,0)</f>
        <v>Ivo</v>
      </c>
      <c r="E116" t="str">
        <f>VLOOKUP(bron[[#This Row],[personeelsnr]],'data hastus'!A:K,11,FALSE)</f>
        <v>Kenneth De Rick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33965 Van de Gehuchte Gilles</v>
      </c>
      <c r="C118" t="str">
        <f>VLOOKUP(bron[[#This Row],[personeelsnr]],'data hastus'!$A:$C,2,0)</f>
        <v>Van de Gehuchte</v>
      </c>
      <c r="D118" t="str">
        <f>VLOOKUP(bron[[#This Row],[personeelsnr]],'data hastus'!$A:$C,3,0)</f>
        <v>Gilles</v>
      </c>
      <c r="E118" t="str">
        <f>VLOOKUP(bron[[#This Row],[personeelsnr]],'data hastus'!A:K,11,FALSE)</f>
        <v>Kenneth De Rick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38475 Verschraegen Katleen</v>
      </c>
      <c r="C119" t="str">
        <f>VLOOKUP(bron[[#This Row],[personeelsnr]],'data hastus'!$A:$C,2,0)</f>
        <v>Verschraegen</v>
      </c>
      <c r="D119" t="str">
        <f>VLOOKUP(bron[[#This Row],[personeelsnr]],'data hastus'!$A:$C,3,0)</f>
        <v>Katleen</v>
      </c>
      <c r="E119" t="str">
        <f>VLOOKUP(bron[[#This Row],[personeelsnr]],'data hastus'!A:K,11,FALSE)</f>
        <v>Els Dewulf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36512 Van Herreweghe Branco</v>
      </c>
      <c r="C120" t="str">
        <f>VLOOKUP(bron[[#This Row],[personeelsnr]],'data hastus'!$A:$C,2,0)</f>
        <v>Van Herreweghe</v>
      </c>
      <c r="D120" t="str">
        <f>VLOOKUP(bron[[#This Row],[personeelsnr]],'data hastus'!$A:$C,3,0)</f>
        <v>Branco</v>
      </c>
      <c r="E120" t="str">
        <f>VLOOKUP(bron[[#This Row],[personeelsnr]],'data hastus'!A:K,11,FALSE)</f>
        <v>Steven Storm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37132 Dacic Esmir</v>
      </c>
      <c r="C121" t="str">
        <f>VLOOKUP(bron[[#This Row],[personeelsnr]],'data hastus'!$A:$C,2,0)</f>
        <v>Dacic</v>
      </c>
      <c r="D121" t="str">
        <f>VLOOKUP(bron[[#This Row],[personeelsnr]],'data hastus'!$A:$C,3,0)</f>
        <v>Esmir</v>
      </c>
      <c r="E121" t="str">
        <f>VLOOKUP(bron[[#This Row],[personeelsnr]],'data hastus'!A:K,11,FALSE)</f>
        <v>Dominique De Clercq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41588 Naessens Yves</v>
      </c>
      <c r="C122" t="str">
        <f>VLOOKUP(bron[[#This Row],[personeelsnr]],'data hastus'!$A:$C,2,0)</f>
        <v>Naessens</v>
      </c>
      <c r="D122" t="str">
        <f>VLOOKUP(bron[[#This Row],[personeelsnr]],'data hastus'!$A:$C,3,0)</f>
        <v>Yves</v>
      </c>
      <c r="E122" t="str">
        <f>VLOOKUP(bron[[#This Row],[personeelsnr]],'data hastus'!A:K,11,FALSE)</f>
        <v>Kenneth De Rick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40478 Hashimi Ali Mir</v>
      </c>
      <c r="C123" t="str">
        <f>VLOOKUP(bron[[#This Row],[personeelsnr]],'data hastus'!$A:$C,2,0)</f>
        <v>Hashimi</v>
      </c>
      <c r="D123" t="str">
        <f>VLOOKUP(bron[[#This Row],[personeelsnr]],'data hastus'!$A:$C,3,0)</f>
        <v>Ali Mir</v>
      </c>
      <c r="E123" t="str">
        <f>VLOOKUP(bron[[#This Row],[personeelsnr]],'data hastus'!A:K,11,FALSE)</f>
        <v>Bart Van Der Beken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40110 Vanlerberghe Sandra</v>
      </c>
      <c r="C124" t="str">
        <f>VLOOKUP(bron[[#This Row],[personeelsnr]],'data hastus'!$A:$C,2,0)</f>
        <v>Vanlerberghe</v>
      </c>
      <c r="D124" t="str">
        <f>VLOOKUP(bron[[#This Row],[personeelsnr]],'data hastus'!$A:$C,3,0)</f>
        <v>Sandra</v>
      </c>
      <c r="E124" t="str">
        <f>VLOOKUP(bron[[#This Row],[personeelsnr]],'data hastus'!A:K,11,FALSE)</f>
        <v>Christoff Rotty</v>
      </c>
      <c r="F124">
        <v>1</v>
      </c>
    </row>
    <row r="125" spans="1:6" x14ac:dyDescent="0.25">
      <c r="A125">
        <v>34325</v>
      </c>
      <c r="B125" t="str">
        <f>_xlfn.CONCAT(bron[[#This Row],[personeelsnr]]," ",C125," ",D125)</f>
        <v>32245 Verlinden Bianca</v>
      </c>
      <c r="C125" t="str">
        <f>VLOOKUP(bron[[#This Row],[personeelsnr]],'data hastus'!$A:$C,2,0)</f>
        <v>Verlinden</v>
      </c>
      <c r="D125" t="str">
        <f>VLOOKUP(bron[[#This Row],[personeelsnr]],'data hastus'!$A:$C,3,0)</f>
        <v>Bianca</v>
      </c>
      <c r="E125" t="str">
        <f>VLOOKUP(bron[[#This Row],[personeelsnr]],'data hastus'!A:K,11,FALSE)</f>
        <v>Els Vanhoe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41520 Smets Avery</v>
      </c>
      <c r="C126" t="str">
        <f>VLOOKUP(bron[[#This Row],[personeelsnr]],'data hastus'!$A:$C,2,0)</f>
        <v>Smets</v>
      </c>
      <c r="D126" t="str">
        <f>VLOOKUP(bron[[#This Row],[personeelsnr]],'data hastus'!$A:$C,3,0)</f>
        <v>Avery</v>
      </c>
      <c r="E126" t="str">
        <f>VLOOKUP(bron[[#This Row],[personeelsnr]],'data hastus'!A:K,11,FALSE)</f>
        <v>Christoff Rotty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37744 De Lange Frank</v>
      </c>
      <c r="C127" t="str">
        <f>VLOOKUP(bron[[#This Row],[personeelsnr]],'data hastus'!$A:$C,2,0)</f>
        <v>De Lange</v>
      </c>
      <c r="D127" t="str">
        <f>VLOOKUP(bron[[#This Row],[personeelsnr]],'data hastus'!$A:$C,3,0)</f>
        <v>Frank</v>
      </c>
      <c r="E127" t="str">
        <f>VLOOKUP(bron[[#This Row],[personeelsnr]],'data hastus'!A:K,11,FALSE)</f>
        <v>Dominique De Clercq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41230 De Witte Bart</v>
      </c>
      <c r="C128" t="str">
        <f>VLOOKUP(bron[[#This Row],[personeelsnr]],'data hastus'!$A:$C,2,0)</f>
        <v>De Witte</v>
      </c>
      <c r="D128" t="str">
        <f>VLOOKUP(bron[[#This Row],[personeelsnr]],'data hastus'!$A:$C,3,0)</f>
        <v>Bart</v>
      </c>
      <c r="E128" t="str">
        <f>VLOOKUP(bron[[#This Row],[personeelsnr]],'data hastus'!A:K,11,FALSE)</f>
        <v>Dominique De Clercq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21582 De Grom Patrick</v>
      </c>
      <c r="C129" t="str">
        <f>VLOOKUP(bron[[#This Row],[personeelsnr]],'data hastus'!$A:$C,2,0)</f>
        <v>De Grom</v>
      </c>
      <c r="D129" t="str">
        <f>VLOOKUP(bron[[#This Row],[personeelsnr]],'data hastus'!$A:$C,3,0)</f>
        <v>Patrick</v>
      </c>
      <c r="E129" t="str">
        <f>VLOOKUP(bron[[#This Row],[personeelsnr]],'data hastus'!A:K,11,FALSE)</f>
        <v>Steven Storm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38938 Sedighi Hamid</v>
      </c>
      <c r="C130" t="str">
        <f>VLOOKUP(bron[[#This Row],[personeelsnr]],'data hastus'!$A:$C,2,0)</f>
        <v>Sedighi</v>
      </c>
      <c r="D130" t="str">
        <f>VLOOKUP(bron[[#This Row],[personeelsnr]],'data hastus'!$A:$C,3,0)</f>
        <v>Hamid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34445 Wulleput Illya</v>
      </c>
      <c r="C131" t="str">
        <f>VLOOKUP(bron[[#This Row],[personeelsnr]],'data hastus'!$A:$C,2,0)</f>
        <v>Wulleput</v>
      </c>
      <c r="D131" t="str">
        <f>VLOOKUP(bron[[#This Row],[personeelsnr]],'data hastus'!$A:$C,3,0)</f>
        <v>Illya</v>
      </c>
      <c r="E131" t="str">
        <f>VLOOKUP(bron[[#This Row],[personeelsnr]],'data hastus'!A:K,11,FALSE)</f>
        <v>Dominique De Clercq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40443 Fakash Mahmoud</v>
      </c>
      <c r="C132" t="str">
        <f>VLOOKUP(bron[[#This Row],[personeelsnr]],'data hastus'!$A:$C,2,0)</f>
        <v>Fakash</v>
      </c>
      <c r="D132" t="str">
        <f>VLOOKUP(bron[[#This Row],[personeelsnr]],'data hastus'!$A:$C,3,0)</f>
        <v>Mahmoud</v>
      </c>
      <c r="E132" t="str">
        <f>VLOOKUP(bron[[#This Row],[personeelsnr]],'data hastus'!A:K,11,FALSE)</f>
        <v>Bart Van Der Beken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36820 Haché Philip</v>
      </c>
      <c r="C133" t="str">
        <f>VLOOKUP(bron[[#This Row],[personeelsnr]],'data hastus'!$A:$C,2,0)</f>
        <v>Haché</v>
      </c>
      <c r="D133" t="str">
        <f>VLOOKUP(bron[[#This Row],[personeelsnr]],'data hastus'!$A:$C,3,0)</f>
        <v>Philip</v>
      </c>
      <c r="E133" t="str">
        <f>VLOOKUP(bron[[#This Row],[personeelsnr]],'data hastus'!A:K,11,FALSE)</f>
        <v>Steven Storm</v>
      </c>
      <c r="F133">
        <v>0</v>
      </c>
    </row>
    <row r="134" spans="1:6" x14ac:dyDescent="0.25">
      <c r="A134">
        <v>6229</v>
      </c>
      <c r="B134" t="str">
        <f>_xlfn.CONCAT(bron[[#This Row],[personeelsnr]]," ",C134," ",D134)</f>
        <v>25733 Simsek Abdullah</v>
      </c>
      <c r="C134" t="str">
        <f>VLOOKUP(bron[[#This Row],[personeelsnr]],'data hastus'!$A:$C,2,0)</f>
        <v>Simsek</v>
      </c>
      <c r="D134" t="str">
        <f>VLOOKUP(bron[[#This Row],[personeelsnr]],'data hastus'!$A:$C,3,0)</f>
        <v>Abdullah</v>
      </c>
      <c r="E134" t="str">
        <f>VLOOKUP(bron[[#This Row],[personeelsnr]],'data hastus'!A:K,11,FALSE)</f>
        <v>Els Vanhoe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35645 Jalili Yaseeb</v>
      </c>
      <c r="C135" t="str">
        <f>VLOOKUP(bron[[#This Row],[personeelsnr]],'data hastus'!$A:$C,2,0)</f>
        <v>Jalili</v>
      </c>
      <c r="D135" t="str">
        <f>VLOOKUP(bron[[#This Row],[personeelsnr]],'data hastus'!$A:$C,3,0)</f>
        <v>Yaseeb</v>
      </c>
      <c r="E135" t="str">
        <f>VLOOKUP(bron[[#This Row],[personeelsnr]],'data hastus'!A:K,11,FALSE)</f>
        <v>Steven Storm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9158 De Weirdt Ronny</v>
      </c>
      <c r="C136" t="str">
        <f>VLOOKUP(bron[[#This Row],[personeelsnr]],'data hastus'!$A:$C,2,0)</f>
        <v>De Weirdt</v>
      </c>
      <c r="D136" t="str">
        <f>VLOOKUP(bron[[#This Row],[personeelsnr]],'data hastus'!$A:$C,3,0)</f>
        <v>Ronny</v>
      </c>
      <c r="E136" t="str">
        <f>VLOOKUP(bron[[#This Row],[personeelsnr]],'data hastus'!A:K,11,FALSE)</f>
        <v>Steven Storm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34325 Eid Mathyn</v>
      </c>
      <c r="C137" t="str">
        <f>VLOOKUP(bron[[#This Row],[personeelsnr]],'data hastus'!$A:$C,2,0)</f>
        <v>Eid</v>
      </c>
      <c r="D137" t="str">
        <f>VLOOKUP(bron[[#This Row],[personeelsnr]],'data hastus'!$A:$C,3,0)</f>
        <v>Mathyn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39929 Staneva Mariyana</v>
      </c>
      <c r="C138" t="str">
        <f>VLOOKUP(bron[[#This Row],[personeelsnr]],'data hastus'!$A:$C,2,0)</f>
        <v>Staneva</v>
      </c>
      <c r="D138" t="str">
        <f>VLOOKUP(bron[[#This Row],[personeelsnr]],'data hastus'!$A:$C,3,0)</f>
        <v>Mariyana</v>
      </c>
      <c r="E138" t="str">
        <f>VLOOKUP(bron[[#This Row],[personeelsnr]],'data hastus'!A:K,11,FALSE)</f>
        <v>Christoff Rotty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39358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38035 Simsek Isa</v>
      </c>
      <c r="C140" t="str">
        <f>VLOOKUP(bron[[#This Row],[personeelsnr]],'data hastus'!$A:$C,2,0)</f>
        <v>Simsek</v>
      </c>
      <c r="D140" t="str">
        <f>VLOOKUP(bron[[#This Row],[personeelsnr]],'data hastus'!$A:$C,3,0)</f>
        <v>Isa</v>
      </c>
      <c r="E140" t="str">
        <f>VLOOKUP(bron[[#This Row],[personeelsnr]],'data hastus'!A:K,11,FALSE)</f>
        <v>Bart Van Der Beken</v>
      </c>
      <c r="F140">
        <v>0</v>
      </c>
    </row>
    <row r="141" spans="1:6" x14ac:dyDescent="0.25">
      <c r="A141">
        <v>19249</v>
      </c>
      <c r="B141" t="str">
        <f>_xlfn.CONCAT(bron[[#This Row],[personeelsnr]]," ",C141," ",D141)</f>
        <v>25679 Vanrenterghem Serge</v>
      </c>
      <c r="C141" t="str">
        <f>VLOOKUP(bron[[#This Row],[personeelsnr]],'data hastus'!$A:$C,2,0)</f>
        <v>Vanrenterghem</v>
      </c>
      <c r="D141" t="str">
        <f>VLOOKUP(bron[[#This Row],[personeelsnr]],'data hastus'!$A:$C,3,0)</f>
        <v>Serge</v>
      </c>
      <c r="E141" t="str">
        <f>VLOOKUP(bron[[#This Row],[personeelsnr]],'data hastus'!A:K,11,FALSE)</f>
        <v>Christoff Rotty</v>
      </c>
    </row>
    <row r="142" spans="1:6" x14ac:dyDescent="0.25">
      <c r="A142">
        <v>19520</v>
      </c>
      <c r="B142" t="str">
        <f>_xlfn.CONCAT(bron[[#This Row],[personeelsnr]]," ",C142," ",D142)</f>
        <v>35619 El Mezroui Zouheir</v>
      </c>
      <c r="C142" t="str">
        <f>VLOOKUP(bron[[#This Row],[personeelsnr]],'data hastus'!$A:$C,2,0)</f>
        <v>El Mezroui</v>
      </c>
      <c r="D142" t="str">
        <f>VLOOKUP(bron[[#This Row],[personeelsnr]],'data hastus'!$A:$C,3,0)</f>
        <v>Zouheir</v>
      </c>
      <c r="E142" t="str">
        <f>VLOOKUP(bron[[#This Row],[personeelsnr]],'data hastus'!A:K,11,FALSE)</f>
        <v>Steven Storm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41092 De Keyser Dorien</v>
      </c>
      <c r="C143" t="str">
        <f>VLOOKUP(bron[[#This Row],[personeelsnr]],'data hastus'!$A:$C,2,0)</f>
        <v>De Keyser</v>
      </c>
      <c r="D143" t="str">
        <f>VLOOKUP(bron[[#This Row],[personeelsnr]],'data hastus'!$A:$C,3,0)</f>
        <v>Dorien</v>
      </c>
      <c r="E143" t="str">
        <f>VLOOKUP(bron[[#This Row],[personeelsnr]],'data hastus'!A:K,11,FALSE)</f>
        <v>Dominique De Clercq</v>
      </c>
    </row>
    <row r="144" spans="1:6" x14ac:dyDescent="0.25">
      <c r="A144">
        <v>21424</v>
      </c>
      <c r="B144" t="str">
        <f>_xlfn.CONCAT(bron[[#This Row],[personeelsnr]]," ",C144," ",D144)</f>
        <v>40939 Cisse Sayon</v>
      </c>
      <c r="C144" t="str">
        <f>VLOOKUP(bron[[#This Row],[personeelsnr]],'data hastus'!$A:$C,2,0)</f>
        <v>Cisse</v>
      </c>
      <c r="D144" t="str">
        <f>VLOOKUP(bron[[#This Row],[personeelsnr]],'data hastus'!$A:$C,3,0)</f>
        <v>Sayon</v>
      </c>
      <c r="E144" t="str">
        <f>VLOOKUP(bron[[#This Row],[personeelsnr]],'data hastus'!A:K,11,FALSE)</f>
        <v>Kenneth De Rick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32951 De Bruyne Sonia</v>
      </c>
      <c r="C145" t="str">
        <f>VLOOKUP(bron[[#This Row],[personeelsnr]],'data hastus'!$A:$C,2,0)</f>
        <v>De Bruyne</v>
      </c>
      <c r="D145" t="str">
        <f>VLOOKUP(bron[[#This Row],[personeelsnr]],'data hastus'!$A:$C,3,0)</f>
        <v>Sonia</v>
      </c>
      <c r="E145" t="str">
        <f>VLOOKUP(bron[[#This Row],[personeelsnr]],'data hastus'!A:K,11,FALSE)</f>
        <v>Lucie Vande Velde</v>
      </c>
      <c r="F145">
        <v>1</v>
      </c>
    </row>
    <row r="146" spans="1:6" x14ac:dyDescent="0.25">
      <c r="A146">
        <v>21581</v>
      </c>
      <c r="B146" t="str">
        <f>_xlfn.CONCAT(bron[[#This Row],[personeelsnr]]," ",C146," ",D146)</f>
        <v>38807 Dossche Caroline</v>
      </c>
      <c r="C146" t="str">
        <f>VLOOKUP(bron[[#This Row],[personeelsnr]],'data hastus'!$A:$C,2,0)</f>
        <v>Dossche</v>
      </c>
      <c r="D146" t="str">
        <f>VLOOKUP(bron[[#This Row],[personeelsnr]],'data hastus'!$A:$C,3,0)</f>
        <v>Caroline</v>
      </c>
      <c r="E146" t="str">
        <f>VLOOKUP(bron[[#This Row],[personeelsnr]],'data hastus'!A:K,11,FALSE)</f>
        <v>Christoff Rotty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17566 Praet Reginald</v>
      </c>
      <c r="C147" t="str">
        <f>VLOOKUP(bron[[#This Row],[personeelsnr]],'data hastus'!$A:$C,2,0)</f>
        <v>Praet</v>
      </c>
      <c r="D147" t="str">
        <f>VLOOKUP(bron[[#This Row],[personeelsnr]],'data hastus'!$A:$C,3,0)</f>
        <v>Reginald</v>
      </c>
      <c r="E147" t="str">
        <f>VLOOKUP(bron[[#This Row],[personeelsnr]],'data hastus'!A:K,11,FALSE)</f>
        <v>Bart Van Der Beken</v>
      </c>
      <c r="F147">
        <v>0</v>
      </c>
    </row>
    <row r="148" spans="1:6" x14ac:dyDescent="0.25">
      <c r="A148">
        <v>25487</v>
      </c>
      <c r="B148" t="str">
        <f>_xlfn.CONCAT(bron[[#This Row],[personeelsnr]]," ",C148," ",D148)</f>
        <v>32620 Saey Elias</v>
      </c>
      <c r="C148" t="str">
        <f>VLOOKUP(bron[[#This Row],[personeelsnr]],'data hastus'!$A:$C,2,0)</f>
        <v>Saey</v>
      </c>
      <c r="D148" t="str">
        <f>VLOOKUP(bron[[#This Row],[personeelsnr]],'data hastus'!$A:$C,3,0)</f>
        <v>Elias</v>
      </c>
      <c r="E148" t="str">
        <f>VLOOKUP(bron[[#This Row],[personeelsnr]],'data hastus'!A:K,11,FALSE)</f>
        <v>Els Vanhoe</v>
      </c>
    </row>
    <row r="149" spans="1:6" x14ac:dyDescent="0.25">
      <c r="A149">
        <v>26137</v>
      </c>
      <c r="B149" t="str">
        <f>_xlfn.CONCAT(bron[[#This Row],[personeelsnr]]," ",C149," ",D149)</f>
        <v>31668 Weemhof Maurice</v>
      </c>
      <c r="C149" t="str">
        <f>VLOOKUP(bron[[#This Row],[personeelsnr]],'data hastus'!$A:$C,2,0)</f>
        <v>Weemhof</v>
      </c>
      <c r="D149" t="str">
        <f>VLOOKUP(bron[[#This Row],[personeelsnr]],'data hastus'!$A:$C,3,0)</f>
        <v>Maurice</v>
      </c>
      <c r="E149" t="str">
        <f>VLOOKUP(bron[[#This Row],[personeelsnr]],'data hastus'!A:K,11,FALSE)</f>
        <v>Dominique De Clercq</v>
      </c>
    </row>
    <row r="150" spans="1:6" x14ac:dyDescent="0.25">
      <c r="A150">
        <v>26199</v>
      </c>
      <c r="B150" t="str">
        <f>_xlfn.CONCAT(bron[[#This Row],[personeelsnr]]," ",C150," ",D150)</f>
        <v>39581 Vandenhaute Linus</v>
      </c>
      <c r="C150" t="str">
        <f>VLOOKUP(bron[[#This Row],[personeelsnr]],'data hastus'!$A:$C,2,0)</f>
        <v>Vandenhaute</v>
      </c>
      <c r="D150" t="str">
        <f>VLOOKUP(bron[[#This Row],[personeelsnr]],'data hastus'!$A:$C,3,0)</f>
        <v>Linus</v>
      </c>
      <c r="E150" t="str">
        <f>VLOOKUP(bron[[#This Row],[personeelsnr]],'data hastus'!A:K,11,FALSE)</f>
        <v>Els Dewulf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36569 Stroobandt Jonas</v>
      </c>
      <c r="C151" t="str">
        <f>VLOOKUP(bron[[#This Row],[personeelsnr]],'data hastus'!$A:$C,2,0)</f>
        <v>Stroobandt</v>
      </c>
      <c r="D151" t="str">
        <f>VLOOKUP(bron[[#This Row],[personeelsnr]],'data hastus'!$A:$C,3,0)</f>
        <v>Jonas</v>
      </c>
      <c r="E151" t="str">
        <f>VLOOKUP(bron[[#This Row],[personeelsnr]],'data hastus'!A:K,11,FALSE)</f>
        <v>Els Vanhoe</v>
      </c>
    </row>
    <row r="152" spans="1:6" x14ac:dyDescent="0.25">
      <c r="A152">
        <v>28737</v>
      </c>
      <c r="B152" t="str">
        <f>_xlfn.CONCAT(bron[[#This Row],[personeelsnr]]," ",C152," ",D152)</f>
        <v>36358 De Nys Elise</v>
      </c>
      <c r="C152" t="str">
        <f>VLOOKUP(bron[[#This Row],[personeelsnr]],'data hastus'!$A:$C,2,0)</f>
        <v>De Nys</v>
      </c>
      <c r="D152" t="str">
        <f>VLOOKUP(bron[[#This Row],[personeelsnr]],'data hastus'!$A:$C,3,0)</f>
        <v>Elise</v>
      </c>
      <c r="E152" t="str">
        <f>VLOOKUP(bron[[#This Row],[personeelsnr]],'data hastus'!A:K,11,FALSE)</f>
        <v>Els Dewulf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31118 De Sutter Michiel</v>
      </c>
      <c r="C153" t="str">
        <f>VLOOKUP(bron[[#This Row],[personeelsnr]],'data hastus'!$A:$C,2,0)</f>
        <v>De Sutter</v>
      </c>
      <c r="D153" t="str">
        <f>VLOOKUP(bron[[#This Row],[personeelsnr]],'data hastus'!$A:$C,3,0)</f>
        <v>Michiel</v>
      </c>
      <c r="E153" t="str">
        <f>VLOOKUP(bron[[#This Row],[personeelsnr]],'data hastus'!A:K,11,FALSE)</f>
        <v>Els Dewulf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38580 Smajla Samet</v>
      </c>
      <c r="C154" t="str">
        <f>VLOOKUP(bron[[#This Row],[personeelsnr]],'data hastus'!$A:$C,2,0)</f>
        <v>Smajla</v>
      </c>
      <c r="D154" t="str">
        <f>VLOOKUP(bron[[#This Row],[personeelsnr]],'data hastus'!$A:$C,3,0)</f>
        <v>Samet</v>
      </c>
      <c r="E154" t="str">
        <f>VLOOKUP(bron[[#This Row],[personeelsnr]],'data hastus'!A:K,11,FALSE)</f>
        <v>Els Dewulf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37179 Bashir Muhammad Salman</v>
      </c>
      <c r="C155" t="str">
        <f>VLOOKUP(bron[[#This Row],[personeelsnr]],'data hastus'!$A:$C,2,0)</f>
        <v>Bashir</v>
      </c>
      <c r="D155" t="str">
        <f>VLOOKUP(bron[[#This Row],[personeelsnr]],'data hastus'!$A:$C,3,0)</f>
        <v>Muhammad Salman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37809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32611 Özer Özgur</v>
      </c>
      <c r="C157" t="str">
        <f>VLOOKUP(bron[[#This Row],[personeelsnr]],'data hastus'!$A:$C,2,0)</f>
        <v>Özer</v>
      </c>
      <c r="D157" t="str">
        <f>VLOOKUP(bron[[#This Row],[personeelsnr]],'data hastus'!$A:$C,3,0)</f>
        <v>Özgur</v>
      </c>
      <c r="E157" t="str">
        <f>VLOOKUP(bron[[#This Row],[personeelsnr]],'data hastus'!A:K,11,FALSE)</f>
        <v>Kenneth De Rick</v>
      </c>
    </row>
    <row r="158" spans="1:6" x14ac:dyDescent="0.25">
      <c r="A158">
        <v>30121</v>
      </c>
      <c r="B158" t="str">
        <f>_xlfn.CONCAT(bron[[#This Row],[personeelsnr]]," ",C158," ",D158)</f>
        <v>41520 Smets Avery</v>
      </c>
      <c r="C158" t="str">
        <f>VLOOKUP(bron[[#This Row],[personeelsnr]],'data hastus'!$A:$C,2,0)</f>
        <v>Smets</v>
      </c>
      <c r="D158" t="str">
        <f>VLOOKUP(bron[[#This Row],[personeelsnr]],'data hastus'!$A:$C,3,0)</f>
        <v>Avery</v>
      </c>
      <c r="E158" t="str">
        <f>VLOOKUP(bron[[#This Row],[personeelsnr]],'data hastus'!A:K,11,FALSE)</f>
        <v>Christoff Rotty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35450 Roos Hugo</v>
      </c>
      <c r="C159" t="str">
        <f>VLOOKUP(bron[[#This Row],[personeelsnr]],'data hastus'!$A:$C,2,0)</f>
        <v>Roos</v>
      </c>
      <c r="D159" t="str">
        <f>VLOOKUP(bron[[#This Row],[personeelsnr]],'data hastus'!$A:$C,3,0)</f>
        <v>Hugo</v>
      </c>
      <c r="E159" t="str">
        <f>VLOOKUP(bron[[#This Row],[personeelsnr]],'data hastus'!A:K,11,FALSE)</f>
        <v>Els Dewulf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35216 Coban Mehmet</v>
      </c>
      <c r="C160" t="str">
        <f>VLOOKUP(bron[[#This Row],[personeelsnr]],'data hastus'!$A:$C,2,0)</f>
        <v>Coban</v>
      </c>
      <c r="D160" t="str">
        <f>VLOOKUP(bron[[#This Row],[personeelsnr]],'data hastus'!$A:$C,3,0)</f>
        <v>Mehmet</v>
      </c>
      <c r="E160" t="str">
        <f>VLOOKUP(bron[[#This Row],[personeelsnr]],'data hastus'!A:K,11,FALSE)</f>
        <v>Lucie Vande Velde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41064 Ardic Atilla</v>
      </c>
      <c r="C161" t="str">
        <f>VLOOKUP(bron[[#This Row],[personeelsnr]],'data hastus'!$A:$C,2,0)</f>
        <v>Ardic</v>
      </c>
      <c r="D161" t="str">
        <f>VLOOKUP(bron[[#This Row],[personeelsnr]],'data hastus'!$A:$C,3,0)</f>
        <v>Atilla</v>
      </c>
      <c r="E161" t="str">
        <f>VLOOKUP(bron[[#This Row],[personeelsnr]],'data hastus'!A:K,11,FALSE)</f>
        <v>Dominique De Clercq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41012 Natad Younes</v>
      </c>
      <c r="C162" t="str">
        <f>VLOOKUP(bron[[#This Row],[personeelsnr]],'data hastus'!$A:$C,2,0)</f>
        <v>Natad</v>
      </c>
      <c r="D162" t="str">
        <f>VLOOKUP(bron[[#This Row],[personeelsnr]],'data hastus'!$A:$C,3,0)</f>
        <v>Younes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41092 De Keyser Dorien</v>
      </c>
      <c r="C163" t="str">
        <f>VLOOKUP(bron[[#This Row],[personeelsnr]],'data hastus'!$A:$C,2,0)</f>
        <v>De Keyser</v>
      </c>
      <c r="D163" t="str">
        <f>VLOOKUP(bron[[#This Row],[personeelsnr]],'data hastus'!$A:$C,3,0)</f>
        <v>Dorien</v>
      </c>
      <c r="E163" t="str">
        <f>VLOOKUP(bron[[#This Row],[personeelsnr]],'data hastus'!A:K,11,FALSE)</f>
        <v>Dominique De Clercq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35246 De Meyer Karel</v>
      </c>
      <c r="C164" t="str">
        <f>VLOOKUP(bron[[#This Row],[personeelsnr]],'data hastus'!$A:$C,2,0)</f>
        <v>De Meyer</v>
      </c>
      <c r="D164" t="str">
        <f>VLOOKUP(bron[[#This Row],[personeelsnr]],'data hastus'!$A:$C,3,0)</f>
        <v>Karel</v>
      </c>
      <c r="E164" t="str">
        <f>VLOOKUP(bron[[#This Row],[personeelsnr]],'data hastus'!A:K,11,FALSE)</f>
        <v>Els Vanhoe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36635 Fadel Husam</v>
      </c>
      <c r="C165" t="str">
        <f>VLOOKUP(bron[[#This Row],[personeelsnr]],'data hastus'!$A:$C,2,0)</f>
        <v>Fadel</v>
      </c>
      <c r="D165" t="str">
        <f>VLOOKUP(bron[[#This Row],[personeelsnr]],'data hastus'!$A:$C,3,0)</f>
        <v>Husam</v>
      </c>
      <c r="E165" t="str">
        <f>VLOOKUP(bron[[#This Row],[personeelsnr]],'data hastus'!A:K,11,FALSE)</f>
        <v>Kenneth De Rick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41246 Van Holsbeeck Yana</v>
      </c>
      <c r="C166" t="str">
        <f>VLOOKUP(bron[[#This Row],[personeelsnr]],'data hastus'!$A:$C,2,0)</f>
        <v>Van Holsbeeck</v>
      </c>
      <c r="D166" t="str">
        <f>VLOOKUP(bron[[#This Row],[personeelsnr]],'data hastus'!$A:$C,3,0)</f>
        <v>Yana</v>
      </c>
      <c r="E166" t="str">
        <f>VLOOKUP(bron[[#This Row],[personeelsnr]],'data hastus'!A:K,11,FALSE)</f>
        <v>Dominique De Clercq</v>
      </c>
      <c r="F166">
        <v>0</v>
      </c>
    </row>
    <row r="167" spans="1:6" x14ac:dyDescent="0.25">
      <c r="A167">
        <v>34019</v>
      </c>
      <c r="B167" t="str">
        <f>_xlfn.CONCAT(bron[[#This Row],[personeelsnr]]," ",C167," ",D167)</f>
        <v>35379 Engels Sam</v>
      </c>
      <c r="C167" t="str">
        <f>VLOOKUP(bron[[#This Row],[personeelsnr]],'data hastus'!$A:$C,2,0)</f>
        <v>Engels</v>
      </c>
      <c r="D167" t="str">
        <f>VLOOKUP(bron[[#This Row],[personeelsnr]],'data hastus'!$A:$C,3,0)</f>
        <v>Sam</v>
      </c>
      <c r="E167" t="str">
        <f>VLOOKUP(bron[[#This Row],[personeelsnr]],'data hastus'!A:K,11,FALSE)</f>
        <v>Els Vanhoe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37662 Van den Meerssche Steven</v>
      </c>
      <c r="C168" t="str">
        <f>VLOOKUP(bron[[#This Row],[personeelsnr]],'data hastus'!$A:$C,2,0)</f>
        <v>Van den Meerssche</v>
      </c>
      <c r="D168" t="str">
        <f>VLOOKUP(bron[[#This Row],[personeelsnr]],'data hastus'!$A:$C,3,0)</f>
        <v>Steven</v>
      </c>
      <c r="E168" t="str">
        <f>VLOOKUP(bron[[#This Row],[personeelsnr]],'data hastus'!A:K,11,FALSE)</f>
        <v>Bart Van Der Beken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39532 Sahin Orhan</v>
      </c>
      <c r="C169" t="str">
        <f>VLOOKUP(bron[[#This Row],[personeelsnr]],'data hastus'!$A:$C,2,0)</f>
        <v>Sahin</v>
      </c>
      <c r="D169" t="str">
        <f>VLOOKUP(bron[[#This Row],[personeelsnr]],'data hastus'!$A:$C,3,0)</f>
        <v>Orhan</v>
      </c>
      <c r="E169" t="str">
        <f>VLOOKUP(bron[[#This Row],[personeelsnr]],'data hastus'!A:K,11,FALSE)</f>
        <v>Christoff Rotty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40138 Moerman Tjimmy</v>
      </c>
      <c r="C170" t="str">
        <f>VLOOKUP(bron[[#This Row],[personeelsnr]],'data hastus'!$A:$C,2,0)</f>
        <v>Moerman</v>
      </c>
      <c r="D170" t="str">
        <f>VLOOKUP(bron[[#This Row],[personeelsnr]],'data hastus'!$A:$C,3,0)</f>
        <v>Tjimmy</v>
      </c>
      <c r="E170" t="str">
        <f>VLOOKUP(bron[[#This Row],[personeelsnr]],'data hastus'!A:K,11,FALSE)</f>
        <v>Christoff Rotty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35645 Jalili Yaseeb</v>
      </c>
      <c r="C171" t="str">
        <f>VLOOKUP(bron[[#This Row],[personeelsnr]],'data hastus'!$A:$C,2,0)</f>
        <v>Jalili</v>
      </c>
      <c r="D171" t="str">
        <f>VLOOKUP(bron[[#This Row],[personeelsnr]],'data hastus'!$A:$C,3,0)</f>
        <v>Yaseeb</v>
      </c>
      <c r="E171" t="str">
        <f>VLOOKUP(bron[[#This Row],[personeelsnr]],'data hastus'!A:K,11,FALSE)</f>
        <v>Steven Storm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40939 Cisse Sayon</v>
      </c>
      <c r="C172" t="str">
        <f>VLOOKUP(bron[[#This Row],[personeelsnr]],'data hastus'!$A:$C,2,0)</f>
        <v>Cisse</v>
      </c>
      <c r="D172" t="str">
        <f>VLOOKUP(bron[[#This Row],[personeelsnr]],'data hastus'!$A:$C,3,0)</f>
        <v>Sayon</v>
      </c>
      <c r="E172" t="str">
        <f>VLOOKUP(bron[[#This Row],[personeelsnr]],'data hastus'!A:K,11,FALSE)</f>
        <v>Kenneth De Rick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28910 Gassa Osmane</v>
      </c>
      <c r="C173" t="str">
        <f>VLOOKUP(bron[[#This Row],[personeelsnr]],'data hastus'!$A:$C,2,0)</f>
        <v>Gassa</v>
      </c>
      <c r="D173" t="str">
        <f>VLOOKUP(bron[[#This Row],[personeelsnr]],'data hastus'!$A:$C,3,0)</f>
        <v>Osmane</v>
      </c>
      <c r="E173" t="str">
        <f>VLOOKUP(bron[[#This Row],[personeelsnr]],'data hastus'!A:K,11,FALSE)</f>
        <v>Bart Van Der Beken</v>
      </c>
      <c r="F173">
        <v>0</v>
      </c>
    </row>
    <row r="174" spans="1:6" x14ac:dyDescent="0.25">
      <c r="A174">
        <v>35397</v>
      </c>
      <c r="B174" t="str">
        <f>_xlfn.CONCAT(bron[[#This Row],[personeelsnr]]," ",C174," ",D174)</f>
        <v>25487 Devos Stefaan</v>
      </c>
      <c r="C174" t="str">
        <f>VLOOKUP(bron[[#This Row],[personeelsnr]],'data hastus'!$A:$C,2,0)</f>
        <v>Devos</v>
      </c>
      <c r="D174" t="str">
        <f>VLOOKUP(bron[[#This Row],[personeelsnr]],'data hastus'!$A:$C,3,0)</f>
        <v>Stefaan</v>
      </c>
      <c r="E174" t="str">
        <f>VLOOKUP(bron[[#This Row],[personeelsnr]],'data hastus'!A:K,11,FALSE)</f>
        <v>Steven Storm</v>
      </c>
      <c r="F174">
        <v>0</v>
      </c>
    </row>
    <row r="175" spans="1:6" x14ac:dyDescent="0.25">
      <c r="A175">
        <v>35490</v>
      </c>
      <c r="B175" t="str">
        <f>_xlfn.CONCAT(bron[[#This Row],[personeelsnr]]," ",C175," ",D175)</f>
        <v>41092 De Keyser Dorien</v>
      </c>
      <c r="C175" t="str">
        <f>VLOOKUP(bron[[#This Row],[personeelsnr]],'data hastus'!$A:$C,2,0)</f>
        <v>De Keyser</v>
      </c>
      <c r="D175" t="str">
        <f>VLOOKUP(bron[[#This Row],[personeelsnr]],'data hastus'!$A:$C,3,0)</f>
        <v>Dorien</v>
      </c>
      <c r="E175" t="str">
        <f>VLOOKUP(bron[[#This Row],[personeelsnr]],'data hastus'!A:K,11,FALSE)</f>
        <v>Dominique De Clercq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26960 Toubadie Mossa</v>
      </c>
      <c r="C176" t="str">
        <f>VLOOKUP(bron[[#This Row],[personeelsnr]],'data hastus'!$A:$C,2,0)</f>
        <v>Toubadie</v>
      </c>
      <c r="D176" t="str">
        <f>VLOOKUP(bron[[#This Row],[personeelsnr]],'data hastus'!$A:$C,3,0)</f>
        <v>Mossa</v>
      </c>
      <c r="E176" t="str">
        <f>VLOOKUP(bron[[#This Row],[personeelsnr]],'data hastus'!A:K,11,FALSE)</f>
        <v>Els Vanhoe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29674 Martens Geoffrey</v>
      </c>
      <c r="C177" t="str">
        <f>VLOOKUP(bron[[#This Row],[personeelsnr]],'data hastus'!$A:$C,2,0)</f>
        <v>Martens</v>
      </c>
      <c r="D177" t="str">
        <f>VLOOKUP(bron[[#This Row],[personeelsnr]],'data hastus'!$A:$C,3,0)</f>
        <v>Geoffrey</v>
      </c>
      <c r="E177" t="str">
        <f>VLOOKUP(bron[[#This Row],[personeelsnr]],'data hastus'!A:K,11,FALSE)</f>
        <v>Dominique De Clercq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16897 VandenDaele Andy</v>
      </c>
      <c r="C178" t="str">
        <f>VLOOKUP(bron[[#This Row],[personeelsnr]],'data hastus'!$A:$C,2,0)</f>
        <v>VandenDaele</v>
      </c>
      <c r="D178" t="str">
        <f>VLOOKUP(bron[[#This Row],[personeelsnr]],'data hastus'!$A:$C,3,0)</f>
        <v>Andy</v>
      </c>
      <c r="E178" t="str">
        <f>VLOOKUP(bron[[#This Row],[personeelsnr]],'data hastus'!A:K,11,FALSE)</f>
        <v>Steven Storm</v>
      </c>
      <c r="F178">
        <v>1</v>
      </c>
    </row>
    <row r="179" spans="1:6" x14ac:dyDescent="0.25">
      <c r="A179">
        <v>32168</v>
      </c>
      <c r="B179" t="str">
        <f>_xlfn.CONCAT(bron[[#This Row],[personeelsnr]]," ",C179," ",D179)</f>
        <v>32091 Köroglu Ercan</v>
      </c>
      <c r="C179" t="str">
        <f>VLOOKUP(bron[[#This Row],[personeelsnr]],'data hastus'!$A:$C,2,0)</f>
        <v>Köroglu</v>
      </c>
      <c r="D179" t="str">
        <f>VLOOKUP(bron[[#This Row],[personeelsnr]],'data hastus'!$A:$C,3,0)</f>
        <v>Ercan</v>
      </c>
      <c r="E179" t="str">
        <f>VLOOKUP(bron[[#This Row],[personeelsnr]],'data hastus'!A:K,11,FALSE)</f>
        <v>Kenneth De Rick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40591 Hiloui Mahmoud</v>
      </c>
      <c r="C180" t="str">
        <f>VLOOKUP(bron[[#This Row],[personeelsnr]],'data hastus'!$A:$C,2,0)</f>
        <v>Hiloui</v>
      </c>
      <c r="D180" t="str">
        <f>VLOOKUP(bron[[#This Row],[personeelsnr]],'data hastus'!$A:$C,3,0)</f>
        <v>Mahmoud</v>
      </c>
      <c r="E180" t="str">
        <f>VLOOKUP(bron[[#This Row],[personeelsnr]],'data hastus'!A:K,11,FALSE)</f>
        <v>Dominique De Clercq</v>
      </c>
    </row>
    <row r="181" spans="1:6" x14ac:dyDescent="0.25">
      <c r="A181">
        <v>37216</v>
      </c>
      <c r="B181" t="str">
        <f>_xlfn.CONCAT(bron[[#This Row],[personeelsnr]]," ",C181," ",D181)</f>
        <v>34019 Hoste Tom</v>
      </c>
      <c r="C181" t="str">
        <f>VLOOKUP(bron[[#This Row],[personeelsnr]],'data hastus'!$A:$C,2,0)</f>
        <v>Hoste</v>
      </c>
      <c r="D181" t="str">
        <f>VLOOKUP(bron[[#This Row],[personeelsnr]],'data hastus'!$A:$C,3,0)</f>
        <v>Tom</v>
      </c>
      <c r="E181" t="str">
        <f>VLOOKUP(bron[[#This Row],[personeelsnr]],'data hastus'!A:K,11,FALSE)</f>
        <v>Christoff Rotty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19520 Van Steenbergen Kris</v>
      </c>
      <c r="C182" t="str">
        <f>VLOOKUP(bron[[#This Row],[personeelsnr]],'data hastus'!$A:$C,2,0)</f>
        <v>Van Steenbergen</v>
      </c>
      <c r="D182" t="str">
        <f>VLOOKUP(bron[[#This Row],[personeelsnr]],'data hastus'!$A:$C,3,0)</f>
        <v>Kris</v>
      </c>
      <c r="E182" t="str">
        <f>VLOOKUP(bron[[#This Row],[personeelsnr]],'data hastus'!A:K,11,FALSE)</f>
        <v>Els Dewulf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26137 Hublau Roland</v>
      </c>
      <c r="C183" t="str">
        <f>VLOOKUP(bron[[#This Row],[personeelsnr]],'data hastus'!$A:$C,2,0)</f>
        <v>Hublau</v>
      </c>
      <c r="D183" t="str">
        <f>VLOOKUP(bron[[#This Row],[personeelsnr]],'data hastus'!$A:$C,3,0)</f>
        <v>Roland</v>
      </c>
      <c r="E183" t="str">
        <f>VLOOKUP(bron[[#This Row],[personeelsnr]],'data hastus'!A:K,11,FALSE)</f>
        <v>Steven Storm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38807 Dossche Caroline</v>
      </c>
      <c r="C184" t="str">
        <f>VLOOKUP(bron[[#This Row],[personeelsnr]],'data hastus'!$A:$C,2,0)</f>
        <v>Dossche</v>
      </c>
      <c r="D184" t="str">
        <f>VLOOKUP(bron[[#This Row],[personeelsnr]],'data hastus'!$A:$C,3,0)</f>
        <v>Caroline</v>
      </c>
      <c r="E184" t="str">
        <f>VLOOKUP(bron[[#This Row],[personeelsnr]],'data hastus'!A:K,11,FALSE)</f>
        <v>Christoff Rotty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40138 Moerman Tjimmy</v>
      </c>
      <c r="C185" t="str">
        <f>VLOOKUP(bron[[#This Row],[personeelsnr]],'data hastus'!$A:$C,2,0)</f>
        <v>Moerman</v>
      </c>
      <c r="D185" t="str">
        <f>VLOOKUP(bron[[#This Row],[personeelsnr]],'data hastus'!$A:$C,3,0)</f>
        <v>Tjimmy</v>
      </c>
      <c r="E185" t="str">
        <f>VLOOKUP(bron[[#This Row],[personeelsnr]],'data hastus'!A:K,11,FALSE)</f>
        <v>Christoff Rotty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41092 De Keyser Dorien</v>
      </c>
      <c r="C186" t="str">
        <f>VLOOKUP(bron[[#This Row],[personeelsnr]],'data hastus'!$A:$C,2,0)</f>
        <v>De Keyser</v>
      </c>
      <c r="D186" t="str">
        <f>VLOOKUP(bron[[#This Row],[personeelsnr]],'data hastus'!$A:$C,3,0)</f>
        <v>Dorien</v>
      </c>
      <c r="E186" t="str">
        <f>VLOOKUP(bron[[#This Row],[personeelsnr]],'data hastus'!A:K,11,FALSE)</f>
        <v>Dominique De Clercq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40744 Gözüküçük Ugur</v>
      </c>
      <c r="C187" t="str">
        <f>VLOOKUP(bron[[#This Row],[personeelsnr]],'data hastus'!$A:$C,2,0)</f>
        <v>Gözüküçük</v>
      </c>
      <c r="D187" t="str">
        <f>VLOOKUP(bron[[#This Row],[personeelsnr]],'data hastus'!$A:$C,3,0)</f>
        <v>Ugur</v>
      </c>
      <c r="E187" t="str">
        <f>VLOOKUP(bron[[#This Row],[personeelsnr]],'data hastus'!A:K,11,FALSE)</f>
        <v>Bart Van Der Beken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39829 Demirkaya Serkan</v>
      </c>
      <c r="C188" t="str">
        <f>VLOOKUP(bron[[#This Row],[personeelsnr]],'data hastus'!$A:$C,2,0)</f>
        <v>Demirkaya</v>
      </c>
      <c r="D188" t="str">
        <f>VLOOKUP(bron[[#This Row],[personeelsnr]],'data hastus'!$A:$C,3,0)</f>
        <v>Serkan</v>
      </c>
      <c r="E188" t="str">
        <f>VLOOKUP(bron[[#This Row],[personeelsnr]],'data hastus'!A:K,11,FALSE)</f>
        <v>Lucie Vande Velde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39779 Avci Muhammet Abdullah</v>
      </c>
      <c r="C189" t="str">
        <f>VLOOKUP(bron[[#This Row],[personeelsnr]],'data hastus'!$A:$C,2,0)</f>
        <v>Avci</v>
      </c>
      <c r="D189" t="str">
        <f>VLOOKUP(bron[[#This Row],[personeelsnr]],'data hastus'!$A:$C,3,0)</f>
        <v>Muhammet Abdullah</v>
      </c>
      <c r="E189" t="str">
        <f>VLOOKUP(bron[[#This Row],[personeelsnr]],'data hastus'!A:K,11,FALSE)</f>
        <v>Bart Van Der Beken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35397 Minbari Ako</v>
      </c>
      <c r="C190" t="str">
        <f>VLOOKUP(bron[[#This Row],[personeelsnr]],'data hastus'!$A:$C,2,0)</f>
        <v>Minbari</v>
      </c>
      <c r="D190" t="str">
        <f>VLOOKUP(bron[[#This Row],[personeelsnr]],'data hastus'!$A:$C,3,0)</f>
        <v>Ako</v>
      </c>
      <c r="E190" t="str">
        <f>VLOOKUP(bron[[#This Row],[personeelsnr]],'data hastus'!A:K,11,FALSE)</f>
        <v>Lucie Vande Velde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30121 Simons Andreas</v>
      </c>
      <c r="C191" t="str">
        <f>VLOOKUP(bron[[#This Row],[personeelsnr]],'data hastus'!$A:$C,2,0)</f>
        <v>Simons</v>
      </c>
      <c r="D191" t="str">
        <f>VLOOKUP(bron[[#This Row],[personeelsnr]],'data hastus'!$A:$C,3,0)</f>
        <v>Andreas</v>
      </c>
      <c r="E191" t="str">
        <f>VLOOKUP(bron[[#This Row],[personeelsnr]],'data hastus'!A:K,11,FALSE)</f>
        <v>Christoff Rotty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40223 Teetaert Billy</v>
      </c>
      <c r="C192" t="str">
        <f>VLOOKUP(bron[[#This Row],[personeelsnr]],'data hastus'!$A:$C,2,0)</f>
        <v>Teetaert</v>
      </c>
      <c r="D192" t="str">
        <f>VLOOKUP(bron[[#This Row],[personeelsnr]],'data hastus'!$A:$C,3,0)</f>
        <v>Billy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32387 Meersman Herman</v>
      </c>
      <c r="C193" t="str">
        <f>VLOOKUP(bron[[#This Row],[personeelsnr]],'data hastus'!$A:$C,2,0)</f>
        <v>Meersman</v>
      </c>
      <c r="D193" t="str">
        <f>VLOOKUP(bron[[#This Row],[personeelsnr]],'data hastus'!$A:$C,3,0)</f>
        <v>Herman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str">
        <f>_xlfn.CONCAT(bron[[#This Row],[personeelsnr]]," ",C194," ",D194)</f>
        <v>9824 De Meulenaere Eric</v>
      </c>
      <c r="C194" t="str">
        <f>VLOOKUP(bron[[#This Row],[personeelsnr]],'data hastus'!$A:$C,2,0)</f>
        <v>De Meulenaere</v>
      </c>
      <c r="D194" t="str">
        <f>VLOOKUP(bron[[#This Row],[personeelsnr]],'data hastus'!$A:$C,3,0)</f>
        <v>Eric</v>
      </c>
      <c r="E194" t="str">
        <f>VLOOKUP(bron[[#This Row],[personeelsnr]],'data hastus'!A:K,11,FALSE)</f>
        <v>Steven Storm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37509 Abdulkader Sabah</v>
      </c>
      <c r="C195" t="str">
        <f>VLOOKUP(bron[[#This Row],[personeelsnr]],'data hastus'!$A:$C,2,0)</f>
        <v>Abdulkader</v>
      </c>
      <c r="D195" t="str">
        <f>VLOOKUP(bron[[#This Row],[personeelsnr]],'data hastus'!$A:$C,3,0)</f>
        <v>Sabah</v>
      </c>
      <c r="E195" t="str">
        <f>VLOOKUP(bron[[#This Row],[personeelsnr]],'data hastus'!A:K,11,FALSE)</f>
        <v>Bart Van Der Beken</v>
      </c>
      <c r="F195">
        <v>1</v>
      </c>
    </row>
    <row r="196" spans="1:6" x14ac:dyDescent="0.25">
      <c r="A196">
        <v>38648</v>
      </c>
      <c r="B196" t="e">
        <f>_xlfn.CONCAT(bron[[#This Row],[personeelsnr]]," ",C196," ",D196)</f>
        <v>#N/A</v>
      </c>
      <c r="C196" t="e">
        <f>VLOOKUP(bron[[#This Row],[personeelsnr]],'data hastus'!$A:$C,2,0)</f>
        <v>#N/A</v>
      </c>
      <c r="D196" t="e">
        <f>VLOOKUP(bron[[#This Row],[personeelsnr]],'data hastus'!$A:$C,3,0)</f>
        <v>#N/A</v>
      </c>
      <c r="E196" t="e">
        <f>VLOOKUP(bron[[#This Row],[personeelsnr]],'data hastus'!A:K,11,FALSE)</f>
        <v>#N/A</v>
      </c>
      <c r="F196">
        <v>1</v>
      </c>
    </row>
    <row r="197" spans="1:6" x14ac:dyDescent="0.25">
      <c r="A197">
        <v>40608</v>
      </c>
      <c r="B197" t="e">
        <f>_xlfn.CONCAT(bron[[#This Row],[personeelsnr]]," ",C197," ",D197)</f>
        <v>#N/A</v>
      </c>
      <c r="C197" t="e">
        <f>VLOOKUP(bron[[#This Row],[personeelsnr]],'data hastus'!$A:$C,2,0)</f>
        <v>#N/A</v>
      </c>
      <c r="D197" t="e">
        <f>VLOOKUP(bron[[#This Row],[personeelsnr]],'data hastus'!$A:$C,3,0)</f>
        <v>#N/A</v>
      </c>
      <c r="E197" t="e">
        <f>VLOOKUP(bron[[#This Row],[personeelsnr]],'data hastus'!A:K,11,FALSE)</f>
        <v>#N/A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40744 Gözüküçük Ugur</v>
      </c>
      <c r="C198" t="str">
        <f>VLOOKUP(bron[[#This Row],[personeelsnr]],'data hastus'!$A:$C,2,0)</f>
        <v>Gözüküçük</v>
      </c>
      <c r="D198" t="str">
        <f>VLOOKUP(bron[[#This Row],[personeelsnr]],'data hastus'!$A:$C,3,0)</f>
        <v>Ugur</v>
      </c>
      <c r="E198" t="str">
        <f>VLOOKUP(bron[[#This Row],[personeelsnr]],'data hastus'!A:K,11,FALSE)</f>
        <v>Bart Van Der Beken</v>
      </c>
      <c r="F198">
        <v>1</v>
      </c>
    </row>
    <row r="199" spans="1:6" x14ac:dyDescent="0.25">
      <c r="A199">
        <v>30999</v>
      </c>
      <c r="B199" t="str">
        <f>_xlfn.CONCAT(bron[[#This Row],[personeelsnr]]," ",C199," ",D199)</f>
        <v>39712 Repaj Ramazan</v>
      </c>
      <c r="C199" t="str">
        <f>VLOOKUP(bron[[#This Row],[personeelsnr]],'data hastus'!$A:$C,2,0)</f>
        <v>Repaj</v>
      </c>
      <c r="D199" t="str">
        <f>VLOOKUP(bron[[#This Row],[personeelsnr]],'data hastus'!$A:$C,3,0)</f>
        <v>Ramazan</v>
      </c>
      <c r="E199" t="str">
        <f>VLOOKUP(bron[[#This Row],[personeelsnr]],'data hastus'!A:K,11,FALSE)</f>
        <v>Bart Van Der Beken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41246 Van Holsbeeck Yana</v>
      </c>
      <c r="C200" t="str">
        <f>VLOOKUP(bron[[#This Row],[personeelsnr]],'data hastus'!$A:$C,2,0)</f>
        <v>Van Holsbeeck</v>
      </c>
      <c r="D200" t="str">
        <f>VLOOKUP(bron[[#This Row],[personeelsnr]],'data hastus'!$A:$C,3,0)</f>
        <v>Yana</v>
      </c>
      <c r="E200" t="str">
        <f>VLOOKUP(bron[[#This Row],[personeelsnr]],'data hastus'!A:K,11,FALSE)</f>
        <v>Dominique De Clercq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36569 Stroobandt Jonas</v>
      </c>
      <c r="C201" t="str">
        <f>VLOOKUP(bron[[#This Row],[personeelsnr]],'data hastus'!$A:$C,2,0)</f>
        <v>Stroobandt</v>
      </c>
      <c r="D201" t="str">
        <f>VLOOKUP(bron[[#This Row],[personeelsnr]],'data hastus'!$A:$C,3,0)</f>
        <v>Jonas</v>
      </c>
      <c r="E201" t="str">
        <f>VLOOKUP(bron[[#This Row],[personeelsnr]],'data hastus'!A:K,11,FALSE)</f>
        <v>Els Vanhoe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39660 Lloyd Glenn</v>
      </c>
      <c r="C202" t="str">
        <f>VLOOKUP(bron[[#This Row],[personeelsnr]],'data hastus'!$A:$C,2,0)</f>
        <v>Lloyd</v>
      </c>
      <c r="D202" t="str">
        <f>VLOOKUP(bron[[#This Row],[personeelsnr]],'data hastus'!$A:$C,3,0)</f>
        <v>Glenn</v>
      </c>
      <c r="E202" t="str">
        <f>VLOOKUP(bron[[#This Row],[personeelsnr]],'data hastus'!A:K,11,FALSE)</f>
        <v>Bart Van Der Beken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41012 Natad Younes</v>
      </c>
      <c r="C203" t="str">
        <f>VLOOKUP(bron[[#This Row],[personeelsnr]],'data hastus'!$A:$C,2,0)</f>
        <v>Natad</v>
      </c>
      <c r="D203" t="str">
        <f>VLOOKUP(bron[[#This Row],[personeelsnr]],'data hastus'!$A:$C,3,0)</f>
        <v>Younes</v>
      </c>
      <c r="E203" t="str">
        <f>VLOOKUP(bron[[#This Row],[personeelsnr]],'data hastus'!A:K,11,FALSE)</f>
        <v>Els Vanhoe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41032 Rocabado Hinojosa Lukas</v>
      </c>
      <c r="C204" t="str">
        <f>VLOOKUP(bron[[#This Row],[personeelsnr]],'data hastus'!$A:$C,2,0)</f>
        <v>Rocabado Hinojosa</v>
      </c>
      <c r="D204" t="str">
        <f>VLOOKUP(bron[[#This Row],[personeelsnr]],'data hastus'!$A:$C,3,0)</f>
        <v>Lukas</v>
      </c>
      <c r="E204" t="str">
        <f>VLOOKUP(bron[[#This Row],[personeelsnr]],'data hastus'!A:K,11,FALSE)</f>
        <v>Els Vanhoe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41162 Hoeckman Jeroen</v>
      </c>
      <c r="C205" t="str">
        <f>VLOOKUP(bron[[#This Row],[personeelsnr]],'data hastus'!$A:$C,2,0)</f>
        <v>Hoeckman</v>
      </c>
      <c r="D205" t="str">
        <f>VLOOKUP(bron[[#This Row],[personeelsnr]],'data hastus'!$A:$C,3,0)</f>
        <v>Jeroen</v>
      </c>
      <c r="E205" t="str">
        <f>VLOOKUP(bron[[#This Row],[personeelsnr]],'data hastus'!A:K,11,FALSE)</f>
        <v>Dominique De Clercq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41091 Yavas Talha</v>
      </c>
      <c r="C206" t="str">
        <f>VLOOKUP(bron[[#This Row],[personeelsnr]],'data hastus'!$A:$C,2,0)</f>
        <v>Yavas</v>
      </c>
      <c r="D206" t="str">
        <f>VLOOKUP(bron[[#This Row],[personeelsnr]],'data hastus'!$A:$C,3,0)</f>
        <v>Talha</v>
      </c>
      <c r="E206" t="str">
        <f>VLOOKUP(bron[[#This Row],[personeelsnr]],'data hastus'!A:K,11,FALSE)</f>
        <v>Dominique De Clercq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26199 Wauters Franky</v>
      </c>
      <c r="C207" t="str">
        <f>VLOOKUP(bron[[#This Row],[personeelsnr]],'data hastus'!$A:$C,2,0)</f>
        <v>Wauters</v>
      </c>
      <c r="D207" t="str">
        <f>VLOOKUP(bron[[#This Row],[personeelsnr]],'data hastus'!$A:$C,3,0)</f>
        <v>Franky</v>
      </c>
      <c r="E207" t="str">
        <f>VLOOKUP(bron[[#This Row],[personeelsnr]],'data hastus'!A:K,11,FALSE)</f>
        <v>Els Vanhoe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37662 Van den Meerssche Steven</v>
      </c>
      <c r="C208" t="str">
        <f>VLOOKUP(bron[[#This Row],[personeelsnr]],'data hastus'!$A:$C,2,0)</f>
        <v>Van den Meerssche</v>
      </c>
      <c r="D208" t="str">
        <f>VLOOKUP(bron[[#This Row],[personeelsnr]],'data hastus'!$A:$C,3,0)</f>
        <v>Steven</v>
      </c>
      <c r="E208" t="str">
        <f>VLOOKUP(bron[[#This Row],[personeelsnr]],'data hastus'!A:K,11,FALSE)</f>
        <v>Bart Van Der Beken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11236 Baert Freddy</v>
      </c>
      <c r="C209" t="str">
        <f>VLOOKUP(bron[[#This Row],[personeelsnr]],'data hastus'!$A:$C,2,0)</f>
        <v>Baert</v>
      </c>
      <c r="D209" t="str">
        <f>VLOOKUP(bron[[#This Row],[personeelsnr]],'data hastus'!$A:$C,3,0)</f>
        <v>Freddy</v>
      </c>
      <c r="E209" t="str">
        <f>VLOOKUP(bron[[#This Row],[personeelsnr]],'data hastus'!A:K,11,FALSE)</f>
        <v>Bart Van Der Beken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41383 De Pauw Tony</v>
      </c>
      <c r="C210" t="str">
        <f>VLOOKUP(bron[[#This Row],[personeelsnr]],'data hastus'!$A:$C,2,0)</f>
        <v>De Pauw</v>
      </c>
      <c r="D210" t="str">
        <f>VLOOKUP(bron[[#This Row],[personeelsnr]],'data hastus'!$A:$C,3,0)</f>
        <v>Tony</v>
      </c>
      <c r="E210" t="str">
        <f>VLOOKUP(bron[[#This Row],[personeelsnr]],'data hastus'!A:K,11,FALSE)</f>
        <v>Els Vanhoe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37496 Oosterlinck Willy</v>
      </c>
      <c r="C211" t="str">
        <f>VLOOKUP(bron[[#This Row],[personeelsnr]],'data hastus'!$A:$C,2,0)</f>
        <v>Oosterlinck</v>
      </c>
      <c r="D211" t="str">
        <f>VLOOKUP(bron[[#This Row],[personeelsnr]],'data hastus'!$A:$C,3,0)</f>
        <v>Willy</v>
      </c>
      <c r="E211" t="str">
        <f>VLOOKUP(bron[[#This Row],[personeelsnr]],'data hastus'!A:K,11,FALSE)</f>
        <v>Dominique De Clercq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6229 De Meyer Antoon</v>
      </c>
      <c r="C212" t="str">
        <f>VLOOKUP(bron[[#This Row],[personeelsnr]],'data hastus'!$A:$C,2,0)</f>
        <v>De Meyer</v>
      </c>
      <c r="D212" t="str">
        <f>VLOOKUP(bron[[#This Row],[personeelsnr]],'data hastus'!$A:$C,3,0)</f>
        <v>Antoon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39267 Van Holsbeeck Jens</v>
      </c>
      <c r="C213" t="str">
        <f>VLOOKUP(bron[[#This Row],[personeelsnr]],'data hastus'!$A:$C,2,0)</f>
        <v>Van Holsbeeck</v>
      </c>
      <c r="D213" t="str">
        <f>VLOOKUP(bron[[#This Row],[personeelsnr]],'data hastus'!$A:$C,3,0)</f>
        <v>Jens</v>
      </c>
      <c r="E213" t="str">
        <f>VLOOKUP(bron[[#This Row],[personeelsnr]],'data hastus'!A:K,11,FALSE)</f>
        <v>Christoff Rotty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25679 Vanrenterghem Serge</v>
      </c>
      <c r="C214" t="str">
        <f>VLOOKUP(bron[[#This Row],[personeelsnr]],'data hastus'!$A:$C,2,0)</f>
        <v>Vanrenterghem</v>
      </c>
      <c r="D214" t="str">
        <f>VLOOKUP(bron[[#This Row],[personeelsnr]],'data hastus'!$A:$C,3,0)</f>
        <v>Serge</v>
      </c>
      <c r="E214" t="str">
        <f>VLOOKUP(bron[[#This Row],[personeelsnr]],'data hastus'!A:K,11,FALSE)</f>
        <v>Christoff Rotty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40223 Teetaert Billy</v>
      </c>
      <c r="C215" t="str">
        <f>VLOOKUP(bron[[#This Row],[personeelsnr]],'data hastus'!$A:$C,2,0)</f>
        <v>Teetaert</v>
      </c>
      <c r="D215" t="str">
        <f>VLOOKUP(bron[[#This Row],[personeelsnr]],'data hastus'!$A:$C,3,0)</f>
        <v>Billy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str">
        <f>_xlfn.CONCAT(bron[[#This Row],[personeelsnr]]," ",C216," ",D216)</f>
        <v>28737 El-Mohamed Mohamed</v>
      </c>
      <c r="C216" t="str">
        <f>VLOOKUP(bron[[#This Row],[personeelsnr]],'data hastus'!$A:$C,2,0)</f>
        <v>El-Mohamed</v>
      </c>
      <c r="D216" t="str">
        <f>VLOOKUP(bron[[#This Row],[personeelsnr]],'data hastus'!$A:$C,3,0)</f>
        <v>Mohamed</v>
      </c>
      <c r="E216" t="str">
        <f>VLOOKUP(bron[[#This Row],[personeelsnr]],'data hastus'!A:K,11,FALSE)</f>
        <v>Lucie Vande Velde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4419 Maelbrancke Eddy</v>
      </c>
      <c r="C217" t="str">
        <f>VLOOKUP(bron[[#This Row],[personeelsnr]],'data hastus'!$A:$C,2,0)</f>
        <v>Maelbrancke</v>
      </c>
      <c r="D217" t="str">
        <f>VLOOKUP(bron[[#This Row],[personeelsnr]],'data hastus'!$A:$C,3,0)</f>
        <v>Eddy</v>
      </c>
      <c r="E217" t="str">
        <f>VLOOKUP(bron[[#This Row],[personeelsnr]],'data hastus'!A:K,11,FALSE)</f>
        <v>Lucie Vande Velde</v>
      </c>
      <c r="F217">
        <v>1</v>
      </c>
    </row>
    <row r="218" spans="1:6" x14ac:dyDescent="0.25">
      <c r="A218">
        <v>26137</v>
      </c>
      <c r="B218" t="str">
        <f>_xlfn.CONCAT(bron[[#This Row],[personeelsnr]]," ",C218," ",D218)</f>
        <v>40055 Afara Ammar</v>
      </c>
      <c r="C218" t="str">
        <f>VLOOKUP(bron[[#This Row],[personeelsnr]],'data hastus'!$A:$C,2,0)</f>
        <v>Afara</v>
      </c>
      <c r="D218" t="str">
        <f>VLOOKUP(bron[[#This Row],[personeelsnr]],'data hastus'!$A:$C,3,0)</f>
        <v>Ammar</v>
      </c>
      <c r="E218" t="str">
        <f>VLOOKUP(bron[[#This Row],[personeelsnr]],'data hastus'!A:K,11,FALSE)</f>
        <v>Els Vanhoe</v>
      </c>
      <c r="F218">
        <v>1</v>
      </c>
    </row>
    <row r="219" spans="1:6" x14ac:dyDescent="0.25">
      <c r="A219">
        <v>31689</v>
      </c>
      <c r="B219" t="str">
        <f>_xlfn.CONCAT(bron[[#This Row],[personeelsnr]]," ",C219," ",D219)</f>
        <v>40856 Neissi Sadegh</v>
      </c>
      <c r="C219" t="str">
        <f>VLOOKUP(bron[[#This Row],[personeelsnr]],'data hastus'!$A:$C,2,0)</f>
        <v>Neissi</v>
      </c>
      <c r="D219" t="str">
        <f>VLOOKUP(bron[[#This Row],[personeelsnr]],'data hastus'!$A:$C,3,0)</f>
        <v>Sadegh</v>
      </c>
      <c r="E219" t="str">
        <f>VLOOKUP(bron[[#This Row],[personeelsnr]],'data hastus'!A:K,11,FALSE)</f>
        <v>Kenneth De Rick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17951 Lega Claude</v>
      </c>
      <c r="C220" t="str">
        <f>VLOOKUP(bron[[#This Row],[personeelsnr]],'data hastus'!$A:$C,2,0)</f>
        <v>Lega</v>
      </c>
      <c r="D220" t="str">
        <f>VLOOKUP(bron[[#This Row],[personeelsnr]],'data hastus'!$A:$C,3,0)</f>
        <v>Claude</v>
      </c>
      <c r="E220" t="str">
        <f>VLOOKUP(bron[[#This Row],[personeelsnr]],'data hastus'!A:K,11,FALSE)</f>
        <v>Bart Van Der Beken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40266 Taibi Yassine</v>
      </c>
      <c r="C221" t="str">
        <f>VLOOKUP(bron[[#This Row],[personeelsnr]],'data hastus'!$A:$C,2,0)</f>
        <v>Taibi</v>
      </c>
      <c r="D221" t="str">
        <f>VLOOKUP(bron[[#This Row],[personeelsnr]],'data hastus'!$A:$C,3,0)</f>
        <v>Yassine</v>
      </c>
      <c r="E221" t="str">
        <f>VLOOKUP(bron[[#This Row],[personeelsnr]],'data hastus'!A:K,11,FALSE)</f>
        <v>Christoff Rotty</v>
      </c>
      <c r="F221">
        <v>1</v>
      </c>
    </row>
    <row r="222" spans="1:6" x14ac:dyDescent="0.25">
      <c r="A222">
        <v>35026</v>
      </c>
      <c r="B222" t="str">
        <f>_xlfn.CONCAT(bron[[#This Row],[personeelsnr]]," ",C222," ",D222)</f>
        <v>40859 Yagoub Abdelali</v>
      </c>
      <c r="C222" t="str">
        <f>VLOOKUP(bron[[#This Row],[personeelsnr]],'data hastus'!$A:$C,2,0)</f>
        <v>Yagoub</v>
      </c>
      <c r="D222" t="str">
        <f>VLOOKUP(bron[[#This Row],[personeelsnr]],'data hastus'!$A:$C,3,0)</f>
        <v>Abdelali</v>
      </c>
      <c r="E222" t="str">
        <f>VLOOKUP(bron[[#This Row],[personeelsnr]],'data hastus'!A:K,11,FALSE)</f>
        <v>Els Vanhoe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41162 Hoeckman Jeroen</v>
      </c>
      <c r="C223" t="str">
        <f>VLOOKUP(bron[[#This Row],[personeelsnr]],'data hastus'!$A:$C,2,0)</f>
        <v>Hoeckman</v>
      </c>
      <c r="D223" t="str">
        <f>VLOOKUP(bron[[#This Row],[personeelsnr]],'data hastus'!$A:$C,3,0)</f>
        <v>Jeroen</v>
      </c>
      <c r="E223" t="str">
        <f>VLOOKUP(bron[[#This Row],[personeelsnr]],'data hastus'!A:K,11,FALSE)</f>
        <v>Dominique De Clercq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41092 De Keyser Dorien</v>
      </c>
      <c r="C224" t="str">
        <f>VLOOKUP(bron[[#This Row],[personeelsnr]],'data hastus'!$A:$C,2,0)</f>
        <v>De Keyser</v>
      </c>
      <c r="D224" t="str">
        <f>VLOOKUP(bron[[#This Row],[personeelsnr]],'data hastus'!$A:$C,3,0)</f>
        <v>Dorien</v>
      </c>
      <c r="E224" t="str">
        <f>VLOOKUP(bron[[#This Row],[personeelsnr]],'data hastus'!A:K,11,FALSE)</f>
        <v>Dominique De Clercq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16545 Toch Erwin</v>
      </c>
      <c r="C225" t="str">
        <f>VLOOKUP(bron[[#This Row],[personeelsnr]],'data hastus'!$A:$C,2,0)</f>
        <v>Toch</v>
      </c>
      <c r="D225" t="str">
        <f>VLOOKUP(bron[[#This Row],[personeelsnr]],'data hastus'!$A:$C,3,0)</f>
        <v>Erwin</v>
      </c>
      <c r="E225" t="str">
        <f>VLOOKUP(bron[[#This Row],[personeelsnr]],'data hastus'!A:K,11,FALSE)</f>
        <v>Bart Van Der Beken</v>
      </c>
    </row>
    <row r="226" spans="1:6" x14ac:dyDescent="0.25">
      <c r="A226">
        <v>39558</v>
      </c>
      <c r="B226" t="str">
        <f>_xlfn.CONCAT(bron[[#This Row],[personeelsnr]]," ",C226," ",D226)</f>
        <v>21424 Verstichel Jethro</v>
      </c>
      <c r="C226" t="str">
        <f>VLOOKUP(bron[[#This Row],[personeelsnr]],'data hastus'!$A:$C,2,0)</f>
        <v>Verstichel</v>
      </c>
      <c r="D226" t="str">
        <f>VLOOKUP(bron[[#This Row],[personeelsnr]],'data hastus'!$A:$C,3,0)</f>
        <v>Jethro</v>
      </c>
      <c r="E226" t="str">
        <f>VLOOKUP(bron[[#This Row],[personeelsnr]],'data hastus'!A:K,11,FALSE)</f>
        <v>Els Dewulf</v>
      </c>
      <c r="F226">
        <v>1</v>
      </c>
    </row>
    <row r="227" spans="1:6" x14ac:dyDescent="0.25">
      <c r="A227">
        <v>40414</v>
      </c>
      <c r="B227" t="e">
        <f>_xlfn.CONCAT(bron[[#This Row],[personeelsnr]]," ",C227," ",D227)</f>
        <v>#N/A</v>
      </c>
      <c r="C227" t="e">
        <f>VLOOKUP(bron[[#This Row],[personeelsnr]],'data hastus'!$A:$C,2,0)</f>
        <v>#N/A</v>
      </c>
      <c r="D227" t="e">
        <f>VLOOKUP(bron[[#This Row],[personeelsnr]],'data hastus'!$A:$C,3,0)</f>
        <v>#N/A</v>
      </c>
      <c r="E227" t="e">
        <f>VLOOKUP(bron[[#This Row],[personeelsnr]],'data hastus'!A:K,11,FALSE)</f>
        <v>#N/A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12514 De Smet Kenneth</v>
      </c>
      <c r="C228" t="str">
        <f>VLOOKUP(bron[[#This Row],[personeelsnr]],'data hastus'!$A:$C,2,0)</f>
        <v>De Smet</v>
      </c>
      <c r="D228" t="str">
        <f>VLOOKUP(bron[[#This Row],[personeelsnr]],'data hastus'!$A:$C,3,0)</f>
        <v>Kenneth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37496 Oosterlinck Willy</v>
      </c>
      <c r="C229" t="str">
        <f>VLOOKUP(bron[[#This Row],[personeelsnr]],'data hastus'!$A:$C,2,0)</f>
        <v>Oosterlinck</v>
      </c>
      <c r="D229" t="str">
        <f>VLOOKUP(bron[[#This Row],[personeelsnr]],'data hastus'!$A:$C,3,0)</f>
        <v>Willy</v>
      </c>
      <c r="E229" t="str">
        <f>VLOOKUP(bron[[#This Row],[personeelsnr]],'data hastus'!A:K,11,FALSE)</f>
        <v>Dominique De Clercq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39532 Sahin Orhan</v>
      </c>
      <c r="C230" t="str">
        <f>VLOOKUP(bron[[#This Row],[personeelsnr]],'data hastus'!$A:$C,2,0)</f>
        <v>Sahin</v>
      </c>
      <c r="D230" t="str">
        <f>VLOOKUP(bron[[#This Row],[personeelsnr]],'data hastus'!$A:$C,3,0)</f>
        <v>Orhan</v>
      </c>
      <c r="E230" t="str">
        <f>VLOOKUP(bron[[#This Row],[personeelsnr]],'data hastus'!A:K,11,FALSE)</f>
        <v>Christoff Rotty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36663 Cesmeli Achraf</v>
      </c>
      <c r="C231" t="str">
        <f>VLOOKUP(bron[[#This Row],[personeelsnr]],'data hastus'!$A:$C,2,0)</f>
        <v>Cesmeli</v>
      </c>
      <c r="D231" t="str">
        <f>VLOOKUP(bron[[#This Row],[personeelsnr]],'data hastus'!$A:$C,3,0)</f>
        <v>Achraf</v>
      </c>
      <c r="E231" t="str">
        <f>VLOOKUP(bron[[#This Row],[personeelsnr]],'data hastus'!A:K,11,FALSE)</f>
        <v>Dominique De Clercq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40652 Van Damme Gilyann</v>
      </c>
      <c r="C232" t="str">
        <f>VLOOKUP(bron[[#This Row],[personeelsnr]],'data hastus'!$A:$C,2,0)</f>
        <v>Van Damme</v>
      </c>
      <c r="D232" t="str">
        <f>VLOOKUP(bron[[#This Row],[personeelsnr]],'data hastus'!$A:$C,3,0)</f>
        <v>Gilyann</v>
      </c>
      <c r="E232" t="str">
        <f>VLOOKUP(bron[[#This Row],[personeelsnr]],'data hastus'!A:K,11,FALSE)</f>
        <v>Els Vanhoe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33640 Verschraegen Patrick</v>
      </c>
      <c r="C233" t="str">
        <f>VLOOKUP(bron[[#This Row],[personeelsnr]],'data hastus'!$A:$C,2,0)</f>
        <v>Verschraegen</v>
      </c>
      <c r="D233" t="str">
        <f>VLOOKUP(bron[[#This Row],[personeelsnr]],'data hastus'!$A:$C,3,0)</f>
        <v>Patrick</v>
      </c>
      <c r="E233" t="str">
        <f>VLOOKUP(bron[[#This Row],[personeelsnr]],'data hastus'!A:K,11,FALSE)</f>
        <v>Steven Storm</v>
      </c>
      <c r="F233">
        <v>1</v>
      </c>
    </row>
    <row r="234" spans="1:6" x14ac:dyDescent="0.25">
      <c r="A234">
        <v>30321</v>
      </c>
      <c r="B234" t="str">
        <f>_xlfn.CONCAT(bron[[#This Row],[personeelsnr]]," ",C234," ",D234)</f>
        <v>19249 Odaci Kadir</v>
      </c>
      <c r="C234" t="str">
        <f>VLOOKUP(bron[[#This Row],[personeelsnr]],'data hastus'!$A:$C,2,0)</f>
        <v>Odaci</v>
      </c>
      <c r="D234" t="str">
        <f>VLOOKUP(bron[[#This Row],[personeelsnr]],'data hastus'!$A:$C,3,0)</f>
        <v>Kadir</v>
      </c>
      <c r="E234" t="str">
        <f>VLOOKUP(bron[[#This Row],[personeelsnr]],'data hastus'!A:K,11,FALSE)</f>
        <v>Lucie Vande Velde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21424 Verstichel Jethro</v>
      </c>
      <c r="C235" t="str">
        <f>VLOOKUP(bron[[#This Row],[personeelsnr]],'data hastus'!$A:$C,2,0)</f>
        <v>Verstichel</v>
      </c>
      <c r="D235" t="str">
        <f>VLOOKUP(bron[[#This Row],[personeelsnr]],'data hastus'!$A:$C,3,0)</f>
        <v>Jethro</v>
      </c>
      <c r="E235" t="str">
        <f>VLOOKUP(bron[[#This Row],[personeelsnr]],'data hastus'!A:K,11,FALSE)</f>
        <v>Els Dewulf</v>
      </c>
      <c r="F235">
        <v>1</v>
      </c>
    </row>
    <row r="236" spans="1:6" x14ac:dyDescent="0.25">
      <c r="A236">
        <v>34328</v>
      </c>
      <c r="B236" t="str">
        <f>_xlfn.CONCAT(bron[[#This Row],[personeelsnr]]," ",C236," ",D236)</f>
        <v>35491 Toubadie Zakaria</v>
      </c>
      <c r="C236" t="str">
        <f>VLOOKUP(bron[[#This Row],[personeelsnr]],'data hastus'!$A:$C,2,0)</f>
        <v>Toubadie</v>
      </c>
      <c r="D236" t="str">
        <f>VLOOKUP(bron[[#This Row],[personeelsnr]],'data hastus'!$A:$C,3,0)</f>
        <v>Zakaria</v>
      </c>
      <c r="E236" t="str">
        <f>VLOOKUP(bron[[#This Row],[personeelsnr]],'data hastus'!A:K,11,FALSE)</f>
        <v>Els Vanhoe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40138 Moerman Tjimmy</v>
      </c>
      <c r="C237" t="str">
        <f>VLOOKUP(bron[[#This Row],[personeelsnr]],'data hastus'!$A:$C,2,0)</f>
        <v>Moerman</v>
      </c>
      <c r="D237" t="str">
        <f>VLOOKUP(bron[[#This Row],[personeelsnr]],'data hastus'!$A:$C,3,0)</f>
        <v>Tjimmy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36663 Cesmeli Achraf</v>
      </c>
      <c r="C238" t="str">
        <f>VLOOKUP(bron[[#This Row],[personeelsnr]],'data hastus'!$A:$C,2,0)</f>
        <v>Cesmeli</v>
      </c>
      <c r="D238" t="str">
        <f>VLOOKUP(bron[[#This Row],[personeelsnr]],'data hastus'!$A:$C,3,0)</f>
        <v>Achraf</v>
      </c>
      <c r="E238" t="str">
        <f>VLOOKUP(bron[[#This Row],[personeelsnr]],'data hastus'!A:K,11,FALSE)</f>
        <v>Dominique De Clercq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13398 Kirdas Ramazan</v>
      </c>
      <c r="C239" t="str">
        <f>VLOOKUP(bron[[#This Row],[personeelsnr]],'data hastus'!$A:$C,2,0)</f>
        <v>Kirdas</v>
      </c>
      <c r="D239" t="str">
        <f>VLOOKUP(bron[[#This Row],[personeelsnr]],'data hastus'!$A:$C,3,0)</f>
        <v>Ramazan</v>
      </c>
      <c r="E239" t="str">
        <f>VLOOKUP(bron[[#This Row],[personeelsnr]],'data hastus'!A:K,11,FALSE)</f>
        <v>Dominique De Clercq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35395 Limbourg Heidi</v>
      </c>
      <c r="C240" t="str">
        <f>VLOOKUP(bron[[#This Row],[personeelsnr]],'data hastus'!$A:$C,2,0)</f>
        <v>Limbourg</v>
      </c>
      <c r="D240" t="str">
        <f>VLOOKUP(bron[[#This Row],[personeelsnr]],'data hastus'!$A:$C,3,0)</f>
        <v>Heidi</v>
      </c>
      <c r="E240" t="str">
        <f>VLOOKUP(bron[[#This Row],[personeelsnr]],'data hastus'!A:K,11,FALSE)</f>
        <v>Steven Storm</v>
      </c>
      <c r="F240">
        <v>1</v>
      </c>
    </row>
    <row r="241" spans="1:6" x14ac:dyDescent="0.25">
      <c r="A241">
        <v>39907</v>
      </c>
      <c r="B241" t="str">
        <f>_xlfn.CONCAT(bron[[#This Row],[personeelsnr]]," ",C241," ",D241)</f>
        <v>31360 Simsek Fatih</v>
      </c>
      <c r="C241" t="str">
        <f>VLOOKUP(bron[[#This Row],[personeelsnr]],'data hastus'!$A:$C,2,0)</f>
        <v>Simsek</v>
      </c>
      <c r="D241" t="str">
        <f>VLOOKUP(bron[[#This Row],[personeelsnr]],'data hastus'!$A:$C,3,0)</f>
        <v>Fatih</v>
      </c>
      <c r="E241" t="str">
        <f>VLOOKUP(bron[[#This Row],[personeelsnr]],'data hastus'!A:K,11,FALSE)</f>
        <v>Dominique De Clercq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39660 Lloyd Glenn</v>
      </c>
      <c r="C242" t="str">
        <f>VLOOKUP(bron[[#This Row],[personeelsnr]],'data hastus'!$A:$C,2,0)</f>
        <v>Lloyd</v>
      </c>
      <c r="D242" t="str">
        <f>VLOOKUP(bron[[#This Row],[personeelsnr]],'data hastus'!$A:$C,3,0)</f>
        <v>Glenn</v>
      </c>
      <c r="E242" t="str">
        <f>VLOOKUP(bron[[#This Row],[personeelsnr]],'data hastus'!A:K,11,FALSE)</f>
        <v>Bart Van Der Beken</v>
      </c>
      <c r="F242">
        <v>1</v>
      </c>
    </row>
    <row r="243" spans="1:6" x14ac:dyDescent="0.25">
      <c r="A243">
        <v>22416</v>
      </c>
      <c r="B243" t="str">
        <f>_xlfn.CONCAT(bron[[#This Row],[personeelsnr]]," ",C243," ",D243)</f>
        <v>41162 Hoeckman Jeroen</v>
      </c>
      <c r="C243" t="str">
        <f>VLOOKUP(bron[[#This Row],[personeelsnr]],'data hastus'!$A:$C,2,0)</f>
        <v>Hoeckman</v>
      </c>
      <c r="D243" t="str">
        <f>VLOOKUP(bron[[#This Row],[personeelsnr]],'data hastus'!$A:$C,3,0)</f>
        <v>Jeroen</v>
      </c>
      <c r="E243" t="str">
        <f>VLOOKUP(bron[[#This Row],[personeelsnr]],'data hastus'!A:K,11,FALSE)</f>
        <v>Dominique De Clercq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34351 Callant Dieter</v>
      </c>
      <c r="C244" t="str">
        <f>VLOOKUP(bron[[#This Row],[personeelsnr]],'data hastus'!$A:$C,2,0)</f>
        <v>Callant</v>
      </c>
      <c r="D244" t="str">
        <f>VLOOKUP(bron[[#This Row],[personeelsnr]],'data hastus'!$A:$C,3,0)</f>
        <v>Dieter</v>
      </c>
      <c r="E244" t="str">
        <f>VLOOKUP(bron[[#This Row],[personeelsnr]],'data hastus'!A:K,11,FALSE)</f>
        <v>Els Vanhoe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21581 Vanderstraeten Franky</v>
      </c>
      <c r="C245" t="str">
        <f>VLOOKUP(bron[[#This Row],[personeelsnr]],'data hastus'!$A:$C,2,0)</f>
        <v>Vanderstraeten</v>
      </c>
      <c r="D245" t="str">
        <f>VLOOKUP(bron[[#This Row],[personeelsnr]],'data hastus'!$A:$C,3,0)</f>
        <v>Franky</v>
      </c>
      <c r="E245" t="str">
        <f>VLOOKUP(bron[[#This Row],[personeelsnr]],'data hastus'!A:K,11,FALSE)</f>
        <v>Lucie Vande Velde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39673 Steurbaut Henri</v>
      </c>
      <c r="C246" t="str">
        <f>VLOOKUP(bron[[#This Row],[personeelsnr]],'data hastus'!$A:$C,2,0)</f>
        <v>Steurbaut</v>
      </c>
      <c r="D246" t="str">
        <f>VLOOKUP(bron[[#This Row],[personeelsnr]],'data hastus'!$A:$C,3,0)</f>
        <v>Henri</v>
      </c>
      <c r="E246" t="str">
        <f>VLOOKUP(bron[[#This Row],[personeelsnr]],'data hastus'!A:K,11,FALSE)</f>
        <v>Els Vanhoe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8394 Smet Antoon</v>
      </c>
      <c r="C247" t="str">
        <f>VLOOKUP(bron[[#This Row],[personeelsnr]],'data hastus'!$A:$C,2,0)</f>
        <v>Smet</v>
      </c>
      <c r="D247" t="str">
        <f>VLOOKUP(bron[[#This Row],[personeelsnr]],'data hastus'!$A:$C,3,0)</f>
        <v>Antoon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33965 Van de Gehuchte Gilles</v>
      </c>
      <c r="C248" t="str">
        <f>VLOOKUP(bron[[#This Row],[personeelsnr]],'data hastus'!$A:$C,2,0)</f>
        <v>Van de Gehuchte</v>
      </c>
      <c r="D248" t="str">
        <f>VLOOKUP(bron[[#This Row],[personeelsnr]],'data hastus'!$A:$C,3,0)</f>
        <v>Gilles</v>
      </c>
      <c r="E248" t="str">
        <f>VLOOKUP(bron[[#This Row],[personeelsnr]],'data hastus'!A:K,11,FALSE)</f>
        <v>Kenneth De Rick</v>
      </c>
    </row>
    <row r="249" spans="1:6" x14ac:dyDescent="0.25">
      <c r="A249">
        <v>39379</v>
      </c>
      <c r="B249" t="str">
        <f>_xlfn.CONCAT(bron[[#This Row],[personeelsnr]]," ",C249," ",D249)</f>
        <v>22240 Delahaye Karina</v>
      </c>
      <c r="C249" t="str">
        <f>VLOOKUP(bron[[#This Row],[personeelsnr]],'data hastus'!$A:$C,2,0)</f>
        <v>Delahaye</v>
      </c>
      <c r="D249" t="str">
        <f>VLOOKUP(bron[[#This Row],[personeelsnr]],'data hastus'!$A:$C,3,0)</f>
        <v>Karina</v>
      </c>
      <c r="E249" t="str">
        <f>VLOOKUP(bron[[#This Row],[personeelsnr]],'data hastus'!A:K,11,FALSE)</f>
        <v>Els Dewulf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40969 Kerman Melisa</v>
      </c>
      <c r="C250" t="str">
        <f>VLOOKUP(bron[[#This Row],[personeelsnr]],'data hastus'!$A:$C,2,0)</f>
        <v>Kerman</v>
      </c>
      <c r="D250" t="str">
        <f>VLOOKUP(bron[[#This Row],[personeelsnr]],'data hastus'!$A:$C,3,0)</f>
        <v>Melisa</v>
      </c>
      <c r="E250" t="str">
        <f>VLOOKUP(bron[[#This Row],[personeelsnr]],'data hastus'!A:K,11,FALSE)</f>
        <v>Steven Storm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36626 Kartal Kadir</v>
      </c>
      <c r="C251" t="str">
        <f>VLOOKUP(bron[[#This Row],[personeelsnr]],'data hastus'!$A:$C,2,0)</f>
        <v>Kartal</v>
      </c>
      <c r="D251" t="str">
        <f>VLOOKUP(bron[[#This Row],[personeelsnr]],'data hastus'!$A:$C,3,0)</f>
        <v>Kadir</v>
      </c>
      <c r="E251" t="str">
        <f>VLOOKUP(bron[[#This Row],[personeelsnr]],'data hastus'!A:K,11,FALSE)</f>
        <v>Els Dewulf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40005 Bernaerts Philip</v>
      </c>
      <c r="C252" t="str">
        <f>VLOOKUP(bron[[#This Row],[personeelsnr]],'data hastus'!$A:$C,2,0)</f>
        <v>Bernaerts</v>
      </c>
      <c r="D252" t="str">
        <f>VLOOKUP(bron[[#This Row],[personeelsnr]],'data hastus'!$A:$C,3,0)</f>
        <v>Philip</v>
      </c>
      <c r="E252" t="str">
        <f>VLOOKUP(bron[[#This Row],[personeelsnr]],'data hastus'!A:K,11,FALSE)</f>
        <v>Christoff Rotty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30967 Taser Fatih</v>
      </c>
      <c r="C253" t="str">
        <f>VLOOKUP(bron[[#This Row],[personeelsnr]],'data hastus'!$A:$C,2,0)</f>
        <v>Taser</v>
      </c>
      <c r="D253" t="str">
        <f>VLOOKUP(bron[[#This Row],[personeelsnr]],'data hastus'!$A:$C,3,0)</f>
        <v>Fatih</v>
      </c>
      <c r="E253" t="str">
        <f>VLOOKUP(bron[[#This Row],[personeelsnr]],'data hastus'!A:K,11,FALSE)</f>
        <v>Dominique De Clercq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25487 Devos Stefaan</v>
      </c>
      <c r="C254" t="str">
        <f>VLOOKUP(bron[[#This Row],[personeelsnr]],'data hastus'!$A:$C,2,0)</f>
        <v>Devos</v>
      </c>
      <c r="D254" t="str">
        <f>VLOOKUP(bron[[#This Row],[personeelsnr]],'data hastus'!$A:$C,3,0)</f>
        <v>Stefaan</v>
      </c>
      <c r="E254" t="str">
        <f>VLOOKUP(bron[[#This Row],[personeelsnr]],'data hastus'!A:K,11,FALSE)</f>
        <v>Steven Storm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36626 Kartal Kadir</v>
      </c>
      <c r="C255" t="str">
        <f>VLOOKUP(bron[[#This Row],[personeelsnr]],'data hastus'!$A:$C,2,0)</f>
        <v>Kartal</v>
      </c>
      <c r="D255" t="str">
        <f>VLOOKUP(bron[[#This Row],[personeelsnr]],'data hastus'!$A:$C,3,0)</f>
        <v>Kadir</v>
      </c>
      <c r="E255" t="str">
        <f>VLOOKUP(bron[[#This Row],[personeelsnr]],'data hastus'!A:K,11,FALSE)</f>
        <v>Els Dewulf</v>
      </c>
      <c r="F255">
        <v>1</v>
      </c>
    </row>
    <row r="256" spans="1:6" x14ac:dyDescent="0.25">
      <c r="A256">
        <v>12819</v>
      </c>
      <c r="B256" t="e">
        <f>_xlfn.CONCAT(bron[[#This Row],[personeelsnr]]," ",C256," ",D256)</f>
        <v>#N/A</v>
      </c>
      <c r="C256" t="e">
        <f>VLOOKUP(bron[[#This Row],[personeelsnr]],'data hastus'!$A:$C,2,0)</f>
        <v>#N/A</v>
      </c>
      <c r="D256" t="e">
        <f>VLOOKUP(bron[[#This Row],[personeelsnr]],'data hastus'!$A:$C,3,0)</f>
        <v>#N/A</v>
      </c>
      <c r="E256" t="e">
        <f>VLOOKUP(bron[[#This Row],[personeelsnr]],'data hastus'!A:K,11,FALSE)</f>
        <v>#N/A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40444 Van Damme Glenn</v>
      </c>
      <c r="C257" t="str">
        <f>VLOOKUP(bron[[#This Row],[personeelsnr]],'data hastus'!$A:$C,2,0)</f>
        <v>Van Damme</v>
      </c>
      <c r="D257" t="str">
        <f>VLOOKUP(bron[[#This Row],[personeelsnr]],'data hastus'!$A:$C,3,0)</f>
        <v>Glenn</v>
      </c>
      <c r="E257" t="str">
        <f>VLOOKUP(bron[[#This Row],[personeelsnr]],'data hastus'!A:K,11,FALSE)</f>
        <v>Els Dewulf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33986 Göktas Muharrem</v>
      </c>
      <c r="C258" t="str">
        <f>VLOOKUP(bron[[#This Row],[personeelsnr]],'data hastus'!$A:$C,2,0)</f>
        <v>Göktas</v>
      </c>
      <c r="D258" t="str">
        <f>VLOOKUP(bron[[#This Row],[personeelsnr]],'data hastus'!$A:$C,3,0)</f>
        <v>Muharrem</v>
      </c>
      <c r="E258" t="str">
        <f>VLOOKUP(bron[[#This Row],[personeelsnr]],'data hastus'!A:K,11,FALSE)</f>
        <v>Kenneth De Rick</v>
      </c>
    </row>
    <row r="259" spans="1:6" x14ac:dyDescent="0.25">
      <c r="A259">
        <v>16895</v>
      </c>
      <c r="B259" t="str">
        <f>_xlfn.CONCAT(bron[[#This Row],[personeelsnr]]," ",C259," ",D259)</f>
        <v>36428 Abdi Shaiye Rashid</v>
      </c>
      <c r="C259" t="str">
        <f>VLOOKUP(bron[[#This Row],[personeelsnr]],'data hastus'!$A:$C,2,0)</f>
        <v>Abdi Shaiye</v>
      </c>
      <c r="D259" t="str">
        <f>VLOOKUP(bron[[#This Row],[personeelsnr]],'data hastus'!$A:$C,3,0)</f>
        <v>Rashid</v>
      </c>
      <c r="E259" t="str">
        <f>VLOOKUP(bron[[#This Row],[personeelsnr]],'data hastus'!A:K,11,FALSE)</f>
        <v>Lucie Vande Velde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19917 Vandevyvere Frank</v>
      </c>
      <c r="C260" t="str">
        <f>VLOOKUP(bron[[#This Row],[personeelsnr]],'data hastus'!$A:$C,2,0)</f>
        <v>Vandevyvere</v>
      </c>
      <c r="D260" t="str">
        <f>VLOOKUP(bron[[#This Row],[personeelsnr]],'data hastus'!$A:$C,3,0)</f>
        <v>Frank</v>
      </c>
      <c r="E260" t="str">
        <f>VLOOKUP(bron[[#This Row],[personeelsnr]],'data hastus'!A:K,11,FALSE)</f>
        <v>Bart Van Der Beken</v>
      </c>
      <c r="F260">
        <v>1</v>
      </c>
    </row>
    <row r="261" spans="1:6" x14ac:dyDescent="0.25">
      <c r="A261">
        <v>18624</v>
      </c>
      <c r="B261" t="str">
        <f>_xlfn.CONCAT(bron[[#This Row],[personeelsnr]]," ",C261," ",D261)</f>
        <v>40266 Taibi Yassine</v>
      </c>
      <c r="C261" t="str">
        <f>VLOOKUP(bron[[#This Row],[personeelsnr]],'data hastus'!$A:$C,2,0)</f>
        <v>Taibi</v>
      </c>
      <c r="D261" t="str">
        <f>VLOOKUP(bron[[#This Row],[personeelsnr]],'data hastus'!$A:$C,3,0)</f>
        <v>Yassine</v>
      </c>
      <c r="E261" t="str">
        <f>VLOOKUP(bron[[#This Row],[personeelsnr]],'data hastus'!A:K,11,FALSE)</f>
        <v>Christoff Rotty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36559 De Staercke Sandra</v>
      </c>
      <c r="C262" t="str">
        <f>VLOOKUP(bron[[#This Row],[personeelsnr]],'data hastus'!$A:$C,2,0)</f>
        <v>De Staercke</v>
      </c>
      <c r="D262" t="str">
        <f>VLOOKUP(bron[[#This Row],[personeelsnr]],'data hastus'!$A:$C,3,0)</f>
        <v>Sandra</v>
      </c>
      <c r="E262" t="str">
        <f>VLOOKUP(bron[[#This Row],[personeelsnr]],'data hastus'!A:K,11,FALSE)</f>
        <v>Kenneth De Rick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41032 Rocabado Hinojosa Lukas</v>
      </c>
      <c r="C263" t="str">
        <f>VLOOKUP(bron[[#This Row],[personeelsnr]],'data hastus'!$A:$C,2,0)</f>
        <v>Rocabado Hinojosa</v>
      </c>
      <c r="D263" t="str">
        <f>VLOOKUP(bron[[#This Row],[personeelsnr]],'data hastus'!$A:$C,3,0)</f>
        <v>Lukas</v>
      </c>
      <c r="E263" t="str">
        <f>VLOOKUP(bron[[#This Row],[personeelsnr]],'data hastus'!A:K,11,FALSE)</f>
        <v>Els Vanhoe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37950 De Naegel Bruno</v>
      </c>
      <c r="C264" t="str">
        <f>VLOOKUP(bron[[#This Row],[personeelsnr]],'data hastus'!$A:$C,2,0)</f>
        <v>De Naegel</v>
      </c>
      <c r="D264" t="str">
        <f>VLOOKUP(bron[[#This Row],[personeelsnr]],'data hastus'!$A:$C,3,0)</f>
        <v>Bruno</v>
      </c>
      <c r="E264" t="str">
        <f>VLOOKUP(bron[[#This Row],[personeelsnr]],'data hastus'!A:K,11,FALSE)</f>
        <v>Dominique De Clercq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40138 Moerman Tjimmy</v>
      </c>
      <c r="C265" t="str">
        <f>VLOOKUP(bron[[#This Row],[personeelsnr]],'data hastus'!$A:$C,2,0)</f>
        <v>Moerman</v>
      </c>
      <c r="D265" t="str">
        <f>VLOOKUP(bron[[#This Row],[personeelsnr]],'data hastus'!$A:$C,3,0)</f>
        <v>Tjimmy</v>
      </c>
      <c r="E265" t="str">
        <f>VLOOKUP(bron[[#This Row],[personeelsnr]],'data hastus'!A:K,11,FALSE)</f>
        <v>Christoff Rotty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36663 Cesmeli Achraf</v>
      </c>
      <c r="C266" t="str">
        <f>VLOOKUP(bron[[#This Row],[personeelsnr]],'data hastus'!$A:$C,2,0)</f>
        <v>Cesmeli</v>
      </c>
      <c r="D266" t="str">
        <f>VLOOKUP(bron[[#This Row],[personeelsnr]],'data hastus'!$A:$C,3,0)</f>
        <v>Achraf</v>
      </c>
      <c r="E266" t="str">
        <f>VLOOKUP(bron[[#This Row],[personeelsnr]],'data hastus'!A:K,11,FALSE)</f>
        <v>Dominique De Clercq</v>
      </c>
      <c r="F266">
        <v>1</v>
      </c>
    </row>
    <row r="267" spans="1:6" x14ac:dyDescent="0.25">
      <c r="A267">
        <v>29746</v>
      </c>
      <c r="B267" t="e">
        <f>_xlfn.CONCAT(bron[[#This Row],[personeelsnr]]," ",C267," ",D267)</f>
        <v>#N/A</v>
      </c>
      <c r="C267" t="e">
        <f>VLOOKUP(bron[[#This Row],[personeelsnr]],'data hastus'!$A:$C,2,0)</f>
        <v>#N/A</v>
      </c>
      <c r="D267" t="e">
        <f>VLOOKUP(bron[[#This Row],[personeelsnr]],'data hastus'!$A:$C,3,0)</f>
        <v>#N/A</v>
      </c>
      <c r="E267" t="e">
        <f>VLOOKUP(bron[[#This Row],[personeelsnr]],'data hastus'!A:K,11,FALSE)</f>
        <v>#N/A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31231 Colaes Dylan</v>
      </c>
      <c r="C268" t="str">
        <f>VLOOKUP(bron[[#This Row],[personeelsnr]],'data hastus'!$A:$C,2,0)</f>
        <v>Colaes</v>
      </c>
      <c r="D268" t="str">
        <f>VLOOKUP(bron[[#This Row],[personeelsnr]],'data hastus'!$A:$C,3,0)</f>
        <v>Dylan</v>
      </c>
      <c r="E268" t="str">
        <f>VLOOKUP(bron[[#This Row],[personeelsnr]],'data hastus'!A:K,11,FALSE)</f>
        <v>Els Vanhoe</v>
      </c>
      <c r="F268">
        <v>1</v>
      </c>
    </row>
    <row r="269" spans="1:6" x14ac:dyDescent="0.25">
      <c r="A269">
        <v>35005</v>
      </c>
      <c r="B269" t="str">
        <f>_xlfn.CONCAT(bron[[#This Row],[personeelsnr]]," ",C269," ",D269)</f>
        <v>39014 Genbrugge Kyllian</v>
      </c>
      <c r="C269" t="str">
        <f>VLOOKUP(bron[[#This Row],[personeelsnr]],'data hastus'!$A:$C,2,0)</f>
        <v>Genbrugge</v>
      </c>
      <c r="D269" t="str">
        <f>VLOOKUP(bron[[#This Row],[personeelsnr]],'data hastus'!$A:$C,3,0)</f>
        <v>Kyllian</v>
      </c>
      <c r="E269" t="str">
        <f>VLOOKUP(bron[[#This Row],[personeelsnr]],'data hastus'!A:K,11,FALSE)</f>
        <v>Bart Van Der Beken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36289 Van Rentergem Steve</v>
      </c>
      <c r="C270" t="str">
        <f>VLOOKUP(bron[[#This Row],[personeelsnr]],'data hastus'!$A:$C,2,0)</f>
        <v>Van Rentergem</v>
      </c>
      <c r="D270" t="str">
        <f>VLOOKUP(bron[[#This Row],[personeelsnr]],'data hastus'!$A:$C,3,0)</f>
        <v>Steve</v>
      </c>
      <c r="E270" t="str">
        <f>VLOOKUP(bron[[#This Row],[personeelsnr]],'data hastus'!A:K,11,FALSE)</f>
        <v>Els Vanhoe</v>
      </c>
    </row>
    <row r="271" spans="1:6" x14ac:dyDescent="0.25">
      <c r="A271">
        <v>38551</v>
      </c>
      <c r="B271" t="str">
        <f>_xlfn.CONCAT(bron[[#This Row],[personeelsnr]]," ",C271," ",D271)</f>
        <v>39358 Weeks Aracena Jimmy Alexander</v>
      </c>
      <c r="C271" t="str">
        <f>VLOOKUP(bron[[#This Row],[personeelsnr]],'data hastus'!$A:$C,2,0)</f>
        <v>Weeks Aracena</v>
      </c>
      <c r="D271" t="str">
        <f>VLOOKUP(bron[[#This Row],[personeelsnr]],'data hastus'!$A:$C,3,0)</f>
        <v>Jimmy Alexander</v>
      </c>
      <c r="E271" t="str">
        <f>VLOOKUP(bron[[#This Row],[personeelsnr]],'data hastus'!A:K,11,FALSE)</f>
        <v>Christoff Rotty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36426 Mohamed Yassin Abdulhamid</v>
      </c>
      <c r="C272" t="str">
        <f>VLOOKUP(bron[[#This Row],[personeelsnr]],'data hastus'!$A:$C,2,0)</f>
        <v>Mohamed Yassin</v>
      </c>
      <c r="D272" t="str">
        <f>VLOOKUP(bron[[#This Row],[personeelsnr]],'data hastus'!$A:$C,3,0)</f>
        <v>Abdulhamid</v>
      </c>
      <c r="E272" t="str">
        <f>VLOOKUP(bron[[#This Row],[personeelsnr]],'data hastus'!A:K,11,FALSE)</f>
        <v>Bart Van Der Beken</v>
      </c>
    </row>
    <row r="273" spans="1:6" x14ac:dyDescent="0.25">
      <c r="A273">
        <v>37662</v>
      </c>
      <c r="B273" t="str">
        <f>_xlfn.CONCAT(bron[[#This Row],[personeelsnr]]," ",C273," ",D273)</f>
        <v>29179 Verwee Dries</v>
      </c>
      <c r="C273" t="str">
        <f>VLOOKUP(bron[[#This Row],[personeelsnr]],'data hastus'!$A:$C,2,0)</f>
        <v>Verwee</v>
      </c>
      <c r="D273" t="str">
        <f>VLOOKUP(bron[[#This Row],[personeelsnr]],'data hastus'!$A:$C,3,0)</f>
        <v>Dries</v>
      </c>
      <c r="E273" t="str">
        <f>VLOOKUP(bron[[#This Row],[personeelsnr]],'data hastus'!A:K,11,FALSE)</f>
        <v>Els Dewulf</v>
      </c>
    </row>
    <row r="274" spans="1:6" x14ac:dyDescent="0.25">
      <c r="A274">
        <v>37662</v>
      </c>
      <c r="B274" t="str">
        <f>_xlfn.CONCAT(bron[[#This Row],[personeelsnr]]," ",C274," ",D274)</f>
        <v>39859 Costers Kelly</v>
      </c>
      <c r="C274" t="str">
        <f>VLOOKUP(bron[[#This Row],[personeelsnr]],'data hastus'!$A:$C,2,0)</f>
        <v>Costers</v>
      </c>
      <c r="D274" t="str">
        <f>VLOOKUP(bron[[#This Row],[personeelsnr]],'data hastus'!$A:$C,3,0)</f>
        <v>Kelly</v>
      </c>
      <c r="E274" t="str">
        <f>VLOOKUP(bron[[#This Row],[personeelsnr]],'data hastus'!A:K,11,FALSE)</f>
        <v>Bart Van Der Beken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16546 Baert Rosita</v>
      </c>
      <c r="C275" t="str">
        <f>VLOOKUP(bron[[#This Row],[personeelsnr]],'data hastus'!$A:$C,2,0)</f>
        <v>Baert</v>
      </c>
      <c r="D275" t="str">
        <f>VLOOKUP(bron[[#This Row],[personeelsnr]],'data hastus'!$A:$C,3,0)</f>
        <v>Rosita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16546 Baert Rosita</v>
      </c>
      <c r="C276" t="str">
        <f>VLOOKUP(bron[[#This Row],[personeelsnr]],'data hastus'!$A:$C,2,0)</f>
        <v>Baert</v>
      </c>
      <c r="D276" t="str">
        <f>VLOOKUP(bron[[#This Row],[personeelsnr]],'data hastus'!$A:$C,3,0)</f>
        <v>Rosita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e">
        <f>_xlfn.CONCAT(bron[[#This Row],[personeelsnr]]," ",C277," ",D277)</f>
        <v>#N/A</v>
      </c>
      <c r="C277" t="e">
        <f>VLOOKUP(bron[[#This Row],[personeelsnr]],'data hastus'!$A:$C,2,0)</f>
        <v>#N/A</v>
      </c>
      <c r="D277" t="e">
        <f>VLOOKUP(bron[[#This Row],[personeelsnr]],'data hastus'!$A:$C,3,0)</f>
        <v>#N/A</v>
      </c>
      <c r="E277" t="e">
        <f>VLOOKUP(bron[[#This Row],[personeelsnr]],'data hastus'!A:K,11,FALSE)</f>
        <v>#N/A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4419 Maelbrancke Eddy</v>
      </c>
      <c r="C278" t="str">
        <f>VLOOKUP(bron[[#This Row],[personeelsnr]],'data hastus'!$A:$C,2,0)</f>
        <v>Maelbrancke</v>
      </c>
      <c r="D278" t="str">
        <f>VLOOKUP(bron[[#This Row],[personeelsnr]],'data hastus'!$A:$C,3,0)</f>
        <v>Eddy</v>
      </c>
      <c r="E278" t="str">
        <f>VLOOKUP(bron[[#This Row],[personeelsnr]],'data hastus'!A:K,11,FALSE)</f>
        <v>Lucie Vande Velde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str">
        <f>_xlfn.CONCAT(bron[[#This Row],[personeelsnr]]," ",C280," ",D280)</f>
        <v>36358 De Nys Elise</v>
      </c>
      <c r="C280" t="str">
        <f>VLOOKUP(bron[[#This Row],[personeelsnr]],'data hastus'!$A:$C,2,0)</f>
        <v>De Nys</v>
      </c>
      <c r="D280" t="str">
        <f>VLOOKUP(bron[[#This Row],[personeelsnr]],'data hastus'!$A:$C,3,0)</f>
        <v>Elise</v>
      </c>
      <c r="E280" t="str">
        <f>VLOOKUP(bron[[#This Row],[personeelsnr]],'data hastus'!A:K,11,FALSE)</f>
        <v>Els Dewulf</v>
      </c>
      <c r="F280">
        <v>1</v>
      </c>
    </row>
    <row r="281" spans="1:6" x14ac:dyDescent="0.25">
      <c r="A281">
        <v>29477</v>
      </c>
      <c r="B281" t="str">
        <f>_xlfn.CONCAT(bron[[#This Row],[personeelsnr]]," ",C281," ",D281)</f>
        <v>40414 Ennakaba Khaoula</v>
      </c>
      <c r="C281" t="str">
        <f>VLOOKUP(bron[[#This Row],[personeelsnr]],'data hastus'!$A:$C,2,0)</f>
        <v>Ennakaba</v>
      </c>
      <c r="D281" t="str">
        <f>VLOOKUP(bron[[#This Row],[personeelsnr]],'data hastus'!$A:$C,3,0)</f>
        <v>Khaoula</v>
      </c>
      <c r="E281" t="str">
        <f>VLOOKUP(bron[[#This Row],[personeelsnr]],'data hastus'!A:K,11,FALSE)</f>
        <v>Steven Storm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21812 Ettaibi Moulay Abdenâzih</v>
      </c>
      <c r="C282" t="str">
        <f>VLOOKUP(bron[[#This Row],[personeelsnr]],'data hastus'!$A:$C,2,0)</f>
        <v>Ettaibi</v>
      </c>
      <c r="D282" t="str">
        <f>VLOOKUP(bron[[#This Row],[personeelsnr]],'data hastus'!$A:$C,3,0)</f>
        <v>Moulay Abdenâzih</v>
      </c>
      <c r="E282" t="str">
        <f>VLOOKUP(bron[[#This Row],[personeelsnr]],'data hastus'!A:K,11,FALSE)</f>
        <v>Dominique De Clercq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38938 Sedighi Hamid</v>
      </c>
      <c r="C283" t="str">
        <f>VLOOKUP(bron[[#This Row],[personeelsnr]],'data hastus'!$A:$C,2,0)</f>
        <v>Sedighi</v>
      </c>
      <c r="D283" t="str">
        <f>VLOOKUP(bron[[#This Row],[personeelsnr]],'data hastus'!$A:$C,3,0)</f>
        <v>Hamid</v>
      </c>
      <c r="E283" t="str">
        <f>VLOOKUP(bron[[#This Row],[personeelsnr]],'data hastus'!A:K,11,FALSE)</f>
        <v>Lucie Vande Velde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38938 Sedighi Hamid</v>
      </c>
      <c r="C284" t="str">
        <f>VLOOKUP(bron[[#This Row],[personeelsnr]],'data hastus'!$A:$C,2,0)</f>
        <v>Sedighi</v>
      </c>
      <c r="D284" t="str">
        <f>VLOOKUP(bron[[#This Row],[personeelsnr]],'data hastus'!$A:$C,3,0)</f>
        <v>Hamid</v>
      </c>
      <c r="E284" t="str">
        <f>VLOOKUP(bron[[#This Row],[personeelsnr]],'data hastus'!A:K,11,FALSE)</f>
        <v>Lucie Vande Velde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40652 Van Damme Gilyann</v>
      </c>
      <c r="C285" t="str">
        <f>VLOOKUP(bron[[#This Row],[personeelsnr]],'data hastus'!$A:$C,2,0)</f>
        <v>Van Damme</v>
      </c>
      <c r="D285" t="str">
        <f>VLOOKUP(bron[[#This Row],[personeelsnr]],'data hastus'!$A:$C,3,0)</f>
        <v>Gilyann</v>
      </c>
      <c r="E285" t="str">
        <f>VLOOKUP(bron[[#This Row],[personeelsnr]],'data hastus'!A:K,11,FALSE)</f>
        <v>Els Vanhoe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26847 De Meester David</v>
      </c>
      <c r="C286" t="str">
        <f>VLOOKUP(bron[[#This Row],[personeelsnr]],'data hastus'!$A:$C,2,0)</f>
        <v>De Meester</v>
      </c>
      <c r="D286" t="str">
        <f>VLOOKUP(bron[[#This Row],[personeelsnr]],'data hastus'!$A:$C,3,0)</f>
        <v>David</v>
      </c>
      <c r="E286" t="str">
        <f>VLOOKUP(bron[[#This Row],[personeelsnr]],'data hastus'!A:K,11,FALSE)</f>
        <v>Bart Van Der Beken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38938 Sedighi Hamid</v>
      </c>
      <c r="C287" t="str">
        <f>VLOOKUP(bron[[#This Row],[personeelsnr]],'data hastus'!$A:$C,2,0)</f>
        <v>Sedighi</v>
      </c>
      <c r="D287" t="str">
        <f>VLOOKUP(bron[[#This Row],[personeelsnr]],'data hastus'!$A:$C,3,0)</f>
        <v>Hamid</v>
      </c>
      <c r="E287" t="str">
        <f>VLOOKUP(bron[[#This Row],[personeelsnr]],'data hastus'!A:K,11,FALSE)</f>
        <v>Lucie Vande Velde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40005 Bernaerts Philip</v>
      </c>
      <c r="C288" t="str">
        <f>VLOOKUP(bron[[#This Row],[personeelsnr]],'data hastus'!$A:$C,2,0)</f>
        <v>Bernaerts</v>
      </c>
      <c r="D288" t="str">
        <f>VLOOKUP(bron[[#This Row],[personeelsnr]],'data hastus'!$A:$C,3,0)</f>
        <v>Philip</v>
      </c>
      <c r="E288" t="str">
        <f>VLOOKUP(bron[[#This Row],[personeelsnr]],'data hastus'!A:K,11,FALSE)</f>
        <v>Christoff Rotty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33400 Petit Cynthia</v>
      </c>
      <c r="C289" t="str">
        <f>VLOOKUP(bron[[#This Row],[personeelsnr]],'data hastus'!$A:$C,2,0)</f>
        <v>Petit</v>
      </c>
      <c r="D289" t="str">
        <f>VLOOKUP(bron[[#This Row],[personeelsnr]],'data hastus'!$A:$C,3,0)</f>
        <v>Cynthia</v>
      </c>
      <c r="E289" t="str">
        <f>VLOOKUP(bron[[#This Row],[personeelsnr]],'data hastus'!A:K,11,FALSE)</f>
        <v>Christoff Rotty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24367 Tayefeh Arbab Ali</v>
      </c>
      <c r="C290" t="str">
        <f>VLOOKUP(bron[[#This Row],[personeelsnr]],'data hastus'!$A:$C,2,0)</f>
        <v>Tayefeh Arbab</v>
      </c>
      <c r="D290" t="str">
        <f>VLOOKUP(bron[[#This Row],[personeelsnr]],'data hastus'!$A:$C,3,0)</f>
        <v>Ali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36513 Sogut Rauf</v>
      </c>
      <c r="C291" t="str">
        <f>VLOOKUP(bron[[#This Row],[personeelsnr]],'data hastus'!$A:$C,2,0)</f>
        <v>Sogut</v>
      </c>
      <c r="D291" t="str">
        <f>VLOOKUP(bron[[#This Row],[personeelsnr]],'data hastus'!$A:$C,3,0)</f>
        <v>Rauf</v>
      </c>
      <c r="E291" t="str">
        <f>VLOOKUP(bron[[#This Row],[personeelsnr]],'data hastus'!A:K,11,FALSE)</f>
        <v>Kenneth De Rick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18173 De Vos Günter</v>
      </c>
      <c r="C292" t="str">
        <f>VLOOKUP(bron[[#This Row],[personeelsnr]],'data hastus'!$A:$C,2,0)</f>
        <v>De Vos</v>
      </c>
      <c r="D292" t="str">
        <f>VLOOKUP(bron[[#This Row],[personeelsnr]],'data hastus'!$A:$C,3,0)</f>
        <v>Günter</v>
      </c>
      <c r="E292" t="str">
        <f>VLOOKUP(bron[[#This Row],[personeelsnr]],'data hastus'!A:K,11,FALSE)</f>
        <v>Kenneth De Rick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41296 Abulehia Oday</v>
      </c>
      <c r="C293" t="str">
        <f>VLOOKUP(bron[[#This Row],[personeelsnr]],'data hastus'!$A:$C,2,0)</f>
        <v>Abulehia</v>
      </c>
      <c r="D293" t="str">
        <f>VLOOKUP(bron[[#This Row],[personeelsnr]],'data hastus'!$A:$C,3,0)</f>
        <v>Oday</v>
      </c>
      <c r="E293" t="str">
        <f>VLOOKUP(bron[[#This Row],[personeelsnr]],'data hastus'!A:K,11,FALSE)</f>
        <v>Christoff Rotty</v>
      </c>
    </row>
    <row r="294" spans="1:6" x14ac:dyDescent="0.25">
      <c r="A294">
        <v>33488</v>
      </c>
      <c r="B294" t="str">
        <f>_xlfn.CONCAT(bron[[#This Row],[personeelsnr]]," ",C294," ",D294)</f>
        <v>16897 VandenDaele Andy</v>
      </c>
      <c r="C294" t="str">
        <f>VLOOKUP(bron[[#This Row],[personeelsnr]],'data hastus'!$A:$C,2,0)</f>
        <v>VandenDaele</v>
      </c>
      <c r="D294" t="str">
        <f>VLOOKUP(bron[[#This Row],[personeelsnr]],'data hastus'!$A:$C,3,0)</f>
        <v>Andy</v>
      </c>
      <c r="E294" t="str">
        <f>VLOOKUP(bron[[#This Row],[personeelsnr]],'data hastus'!A:K,11,FALSE)</f>
        <v>Steven Storm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29477 De Vuyst Boyke</v>
      </c>
      <c r="C295" t="str">
        <f>VLOOKUP(bron[[#This Row],[personeelsnr]],'data hastus'!$A:$C,2,0)</f>
        <v>De Vuyst</v>
      </c>
      <c r="D295" t="str">
        <f>VLOOKUP(bron[[#This Row],[personeelsnr]],'data hastus'!$A:$C,3,0)</f>
        <v>Boyke</v>
      </c>
      <c r="E295" t="str">
        <f>VLOOKUP(bron[[#This Row],[personeelsnr]],'data hastus'!A:K,11,FALSE)</f>
        <v>Lucie Vande Velde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39529 Desmet Patricia</v>
      </c>
      <c r="C296" t="str">
        <f>VLOOKUP(bron[[#This Row],[personeelsnr]],'data hastus'!$A:$C,2,0)</f>
        <v>Desmet</v>
      </c>
      <c r="D296" t="str">
        <f>VLOOKUP(bron[[#This Row],[personeelsnr]],'data hastus'!$A:$C,3,0)</f>
        <v>Patricia</v>
      </c>
      <c r="E296" t="str">
        <f>VLOOKUP(bron[[#This Row],[personeelsnr]],'data hastus'!A:K,11,FALSE)</f>
        <v>Christoff Rotty</v>
      </c>
      <c r="F296">
        <v>1</v>
      </c>
    </row>
    <row r="297" spans="1:6" x14ac:dyDescent="0.25">
      <c r="A297">
        <v>35494</v>
      </c>
      <c r="B297" t="str">
        <f>_xlfn.CONCAT(bron[[#This Row],[personeelsnr]]," ",C297," ",D297)</f>
        <v>15628 Wulfranck Dominique</v>
      </c>
      <c r="C297" t="str">
        <f>VLOOKUP(bron[[#This Row],[personeelsnr]],'data hastus'!$A:$C,2,0)</f>
        <v>Wulfranck</v>
      </c>
      <c r="D297" t="str">
        <f>VLOOKUP(bron[[#This Row],[personeelsnr]],'data hastus'!$A:$C,3,0)</f>
        <v>Dominique</v>
      </c>
      <c r="E297" t="str">
        <f>VLOOKUP(bron[[#This Row],[personeelsnr]],'data hastus'!A:K,11,FALSE)</f>
        <v>Kenneth De Rick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40652 Van Damme Gilyann</v>
      </c>
      <c r="C298" t="str">
        <f>VLOOKUP(bron[[#This Row],[personeelsnr]],'data hastus'!$A:$C,2,0)</f>
        <v>Van Damme</v>
      </c>
      <c r="D298" t="str">
        <f>VLOOKUP(bron[[#This Row],[personeelsnr]],'data hastus'!$A:$C,3,0)</f>
        <v>Gilyann</v>
      </c>
      <c r="E298" t="str">
        <f>VLOOKUP(bron[[#This Row],[personeelsnr]],'data hastus'!A:K,11,FALSE)</f>
        <v>Els Vanhoe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22767 Osseel Johan</v>
      </c>
      <c r="C299" t="str">
        <f>VLOOKUP(bron[[#This Row],[personeelsnr]],'data hastus'!$A:$C,2,0)</f>
        <v>Osseel</v>
      </c>
      <c r="D299" t="str">
        <f>VLOOKUP(bron[[#This Row],[personeelsnr]],'data hastus'!$A:$C,3,0)</f>
        <v>Johan</v>
      </c>
      <c r="E299" t="str">
        <f>VLOOKUP(bron[[#This Row],[personeelsnr]],'data hastus'!A:K,11,FALSE)</f>
        <v>Dominique De Clercq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17555 DeBisschop Wendy</v>
      </c>
      <c r="C300" t="str">
        <f>VLOOKUP(bron[[#This Row],[personeelsnr]],'data hastus'!$A:$C,2,0)</f>
        <v>DeBisschop</v>
      </c>
      <c r="D300" t="str">
        <f>VLOOKUP(bron[[#This Row],[personeelsnr]],'data hastus'!$A:$C,3,0)</f>
        <v>Wendy</v>
      </c>
      <c r="E300" t="str">
        <f>VLOOKUP(bron[[#This Row],[personeelsnr]],'data hastus'!A:K,11,FALSE)</f>
        <v>Bart Van Der Beken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37662 Van den Meerssche Steven</v>
      </c>
      <c r="C301" t="str">
        <f>VLOOKUP(bron[[#This Row],[personeelsnr]],'data hastus'!$A:$C,2,0)</f>
        <v>Van den Meerssche</v>
      </c>
      <c r="D301" t="str">
        <f>VLOOKUP(bron[[#This Row],[personeelsnr]],'data hastus'!$A:$C,3,0)</f>
        <v>Steven</v>
      </c>
      <c r="E301" t="str">
        <f>VLOOKUP(bron[[#This Row],[personeelsnr]],'data hastus'!A:K,11,FALSE)</f>
        <v>Bart Van Der Beken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32542 Vanderstock Kenny</v>
      </c>
      <c r="C302" t="str">
        <f>VLOOKUP(bron[[#This Row],[personeelsnr]],'data hastus'!$A:$C,2,0)</f>
        <v>Vanderstock</v>
      </c>
      <c r="D302" t="str">
        <f>VLOOKUP(bron[[#This Row],[personeelsnr]],'data hastus'!$A:$C,3,0)</f>
        <v>Kenny</v>
      </c>
      <c r="E302" t="str">
        <f>VLOOKUP(bron[[#This Row],[personeelsnr]],'data hastus'!A:K,11,FALSE)</f>
        <v>Dominique De Clercq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33450 Verroeye Chris</v>
      </c>
      <c r="C303" t="str">
        <f>VLOOKUP(bron[[#This Row],[personeelsnr]],'data hastus'!$A:$C,2,0)</f>
        <v>Verroeye</v>
      </c>
      <c r="D303" t="str">
        <f>VLOOKUP(bron[[#This Row],[personeelsnr]],'data hastus'!$A:$C,3,0)</f>
        <v>Chris</v>
      </c>
      <c r="E303" t="str">
        <f>VLOOKUP(bron[[#This Row],[personeelsnr]],'data hastus'!A:K,11,FALSE)</f>
        <v>Kenneth De Rick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40294 Khder Aram</v>
      </c>
      <c r="C304" t="str">
        <f>VLOOKUP(bron[[#This Row],[personeelsnr]],'data hastus'!$A:$C,2,0)</f>
        <v>Khder</v>
      </c>
      <c r="D304" t="str">
        <f>VLOOKUP(bron[[#This Row],[personeelsnr]],'data hastus'!$A:$C,3,0)</f>
        <v>Aram</v>
      </c>
      <c r="E304" t="str">
        <f>VLOOKUP(bron[[#This Row],[personeelsnr]],'data hastus'!A:K,11,FALSE)</f>
        <v>Christoff Rotty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35379 Engels Sam</v>
      </c>
      <c r="C305" t="str">
        <f>VLOOKUP(bron[[#This Row],[personeelsnr]],'data hastus'!$A:$C,2,0)</f>
        <v>Engels</v>
      </c>
      <c r="D305" t="str">
        <f>VLOOKUP(bron[[#This Row],[personeelsnr]],'data hastus'!$A:$C,3,0)</f>
        <v>Sam</v>
      </c>
      <c r="E305" t="str">
        <f>VLOOKUP(bron[[#This Row],[personeelsnr]],'data hastus'!A:K,11,FALSE)</f>
        <v>Els Vanhoe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37794 Demirkaya Kâzim</v>
      </c>
      <c r="C306" t="str">
        <f>VLOOKUP(bron[[#This Row],[personeelsnr]],'data hastus'!$A:$C,2,0)</f>
        <v>Demirkaya</v>
      </c>
      <c r="D306" t="str">
        <f>VLOOKUP(bron[[#This Row],[personeelsnr]],'data hastus'!$A:$C,3,0)</f>
        <v>Kâzim</v>
      </c>
      <c r="E306" t="str">
        <f>VLOOKUP(bron[[#This Row],[personeelsnr]],'data hastus'!A:K,11,FALSE)</f>
        <v>Steven Storm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32387 Meersman Herman</v>
      </c>
      <c r="C307" t="str">
        <f>VLOOKUP(bron[[#This Row],[personeelsnr]],'data hastus'!$A:$C,2,0)</f>
        <v>Meersman</v>
      </c>
      <c r="D307" t="str">
        <f>VLOOKUP(bron[[#This Row],[personeelsnr]],'data hastus'!$A:$C,3,0)</f>
        <v>Herman</v>
      </c>
      <c r="E307" t="str">
        <f>VLOOKUP(bron[[#This Row],[personeelsnr]],'data hastus'!A:K,11,FALSE)</f>
        <v>Steven Storm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40744 Gözüküçük Ugur</v>
      </c>
      <c r="C308" t="str">
        <f>VLOOKUP(bron[[#This Row],[personeelsnr]],'data hastus'!$A:$C,2,0)</f>
        <v>Gözüküçük</v>
      </c>
      <c r="D308" t="str">
        <f>VLOOKUP(bron[[#This Row],[personeelsnr]],'data hastus'!$A:$C,3,0)</f>
        <v>Ugur</v>
      </c>
      <c r="E308" t="str">
        <f>VLOOKUP(bron[[#This Row],[personeelsnr]],'data hastus'!A:K,11,FALSE)</f>
        <v>Bart Van Der Beken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8394 Smet Antoon</v>
      </c>
      <c r="C309" t="str">
        <f>VLOOKUP(bron[[#This Row],[personeelsnr]],'data hastus'!$A:$C,2,0)</f>
        <v>Smet</v>
      </c>
      <c r="D309" t="str">
        <f>VLOOKUP(bron[[#This Row],[personeelsnr]],'data hastus'!$A:$C,3,0)</f>
        <v>Antoon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18987 De Geyter Dolly</v>
      </c>
      <c r="C310" t="str">
        <f>VLOOKUP(bron[[#This Row],[personeelsnr]],'data hastus'!$A:$C,2,0)</f>
        <v>De Geyter</v>
      </c>
      <c r="D310" t="str">
        <f>VLOOKUP(bron[[#This Row],[personeelsnr]],'data hastus'!$A:$C,3,0)</f>
        <v>Dolly</v>
      </c>
      <c r="E310" t="str">
        <f>VLOOKUP(bron[[#This Row],[personeelsnr]],'data hastus'!A:K,11,FALSE)</f>
        <v>Steven Storm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19917 Vandevyvere Frank</v>
      </c>
      <c r="C311" t="str">
        <f>VLOOKUP(bron[[#This Row],[personeelsnr]],'data hastus'!$A:$C,2,0)</f>
        <v>Vandevyvere</v>
      </c>
      <c r="D311" t="str">
        <f>VLOOKUP(bron[[#This Row],[personeelsnr]],'data hastus'!$A:$C,3,0)</f>
        <v>Frank</v>
      </c>
      <c r="E311" t="str">
        <f>VLOOKUP(bron[[#This Row],[personeelsnr]],'data hastus'!A:K,11,FALSE)</f>
        <v>Bart Van Der Beken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37254 Coulon Rayan</v>
      </c>
      <c r="C312" t="str">
        <f>VLOOKUP(bron[[#This Row],[personeelsnr]],'data hastus'!$A:$C,2,0)</f>
        <v>Coulon</v>
      </c>
      <c r="D312" t="str">
        <f>VLOOKUP(bron[[#This Row],[personeelsnr]],'data hastus'!$A:$C,3,0)</f>
        <v>Rayan</v>
      </c>
      <c r="E312" t="str">
        <f>VLOOKUP(bron[[#This Row],[personeelsnr]],'data hastus'!A:K,11,FALSE)</f>
        <v>Kenneth De Rick</v>
      </c>
      <c r="F312">
        <v>1</v>
      </c>
    </row>
    <row r="313" spans="1:6" x14ac:dyDescent="0.25">
      <c r="A313">
        <v>26384</v>
      </c>
      <c r="B313" t="str">
        <f>_xlfn.CONCAT(bron[[#This Row],[personeelsnr]]," ",C313," ",D313)</f>
        <v>36438 Agil Birol</v>
      </c>
      <c r="C313" t="str">
        <f>VLOOKUP(bron[[#This Row],[personeelsnr]],'data hastus'!$A:$C,2,0)</f>
        <v>Agil</v>
      </c>
      <c r="D313" t="str">
        <f>VLOOKUP(bron[[#This Row],[personeelsnr]],'data hastus'!$A:$C,3,0)</f>
        <v>Birol</v>
      </c>
      <c r="E313" t="str">
        <f>VLOOKUP(bron[[#This Row],[personeelsnr]],'data hastus'!A:K,11,FALSE)</f>
        <v>Bart Van Der Beken</v>
      </c>
      <c r="F313">
        <v>1</v>
      </c>
    </row>
    <row r="314" spans="1:6" x14ac:dyDescent="0.25">
      <c r="A314">
        <v>27713</v>
      </c>
      <c r="B314" t="str">
        <f>_xlfn.CONCAT(bron[[#This Row],[personeelsnr]]," ",C314," ",D314)</f>
        <v>40134 Cardon Sharon</v>
      </c>
      <c r="C314" t="str">
        <f>VLOOKUP(bron[[#This Row],[personeelsnr]],'data hastus'!$A:$C,2,0)</f>
        <v>Cardon</v>
      </c>
      <c r="D314" t="str">
        <f>VLOOKUP(bron[[#This Row],[personeelsnr]],'data hastus'!$A:$C,3,0)</f>
        <v>Sharon</v>
      </c>
      <c r="E314" t="str">
        <f>VLOOKUP(bron[[#This Row],[personeelsnr]],'data hastus'!A:K,11,FALSE)</f>
        <v>Dominique De Clercq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12684 Van Den Bossche Martine</v>
      </c>
      <c r="C315" t="str">
        <f>VLOOKUP(bron[[#This Row],[personeelsnr]],'data hastus'!$A:$C,2,0)</f>
        <v>Van Den Bossche</v>
      </c>
      <c r="D315" t="str">
        <f>VLOOKUP(bron[[#This Row],[personeelsnr]],'data hastus'!$A:$C,3,0)</f>
        <v>Martine</v>
      </c>
      <c r="E315" t="str">
        <f>VLOOKUP(bron[[#This Row],[personeelsnr]],'data hastus'!A:K,11,FALSE)</f>
        <v>Els Vanhoe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33965 Van de Gehuchte Gilles</v>
      </c>
      <c r="C316" t="str">
        <f>VLOOKUP(bron[[#This Row],[personeelsnr]],'data hastus'!$A:$C,2,0)</f>
        <v>Van de Gehuchte</v>
      </c>
      <c r="D316" t="str">
        <f>VLOOKUP(bron[[#This Row],[personeelsnr]],'data hastus'!$A:$C,3,0)</f>
        <v>Gilles</v>
      </c>
      <c r="E316" t="str">
        <f>VLOOKUP(bron[[#This Row],[personeelsnr]],'data hastus'!A:K,11,FALSE)</f>
        <v>Kenneth De Rick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13020 Boutiebi Ahmed</v>
      </c>
      <c r="C317" t="str">
        <f>VLOOKUP(bron[[#This Row],[personeelsnr]],'data hastus'!$A:$C,2,0)</f>
        <v>Boutiebi</v>
      </c>
      <c r="D317" t="str">
        <f>VLOOKUP(bron[[#This Row],[personeelsnr]],'data hastus'!$A:$C,3,0)</f>
        <v>Ahmed</v>
      </c>
      <c r="E317" t="str">
        <f>VLOOKUP(bron[[#This Row],[personeelsnr]],'data hastus'!A:K,11,FALSE)</f>
        <v>Lucie Vande Velde</v>
      </c>
      <c r="F317">
        <v>1</v>
      </c>
    </row>
    <row r="318" spans="1:6" x14ac:dyDescent="0.25">
      <c r="A318">
        <v>39532</v>
      </c>
      <c r="B318" t="e">
        <f>_xlfn.CONCAT(bron[[#This Row],[personeelsnr]]," ",C318," ",D318)</f>
        <v>#N/A</v>
      </c>
      <c r="C318" t="e">
        <f>VLOOKUP(bron[[#This Row],[personeelsnr]],'data hastus'!$A:$C,2,0)</f>
        <v>#N/A</v>
      </c>
      <c r="D318" t="e">
        <f>VLOOKUP(bron[[#This Row],[personeelsnr]],'data hastus'!$A:$C,3,0)</f>
        <v>#N/A</v>
      </c>
      <c r="E318" t="e">
        <f>VLOOKUP(bron[[#This Row],[personeelsnr]],'data hastus'!A:K,11,FALSE)</f>
        <v>#N/A</v>
      </c>
    </row>
    <row r="319" spans="1:6" x14ac:dyDescent="0.25">
      <c r="A319">
        <v>33982</v>
      </c>
      <c r="B319" t="str">
        <f>_xlfn.CONCAT(bron[[#This Row],[personeelsnr]]," ",C319," ",D319)</f>
        <v>41092 De Keyser Dorien</v>
      </c>
      <c r="C319" t="str">
        <f>VLOOKUP(bron[[#This Row],[personeelsnr]],'data hastus'!$A:$C,2,0)</f>
        <v>De Keyser</v>
      </c>
      <c r="D319" t="str">
        <f>VLOOKUP(bron[[#This Row],[personeelsnr]],'data hastus'!$A:$C,3,0)</f>
        <v>Dorien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40134 Cardon Sharon</v>
      </c>
      <c r="C320" t="str">
        <f>VLOOKUP(bron[[#This Row],[personeelsnr]],'data hastus'!$A:$C,2,0)</f>
        <v>Cardon</v>
      </c>
      <c r="D320" t="str">
        <f>VLOOKUP(bron[[#This Row],[personeelsnr]],'data hastus'!$A:$C,3,0)</f>
        <v>Sharon</v>
      </c>
      <c r="E320" t="str">
        <f>VLOOKUP(bron[[#This Row],[personeelsnr]],'data hastus'!A:K,11,FALSE)</f>
        <v>Dominique De Clercq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40859 Yagoub Abdelali</v>
      </c>
      <c r="C321" t="str">
        <f>VLOOKUP(bron[[#This Row],[personeelsnr]],'data hastus'!$A:$C,2,0)</f>
        <v>Yagoub</v>
      </c>
      <c r="D321" t="str">
        <f>VLOOKUP(bron[[#This Row],[personeelsnr]],'data hastus'!$A:$C,3,0)</f>
        <v>Abdelali</v>
      </c>
      <c r="E321" t="str">
        <f>VLOOKUP(bron[[#This Row],[personeelsnr]],'data hastus'!A:K,11,FALSE)</f>
        <v>Els Vanhoe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39930 Mirazai Rahmatullah</v>
      </c>
      <c r="C322" t="str">
        <f>VLOOKUP(bron[[#This Row],[personeelsnr]],'data hastus'!$A:$C,2,0)</f>
        <v>Mirazai</v>
      </c>
      <c r="D322" t="str">
        <f>VLOOKUP(bron[[#This Row],[personeelsnr]],'data hastus'!$A:$C,3,0)</f>
        <v>Rahmatullah</v>
      </c>
      <c r="E322" t="str">
        <f>VLOOKUP(bron[[#This Row],[personeelsnr]],'data hastus'!A:K,11,FALSE)</f>
        <v>Christoff Rotty</v>
      </c>
      <c r="F322">
        <v>1</v>
      </c>
    </row>
    <row r="323" spans="1:6" x14ac:dyDescent="0.25">
      <c r="A323">
        <v>39251</v>
      </c>
      <c r="B323" t="str">
        <f>_xlfn.CONCAT(bron[[#This Row],[personeelsnr]]," ",C323," ",D323)</f>
        <v>40138 Moerman Tjimmy</v>
      </c>
      <c r="C323" t="str">
        <f>VLOOKUP(bron[[#This Row],[personeelsnr]],'data hastus'!$A:$C,2,0)</f>
        <v>Moerman</v>
      </c>
      <c r="D323" t="str">
        <f>VLOOKUP(bron[[#This Row],[personeelsnr]],'data hastus'!$A:$C,3,0)</f>
        <v>Tjimmy</v>
      </c>
      <c r="E323" t="str">
        <f>VLOOKUP(bron[[#This Row],[personeelsnr]],'data hastus'!A:K,11,FALSE)</f>
        <v>Christoff Rotty</v>
      </c>
      <c r="F323">
        <v>1</v>
      </c>
    </row>
    <row r="324" spans="1:6" x14ac:dyDescent="0.25">
      <c r="A324">
        <v>39581</v>
      </c>
      <c r="B324" t="e">
        <f>_xlfn.CONCAT(bron[[#This Row],[personeelsnr]]," ",C324," ",D324)</f>
        <v>#N/A</v>
      </c>
      <c r="C324" t="e">
        <f>VLOOKUP(bron[[#This Row],[personeelsnr]],'data hastus'!$A:$C,2,0)</f>
        <v>#N/A</v>
      </c>
      <c r="D324" t="e">
        <f>VLOOKUP(bron[[#This Row],[personeelsnr]],'data hastus'!$A:$C,3,0)</f>
        <v>#N/A</v>
      </c>
      <c r="E324" t="e">
        <f>VLOOKUP(bron[[#This Row],[personeelsnr]],'data hastus'!A:K,11,FALSE)</f>
        <v>#N/A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32951 De Bruyne Sonia</v>
      </c>
      <c r="C325" t="str">
        <f>VLOOKUP(bron[[#This Row],[personeelsnr]],'data hastus'!$A:$C,2,0)</f>
        <v>De Bruyne</v>
      </c>
      <c r="D325" t="str">
        <f>VLOOKUP(bron[[#This Row],[personeelsnr]],'data hastus'!$A:$C,3,0)</f>
        <v>Sonia</v>
      </c>
      <c r="E325" t="str">
        <f>VLOOKUP(bron[[#This Row],[personeelsnr]],'data hastus'!A:K,11,FALSE)</f>
        <v>Lucie Vande Velde</v>
      </c>
      <c r="F325">
        <v>1</v>
      </c>
    </row>
    <row r="326" spans="1:6" x14ac:dyDescent="0.25">
      <c r="A326">
        <v>39660</v>
      </c>
      <c r="B326" t="str">
        <f>_xlfn.CONCAT(bron[[#This Row],[personeelsnr]]," ",C326," ",D326)</f>
        <v>34445 Wulleput Illya</v>
      </c>
      <c r="C326" t="str">
        <f>VLOOKUP(bron[[#This Row],[personeelsnr]],'data hastus'!$A:$C,2,0)</f>
        <v>Wulleput</v>
      </c>
      <c r="D326" t="str">
        <f>VLOOKUP(bron[[#This Row],[personeelsnr]],'data hastus'!$A:$C,3,0)</f>
        <v>Illya</v>
      </c>
      <c r="E326" t="str">
        <f>VLOOKUP(bron[[#This Row],[personeelsnr]],'data hastus'!A:K,11,FALSE)</f>
        <v>Dominique De Clercq</v>
      </c>
    </row>
    <row r="327" spans="1:6" x14ac:dyDescent="0.25">
      <c r="A327">
        <v>35619</v>
      </c>
      <c r="B327" t="str">
        <f>_xlfn.CONCAT(bron[[#This Row],[personeelsnr]]," ",C327," ",D327)</f>
        <v>34445 Wulleput Illya</v>
      </c>
      <c r="C327" t="str">
        <f>VLOOKUP(bron[[#This Row],[personeelsnr]],'data hastus'!$A:$C,2,0)</f>
        <v>Wulleput</v>
      </c>
      <c r="D327" t="str">
        <f>VLOOKUP(bron[[#This Row],[personeelsnr]],'data hastus'!$A:$C,3,0)</f>
        <v>Illya</v>
      </c>
      <c r="E327" t="str">
        <f>VLOOKUP(bron[[#This Row],[personeelsnr]],'data hastus'!A:K,11,FALSE)</f>
        <v>Dominique De Clercq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31635 Vaeyens Midas</v>
      </c>
      <c r="C328" t="str">
        <f>VLOOKUP(bron[[#This Row],[personeelsnr]],'data hastus'!$A:$C,2,0)</f>
        <v>Vaeyens</v>
      </c>
      <c r="D328" t="str">
        <f>VLOOKUP(bron[[#This Row],[personeelsnr]],'data hastus'!$A:$C,3,0)</f>
        <v>Midas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40200 Shahriyari Khalil</v>
      </c>
      <c r="C329" t="str">
        <f>VLOOKUP(bron[[#This Row],[personeelsnr]],'data hastus'!$A:$C,2,0)</f>
        <v>Shahriyari</v>
      </c>
      <c r="D329" t="str">
        <f>VLOOKUP(bron[[#This Row],[personeelsnr]],'data hastus'!$A:$C,3,0)</f>
        <v>Khalil</v>
      </c>
      <c r="E329" t="str">
        <f>VLOOKUP(bron[[#This Row],[personeelsnr]],'data hastus'!A:K,11,FALSE)</f>
        <v>Dominique De Clercq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35463 Vandaele Tom</v>
      </c>
      <c r="C330" t="str">
        <f>VLOOKUP(bron[[#This Row],[personeelsnr]],'data hastus'!$A:$C,2,0)</f>
        <v>Vandaele</v>
      </c>
      <c r="D330" t="str">
        <f>VLOOKUP(bron[[#This Row],[personeelsnr]],'data hastus'!$A:$C,3,0)</f>
        <v>Tom</v>
      </c>
      <c r="E330" t="str">
        <f>VLOOKUP(bron[[#This Row],[personeelsnr]],'data hastus'!A:K,11,FALSE)</f>
        <v>Dominique De Clercq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29821 Mehman Doust Farhad</v>
      </c>
      <c r="C331" t="str">
        <f>VLOOKUP(bron[[#This Row],[personeelsnr]],'data hastus'!$A:$C,2,0)</f>
        <v>Mehman Doust</v>
      </c>
      <c r="D331" t="str">
        <f>VLOOKUP(bron[[#This Row],[personeelsnr]],'data hastus'!$A:$C,3,0)</f>
        <v>Farhad</v>
      </c>
      <c r="E331" t="str">
        <f>VLOOKUP(bron[[#This Row],[personeelsnr]],'data hastus'!A:K,11,FALSE)</f>
        <v>Dominique De Clercq</v>
      </c>
    </row>
    <row r="332" spans="1:6" x14ac:dyDescent="0.25">
      <c r="A332">
        <v>99999</v>
      </c>
      <c r="B332" t="str">
        <f>_xlfn.CONCAT(bron[[#This Row],[personeelsnr]]," ",C332," ",D332)</f>
        <v>30967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str">
        <f>_xlfn.CONCAT(bron[[#This Row],[personeelsnr]]," ",C333," ",D333)</f>
        <v>36228 Kilinc Atilay</v>
      </c>
      <c r="C333" t="str">
        <f>VLOOKUP(bron[[#This Row],[personeelsnr]],'data hastus'!$A:$C,2,0)</f>
        <v>Kilinc</v>
      </c>
      <c r="D333" t="str">
        <f>VLOOKUP(bron[[#This Row],[personeelsnr]],'data hastus'!$A:$C,3,0)</f>
        <v>Atilay</v>
      </c>
      <c r="E333" t="str">
        <f>VLOOKUP(bron[[#This Row],[personeelsnr]],'data hastus'!A:K,11,FALSE)</f>
        <v>Els Vanhoe</v>
      </c>
    </row>
    <row r="334" spans="1:6" x14ac:dyDescent="0.25">
      <c r="A334">
        <v>38740</v>
      </c>
      <c r="B334" t="str">
        <f>_xlfn.CONCAT(bron[[#This Row],[personeelsnr]]," ",C334," ",D334)</f>
        <v>31111 Bonne Niko</v>
      </c>
      <c r="C334" t="str">
        <f>VLOOKUP(bron[[#This Row],[personeelsnr]],'data hastus'!$A:$C,2,0)</f>
        <v>Bonne</v>
      </c>
      <c r="D334" t="str">
        <f>VLOOKUP(bron[[#This Row],[personeelsnr]],'data hastus'!$A:$C,3,0)</f>
        <v>Niko</v>
      </c>
      <c r="E334" t="str">
        <f>VLOOKUP(bron[[#This Row],[personeelsnr]],'data hastus'!A:K,11,FALSE)</f>
        <v>Els Vanhoe</v>
      </c>
      <c r="F334">
        <v>0</v>
      </c>
    </row>
    <row r="335" spans="1:6" x14ac:dyDescent="0.25">
      <c r="A335">
        <v>41520</v>
      </c>
      <c r="B335" t="str">
        <f>_xlfn.CONCAT(bron[[#This Row],[personeelsnr]]," ",C335," ",D335)</f>
        <v>35430 Vlaminck Dirk</v>
      </c>
      <c r="C335" t="str">
        <f>VLOOKUP(bron[[#This Row],[personeelsnr]],'data hastus'!$A:$C,2,0)</f>
        <v>Vlaminck</v>
      </c>
      <c r="D335" t="str">
        <f>VLOOKUP(bron[[#This Row],[personeelsnr]],'data hastus'!$A:$C,3,0)</f>
        <v>Dirk</v>
      </c>
      <c r="E335" t="str">
        <f>VLOOKUP(bron[[#This Row],[personeelsnr]],'data hastus'!A:K,11,FALSE)</f>
        <v>Els Vanhoe</v>
      </c>
    </row>
    <row r="336" spans="1:6" x14ac:dyDescent="0.25">
      <c r="A336">
        <v>39972</v>
      </c>
      <c r="B336" t="str">
        <f>_xlfn.CONCAT(bron[[#This Row],[personeelsnr]]," ",C336," ",D336)</f>
        <v>9999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39184 Shinwari Yasin</v>
      </c>
      <c r="C337" t="str">
        <f>VLOOKUP(bron[[#This Row],[personeelsnr]],'data hastus'!$A:$C,2,0)</f>
        <v>Shinwari</v>
      </c>
      <c r="D337" t="str">
        <f>VLOOKUP(bron[[#This Row],[personeelsnr]],'data hastus'!$A:$C,3,0)</f>
        <v>Yasin</v>
      </c>
      <c r="E337" t="str">
        <f>VLOOKUP(bron[[#This Row],[personeelsnr]],'data hastus'!A:K,11,FALSE)</f>
        <v>Christoff Rotty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16895 Van Lauwe Freddy</v>
      </c>
      <c r="C338" t="str">
        <f>VLOOKUP(bron[[#This Row],[personeelsnr]],'data hastus'!$A:$C,2,0)</f>
        <v>Van Lauwe</v>
      </c>
      <c r="D338" t="str">
        <f>VLOOKUP(bron[[#This Row],[personeelsnr]],'data hastus'!$A:$C,3,0)</f>
        <v>Freddy</v>
      </c>
      <c r="E338" t="str">
        <f>VLOOKUP(bron[[#This Row],[personeelsnr]],'data hastus'!A:K,11,FALSE)</f>
        <v>Bart Van Der Beken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19249 Odaci Kadir</v>
      </c>
      <c r="C339" t="str">
        <f>VLOOKUP(bron[[#This Row],[personeelsnr]],'data hastus'!$A:$C,2,0)</f>
        <v>Odaci</v>
      </c>
      <c r="D339" t="str">
        <f>VLOOKUP(bron[[#This Row],[personeelsnr]],'data hastus'!$A:$C,3,0)</f>
        <v>Kadir</v>
      </c>
      <c r="E339" t="str">
        <f>VLOOKUP(bron[[#This Row],[personeelsnr]],'data hastus'!A:K,11,FALSE)</f>
        <v>Lucie Vande Velde</v>
      </c>
    </row>
    <row r="340" spans="1:6" x14ac:dyDescent="0.25">
      <c r="A340">
        <v>40138</v>
      </c>
      <c r="B340" t="str">
        <f>_xlfn.CONCAT(bron[[#This Row],[personeelsnr]]," ",C340," ",D340)</f>
        <v>15676 Mestdagh Tony</v>
      </c>
      <c r="C340" t="str">
        <f>VLOOKUP(bron[[#This Row],[personeelsnr]],'data hastus'!$A:$C,2,0)</f>
        <v>Mestdagh</v>
      </c>
      <c r="D340" t="str">
        <f>VLOOKUP(bron[[#This Row],[personeelsnr]],'data hastus'!$A:$C,3,0)</f>
        <v>Tony</v>
      </c>
      <c r="E340" t="str">
        <f>VLOOKUP(bron[[#This Row],[personeelsnr]],'data hastus'!A:K,11,FALSE)</f>
        <v>Lucie Vande Velde</v>
      </c>
    </row>
    <row r="341" spans="1:6" x14ac:dyDescent="0.25">
      <c r="A341">
        <v>40138</v>
      </c>
      <c r="B341" t="str">
        <f>_xlfn.CONCAT(bron[[#This Row],[personeelsnr]]," ",C341," ",D341)</f>
        <v>36626 Kartal Kadir</v>
      </c>
      <c r="C341" t="str">
        <f>VLOOKUP(bron[[#This Row],[personeelsnr]],'data hastus'!$A:$C,2,0)</f>
        <v>Kartal</v>
      </c>
      <c r="D341" t="str">
        <f>VLOOKUP(bron[[#This Row],[personeelsnr]],'data hastus'!$A:$C,3,0)</f>
        <v>Kadir</v>
      </c>
      <c r="E341" t="str">
        <f>VLOOKUP(bron[[#This Row],[personeelsnr]],'data hastus'!A:K,11,FALSE)</f>
        <v>Els Dewulf</v>
      </c>
    </row>
    <row r="342" spans="1:6" x14ac:dyDescent="0.25">
      <c r="A342">
        <v>40138</v>
      </c>
      <c r="B342" t="str">
        <f>_xlfn.CONCAT(bron[[#This Row],[personeelsnr]]," ",C342," ",D342)</f>
        <v>35645 Jalili Yaseeb</v>
      </c>
      <c r="C342" t="str">
        <f>VLOOKUP(bron[[#This Row],[personeelsnr]],'data hastus'!$A:$C,2,0)</f>
        <v>Jalili</v>
      </c>
      <c r="D342" t="str">
        <f>VLOOKUP(bron[[#This Row],[personeelsnr]],'data hastus'!$A:$C,3,0)</f>
        <v>Yaseeb</v>
      </c>
      <c r="E342" t="str">
        <f>VLOOKUP(bron[[#This Row],[personeelsnr]],'data hastus'!A:K,11,FALSE)</f>
        <v>Steven Storm</v>
      </c>
    </row>
    <row r="343" spans="1:6" x14ac:dyDescent="0.25">
      <c r="A343">
        <v>35645</v>
      </c>
      <c r="B343" t="str">
        <f>_xlfn.CONCAT(bron[[#This Row],[personeelsnr]]," ",C343," ",D343)</f>
        <v>30119 Haerens Tom</v>
      </c>
      <c r="C343" t="str">
        <f>VLOOKUP(bron[[#This Row],[personeelsnr]],'data hastus'!$A:$C,2,0)</f>
        <v>Haerens</v>
      </c>
      <c r="D343" t="str">
        <f>VLOOKUP(bron[[#This Row],[personeelsnr]],'data hastus'!$A:$C,3,0)</f>
        <v>Tom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37496 Oosterlinck Willy</v>
      </c>
      <c r="C344" t="str">
        <f>VLOOKUP(bron[[#This Row],[personeelsnr]],'data hastus'!$A:$C,2,0)</f>
        <v>Oosterlinck</v>
      </c>
      <c r="D344" t="str">
        <f>VLOOKUP(bron[[#This Row],[personeelsnr]],'data hastus'!$A:$C,3,0)</f>
        <v>Willy</v>
      </c>
      <c r="E344" t="str">
        <f>VLOOKUP(bron[[#This Row],[personeelsnr]],'data hastus'!A:K,11,FALSE)</f>
        <v>Dominique De Clercq</v>
      </c>
    </row>
    <row r="345" spans="1:6" x14ac:dyDescent="0.25">
      <c r="A345">
        <v>36820</v>
      </c>
      <c r="B345" t="str">
        <f>_xlfn.CONCAT(bron[[#This Row],[personeelsnr]]," ",C345," ",D345)</f>
        <v>16545 Toch Erwin</v>
      </c>
      <c r="C345" t="str">
        <f>VLOOKUP(bron[[#This Row],[personeelsnr]],'data hastus'!$A:$C,2,0)</f>
        <v>Toch</v>
      </c>
      <c r="D345" t="str">
        <f>VLOOKUP(bron[[#This Row],[personeelsnr]],'data hastus'!$A:$C,3,0)</f>
        <v>Erwin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str">
        <f>_xlfn.CONCAT(bron[[#This Row],[personeelsnr]]," ",C346," ",D346)</f>
        <v>20400 Allan Kenneth</v>
      </c>
      <c r="C346" t="str">
        <f>VLOOKUP(bron[[#This Row],[personeelsnr]],'data hastus'!$A:$C,2,0)</f>
        <v>Allan</v>
      </c>
      <c r="D346" t="str">
        <f>VLOOKUP(bron[[#This Row],[personeelsnr]],'data hastus'!$A:$C,3,0)</f>
        <v>Kenneth</v>
      </c>
      <c r="E346" t="str">
        <f>VLOOKUP(bron[[#This Row],[personeelsnr]],'data hastus'!A:K,11,FALSE)</f>
        <v>Dominique De Clercq</v>
      </c>
    </row>
    <row r="347" spans="1:6" x14ac:dyDescent="0.25">
      <c r="A347">
        <v>24155</v>
      </c>
      <c r="B347" t="str">
        <f>_xlfn.CONCAT(bron[[#This Row],[personeelsnr]]," ",C347," ",D347)</f>
        <v>21121 Laforce Mike</v>
      </c>
      <c r="C347" t="str">
        <f>VLOOKUP(bron[[#This Row],[personeelsnr]],'data hastus'!$A:$C,2,0)</f>
        <v>Laforce</v>
      </c>
      <c r="D347" t="str">
        <f>VLOOKUP(bron[[#This Row],[personeelsnr]],'data hastus'!$A:$C,3,0)</f>
        <v>Mike</v>
      </c>
      <c r="E347" t="str">
        <f>VLOOKUP(bron[[#This Row],[personeelsnr]],'data hastus'!A:K,11,FALSE)</f>
        <v>Kenneth De Rick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33965 Van de Gehuchte Gilles</v>
      </c>
      <c r="C348" t="str">
        <f>VLOOKUP(bron[[#This Row],[personeelsnr]],'data hastus'!$A:$C,2,0)</f>
        <v>Van de Gehuchte</v>
      </c>
      <c r="D348" t="str">
        <f>VLOOKUP(bron[[#This Row],[personeelsnr]],'data hastus'!$A:$C,3,0)</f>
        <v>Gilles</v>
      </c>
      <c r="E348" t="str">
        <f>VLOOKUP(bron[[#This Row],[personeelsnr]],'data hastus'!A:K,11,FALSE)</f>
        <v>Kenneth De Rick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40223 Teetaert Billy</v>
      </c>
      <c r="C349" t="str">
        <f>VLOOKUP(bron[[#This Row],[personeelsnr]],'data hastus'!$A:$C,2,0)</f>
        <v>Teetaert</v>
      </c>
      <c r="D349" t="str">
        <f>VLOOKUP(bron[[#This Row],[personeelsnr]],'data hastus'!$A:$C,3,0)</f>
        <v>Billy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32951 De Bruyne Sonia</v>
      </c>
      <c r="C350" t="str">
        <f>VLOOKUP(bron[[#This Row],[personeelsnr]],'data hastus'!$A:$C,2,0)</f>
        <v>De Bruyne</v>
      </c>
      <c r="D350" t="str">
        <f>VLOOKUP(bron[[#This Row],[personeelsnr]],'data hastus'!$A:$C,3,0)</f>
        <v>Sonia</v>
      </c>
      <c r="E350" t="str">
        <f>VLOOKUP(bron[[#This Row],[personeelsnr]],'data hastus'!A:K,11,FALSE)</f>
        <v>Lucie Vande Velde</v>
      </c>
    </row>
    <row r="351" spans="1:6" x14ac:dyDescent="0.25">
      <c r="A351">
        <v>40591</v>
      </c>
      <c r="B351" t="str">
        <f>_xlfn.CONCAT(bron[[#This Row],[personeelsnr]]," ",C351," ",D351)</f>
        <v>30121 Simons Andreas</v>
      </c>
      <c r="C351" t="str">
        <f>VLOOKUP(bron[[#This Row],[personeelsnr]],'data hastus'!$A:$C,2,0)</f>
        <v>Simons</v>
      </c>
      <c r="D351" t="str">
        <f>VLOOKUP(bron[[#This Row],[personeelsnr]],'data hastus'!$A:$C,3,0)</f>
        <v>Andreas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39528 Mihaylov Plamen</v>
      </c>
      <c r="C352" t="str">
        <f>VLOOKUP(bron[[#This Row],[personeelsnr]],'data hastus'!$A:$C,2,0)</f>
        <v>Mihaylov</v>
      </c>
      <c r="D352" t="str">
        <f>VLOOKUP(bron[[#This Row],[personeelsnr]],'data hastus'!$A:$C,3,0)</f>
        <v>Plamen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39581 Vandenhaute Linus</v>
      </c>
      <c r="C353" t="str">
        <f>VLOOKUP(bron[[#This Row],[personeelsnr]],'data hastus'!$A:$C,2,0)</f>
        <v>Vandenhaute</v>
      </c>
      <c r="D353" t="str">
        <f>VLOOKUP(bron[[#This Row],[personeelsnr]],'data hastus'!$A:$C,3,0)</f>
        <v>Linus</v>
      </c>
      <c r="E353" t="str">
        <f>VLOOKUP(bron[[#This Row],[personeelsnr]],'data hastus'!A:K,11,FALSE)</f>
        <v>Els Dewulf</v>
      </c>
    </row>
    <row r="354" spans="1:6" x14ac:dyDescent="0.25">
      <c r="A354">
        <v>32002</v>
      </c>
      <c r="B354" t="str">
        <f>_xlfn.CONCAT(bron[[#This Row],[personeelsnr]]," ",C354," ",D354)</f>
        <v>33488 Holub Patrik</v>
      </c>
      <c r="C354" t="str">
        <f>VLOOKUP(bron[[#This Row],[personeelsnr]],'data hastus'!$A:$C,2,0)</f>
        <v>Holub</v>
      </c>
      <c r="D354" t="str">
        <f>VLOOKUP(bron[[#This Row],[personeelsnr]],'data hastus'!$A:$C,3,0)</f>
        <v>Patrik</v>
      </c>
      <c r="E354" t="str">
        <f>VLOOKUP(bron[[#This Row],[personeelsnr]],'data hastus'!A:K,11,FALSE)</f>
        <v>Els Vanhoe</v>
      </c>
      <c r="F354">
        <v>0</v>
      </c>
    </row>
    <row r="355" spans="1:6" x14ac:dyDescent="0.25">
      <c r="A355">
        <v>40744</v>
      </c>
      <c r="B355" t="str">
        <f>_xlfn.CONCAT(bron[[#This Row],[personeelsnr]]," ",C355," ",D355)</f>
        <v>26102 Bral Jessica</v>
      </c>
      <c r="C355" t="str">
        <f>VLOOKUP(bron[[#This Row],[personeelsnr]],'data hastus'!$A:$C,2,0)</f>
        <v>Bral</v>
      </c>
      <c r="D355" t="str">
        <f>VLOOKUP(bron[[#This Row],[personeelsnr]],'data hastus'!$A:$C,3,0)</f>
        <v>Jessica</v>
      </c>
      <c r="E355" t="str">
        <f>VLOOKUP(bron[[#This Row],[personeelsnr]],'data hastus'!A:K,11,FALSE)</f>
        <v>Els Dewulf</v>
      </c>
    </row>
    <row r="356" spans="1:6" x14ac:dyDescent="0.25">
      <c r="A356">
        <v>40744</v>
      </c>
      <c r="B356" t="str">
        <f>_xlfn.CONCAT(bron[[#This Row],[personeelsnr]]," ",C356," ",D356)</f>
        <v>30901 vanden Bulcke Johan</v>
      </c>
      <c r="C356" t="str">
        <f>VLOOKUP(bron[[#This Row],[personeelsnr]],'data hastus'!$A:$C,2,0)</f>
        <v>vanden Bulcke</v>
      </c>
      <c r="D356" t="str">
        <f>VLOOKUP(bron[[#This Row],[personeelsnr]],'data hastus'!$A:$C,3,0)</f>
        <v>Johan</v>
      </c>
      <c r="E356" t="str">
        <f>VLOOKUP(bron[[#This Row],[personeelsnr]],'data hastus'!A:K,11,FALSE)</f>
        <v>Els Dewulf</v>
      </c>
    </row>
    <row r="357" spans="1:6" x14ac:dyDescent="0.25">
      <c r="A357">
        <v>33085</v>
      </c>
      <c r="B357" t="e">
        <f>_xlfn.CONCAT(bron[[#This Row],[personeelsnr]]," ",C357," ",D357)</f>
        <v>#N/A</v>
      </c>
      <c r="C357" t="e">
        <f>VLOOKUP(bron[[#This Row],[personeelsnr]],'data hastus'!$A:$C,2,0)</f>
        <v>#N/A</v>
      </c>
      <c r="D357" t="e">
        <f>VLOOKUP(bron[[#This Row],[personeelsnr]],'data hastus'!$A:$C,3,0)</f>
        <v>#N/A</v>
      </c>
      <c r="E357" t="e">
        <f>VLOOKUP(bron[[#This Row],[personeelsnr]],'data hastus'!A:K,11,FALSE)</f>
        <v>#N/A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40278 Ates Firat</v>
      </c>
      <c r="C358" t="str">
        <f>VLOOKUP(bron[[#This Row],[personeelsnr]],'data hastus'!$A:$C,2,0)</f>
        <v>Ates</v>
      </c>
      <c r="D358" t="str">
        <f>VLOOKUP(bron[[#This Row],[personeelsnr]],'data hastus'!$A:$C,3,0)</f>
        <v>Firat</v>
      </c>
      <c r="E358" t="str">
        <f>VLOOKUP(bron[[#This Row],[personeelsnr]],'data hastus'!A:K,11,FALSE)</f>
        <v>Christoff Rotty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29540 De Keyzer Jan</v>
      </c>
      <c r="C359" t="str">
        <f>VLOOKUP(bron[[#This Row],[personeelsnr]],'data hastus'!$A:$C,2,0)</f>
        <v>De Keyzer</v>
      </c>
      <c r="D359" t="str">
        <f>VLOOKUP(bron[[#This Row],[personeelsnr]],'data hastus'!$A:$C,3,0)</f>
        <v>Jan</v>
      </c>
      <c r="E359" t="str">
        <f>VLOOKUP(bron[[#This Row],[personeelsnr]],'data hastus'!A:K,11,FALSE)</f>
        <v>Lucie Vande Velde</v>
      </c>
    </row>
    <row r="360" spans="1:6" x14ac:dyDescent="0.25">
      <c r="A360">
        <v>40859</v>
      </c>
      <c r="B360" t="str">
        <f>_xlfn.CONCAT(bron[[#This Row],[personeelsnr]]," ",C360," ",D360)</f>
        <v>12173 De Feyter David</v>
      </c>
      <c r="C360" t="str">
        <f>VLOOKUP(bron[[#This Row],[personeelsnr]],'data hastus'!$A:$C,2,0)</f>
        <v>De Feyter</v>
      </c>
      <c r="D360" t="str">
        <f>VLOOKUP(bron[[#This Row],[personeelsnr]],'data hastus'!$A:$C,3,0)</f>
        <v>David</v>
      </c>
      <c r="E360" t="str">
        <f>VLOOKUP(bron[[#This Row],[personeelsnr]],'data hastus'!A:K,11,FALSE)</f>
        <v>Els Vanhoe</v>
      </c>
    </row>
    <row r="361" spans="1:6" x14ac:dyDescent="0.25">
      <c r="A361">
        <v>40939</v>
      </c>
      <c r="B361" t="str">
        <f>_xlfn.CONCAT(bron[[#This Row],[personeelsnr]]," ",C361," ",D361)</f>
        <v>37542 De Tandt Hans</v>
      </c>
      <c r="C361" t="str">
        <f>VLOOKUP(bron[[#This Row],[personeelsnr]],'data hastus'!$A:$C,2,0)</f>
        <v>De Tandt</v>
      </c>
      <c r="D361" t="str">
        <f>VLOOKUP(bron[[#This Row],[personeelsnr]],'data hastus'!$A:$C,3,0)</f>
        <v>Hans</v>
      </c>
      <c r="E361" t="str">
        <f>VLOOKUP(bron[[#This Row],[personeelsnr]],'data hastus'!A:K,11,FALSE)</f>
        <v>Bart Van Der Beken</v>
      </c>
    </row>
    <row r="362" spans="1:6" x14ac:dyDescent="0.25">
      <c r="A362">
        <v>40939</v>
      </c>
      <c r="B362" t="str">
        <f>_xlfn.CONCAT(bron[[#This Row],[personeelsnr]]," ",C362," ",D362)</f>
        <v>40859 Yagoub Abdelali</v>
      </c>
      <c r="C362" t="str">
        <f>VLOOKUP(bron[[#This Row],[personeelsnr]],'data hastus'!$A:$C,2,0)</f>
        <v>Yagoub</v>
      </c>
      <c r="D362" t="str">
        <f>VLOOKUP(bron[[#This Row],[personeelsnr]],'data hastus'!$A:$C,3,0)</f>
        <v>Abdelali</v>
      </c>
      <c r="E362" t="str">
        <f>VLOOKUP(bron[[#This Row],[personeelsnr]],'data hastus'!A:K,11,FALSE)</f>
        <v>Els Vanhoe</v>
      </c>
    </row>
    <row r="363" spans="1:6" x14ac:dyDescent="0.25">
      <c r="A363">
        <v>37744</v>
      </c>
      <c r="B363" t="str">
        <f>_xlfn.CONCAT(bron[[#This Row],[personeelsnr]]," ",C363," ",D363)</f>
        <v>21892 Dierick Steve</v>
      </c>
      <c r="C363" t="str">
        <f>VLOOKUP(bron[[#This Row],[personeelsnr]],'data hastus'!$A:$C,2,0)</f>
        <v>Dierick</v>
      </c>
      <c r="D363" t="str">
        <f>VLOOKUP(bron[[#This Row],[personeelsnr]],'data hastus'!$A:$C,3,0)</f>
        <v>Steve</v>
      </c>
      <c r="E363" t="str">
        <f>VLOOKUP(bron[[#This Row],[personeelsnr]],'data hastus'!A:K,11,FALSE)</f>
        <v>Steven Storm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30623 Gassa Mustafa</v>
      </c>
      <c r="C364" t="str">
        <f>VLOOKUP(bron[[#This Row],[personeelsnr]],'data hastus'!$A:$C,2,0)</f>
        <v>Gassa</v>
      </c>
      <c r="D364" t="str">
        <f>VLOOKUP(bron[[#This Row],[personeelsnr]],'data hastus'!$A:$C,3,0)</f>
        <v>Mustafa</v>
      </c>
      <c r="E364" t="str">
        <f>VLOOKUP(bron[[#This Row],[personeelsnr]],'data hastus'!A:K,11,FALSE)</f>
        <v>Kenneth De Rick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37809 Sturtewagen Kenny</v>
      </c>
      <c r="C365" t="str">
        <f>VLOOKUP(bron[[#This Row],[personeelsnr]],'data hastus'!$A:$C,2,0)</f>
        <v>Sturtewagen</v>
      </c>
      <c r="D365" t="str">
        <f>VLOOKUP(bron[[#This Row],[personeelsnr]],'data hastus'!$A:$C,3,0)</f>
        <v>Kenny</v>
      </c>
      <c r="E365" t="str">
        <f>VLOOKUP(bron[[#This Row],[personeelsnr]],'data hastus'!A:K,11,FALSE)</f>
        <v>Steven Storm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40222 Van Iterson Sharon</v>
      </c>
      <c r="C366" t="str">
        <f>VLOOKUP(bron[[#This Row],[personeelsnr]],'data hastus'!$A:$C,2,0)</f>
        <v>Van Iterson</v>
      </c>
      <c r="D366" t="str">
        <f>VLOOKUP(bron[[#This Row],[personeelsnr]],'data hastus'!$A:$C,3,0)</f>
        <v>Sharon</v>
      </c>
      <c r="E366" t="str">
        <f>VLOOKUP(bron[[#This Row],[personeelsnr]],'data hastus'!A:K,11,FALSE)</f>
        <v>Dominique De Clercq</v>
      </c>
    </row>
    <row r="367" spans="1:6" x14ac:dyDescent="0.25">
      <c r="A367">
        <v>41012</v>
      </c>
      <c r="B367" t="str">
        <f>_xlfn.CONCAT(bron[[#This Row],[personeelsnr]]," ",C367," ",D367)</f>
        <v>35450 Roos Hugo</v>
      </c>
      <c r="C367" t="str">
        <f>VLOOKUP(bron[[#This Row],[personeelsnr]],'data hastus'!$A:$C,2,0)</f>
        <v>Roos</v>
      </c>
      <c r="D367" t="str">
        <f>VLOOKUP(bron[[#This Row],[personeelsnr]],'data hastus'!$A:$C,3,0)</f>
        <v>Hugo</v>
      </c>
      <c r="E367" t="str">
        <f>VLOOKUP(bron[[#This Row],[personeelsnr]],'data hastus'!A:K,11,FALSE)</f>
        <v>Els Dewulf</v>
      </c>
    </row>
    <row r="368" spans="1:6" x14ac:dyDescent="0.25">
      <c r="A368">
        <v>41032</v>
      </c>
      <c r="B368" t="str">
        <f>_xlfn.CONCAT(bron[[#This Row],[personeelsnr]]," ",C368," ",D368)</f>
        <v>40652 Van Damme Gilyann</v>
      </c>
      <c r="C368" t="str">
        <f>VLOOKUP(bron[[#This Row],[personeelsnr]],'data hastus'!$A:$C,2,0)</f>
        <v>Van Damme</v>
      </c>
      <c r="D368" t="str">
        <f>VLOOKUP(bron[[#This Row],[personeelsnr]],'data hastus'!$A:$C,3,0)</f>
        <v>Gilyann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37809 Sturtewagen Kenny</v>
      </c>
      <c r="C369" t="str">
        <f>VLOOKUP(bron[[#This Row],[personeelsnr]],'data hastus'!$A:$C,2,0)</f>
        <v>Sturtewagen</v>
      </c>
      <c r="D369" t="str">
        <f>VLOOKUP(bron[[#This Row],[personeelsnr]],'data hastus'!$A:$C,3,0)</f>
        <v>Kenny</v>
      </c>
      <c r="E369" t="str">
        <f>VLOOKUP(bron[[#This Row],[personeelsnr]],'data hastus'!A:K,11,FALSE)</f>
        <v>Steven Storm</v>
      </c>
      <c r="F369">
        <v>0</v>
      </c>
    </row>
    <row r="370" spans="1:6" x14ac:dyDescent="0.25">
      <c r="A370">
        <v>40478</v>
      </c>
      <c r="B370" t="str">
        <f>_xlfn.CONCAT(bron[[#This Row],[personeelsnr]]," ",C370," ",D370)</f>
        <v>5718 Dejonckheere Inge</v>
      </c>
      <c r="C370" t="str">
        <f>VLOOKUP(bron[[#This Row],[personeelsnr]],'data hastus'!$A:$C,2,0)</f>
        <v>Dejonckheere</v>
      </c>
      <c r="D370" t="str">
        <f>VLOOKUP(bron[[#This Row],[personeelsnr]],'data hastus'!$A:$C,3,0)</f>
        <v>Inge</v>
      </c>
      <c r="E370" t="str">
        <f>VLOOKUP(bron[[#This Row],[personeelsnr]],'data hastus'!A:K,11,FALSE)</f>
        <v>Kenneth De Rick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35598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39929 Staneva Mariyana</v>
      </c>
      <c r="C372" t="str">
        <f>VLOOKUP(bron[[#This Row],[personeelsnr]],'data hastus'!$A:$C,2,0)</f>
        <v>Staneva</v>
      </c>
      <c r="D372" t="str">
        <f>VLOOKUP(bron[[#This Row],[personeelsnr]],'data hastus'!$A:$C,3,0)</f>
        <v>Mariyana</v>
      </c>
      <c r="E372" t="str">
        <f>VLOOKUP(bron[[#This Row],[personeelsnr]],'data hastus'!A:K,11,FALSE)</f>
        <v>Christoff Rotty</v>
      </c>
      <c r="F372">
        <v>0</v>
      </c>
    </row>
    <row r="373" spans="1:6" x14ac:dyDescent="0.25">
      <c r="A373">
        <v>38475</v>
      </c>
      <c r="B373" t="str">
        <f>_xlfn.CONCAT(bron[[#This Row],[personeelsnr]]," ",C373," ",D373)</f>
        <v>32387 Meersman Herman</v>
      </c>
      <c r="C373" t="str">
        <f>VLOOKUP(bron[[#This Row],[personeelsnr]],'data hastus'!$A:$C,2,0)</f>
        <v>Meersman</v>
      </c>
      <c r="D373" t="str">
        <f>VLOOKUP(bron[[#This Row],[personeelsnr]],'data hastus'!$A:$C,3,0)</f>
        <v>Herman</v>
      </c>
      <c r="E373" t="str">
        <f>VLOOKUP(bron[[#This Row],[personeelsnr]],'data hastus'!A:K,11,FALSE)</f>
        <v>Steven Storm</v>
      </c>
    </row>
    <row r="374" spans="1:6" x14ac:dyDescent="0.25">
      <c r="A374">
        <v>41091</v>
      </c>
      <c r="B374" t="str">
        <f>_xlfn.CONCAT(bron[[#This Row],[personeelsnr]]," ",C374," ",D374)</f>
        <v>33986 Göktas Muharrem</v>
      </c>
      <c r="C374" t="str">
        <f>VLOOKUP(bron[[#This Row],[personeelsnr]],'data hastus'!$A:$C,2,0)</f>
        <v>Göktas</v>
      </c>
      <c r="D374" t="str">
        <f>VLOOKUP(bron[[#This Row],[personeelsnr]],'data hastus'!$A:$C,3,0)</f>
        <v>Muharrem</v>
      </c>
      <c r="E374" t="str">
        <f>VLOOKUP(bron[[#This Row],[personeelsnr]],'data hastus'!A:K,11,FALSE)</f>
        <v>Kenneth De Rick</v>
      </c>
    </row>
    <row r="375" spans="1:6" x14ac:dyDescent="0.25">
      <c r="A375">
        <v>41092</v>
      </c>
      <c r="B375" t="str">
        <f>_xlfn.CONCAT(bron[[#This Row],[personeelsnr]]," ",C375," ",D375)</f>
        <v>6310 De Craene Peter</v>
      </c>
      <c r="C375" t="str">
        <f>VLOOKUP(bron[[#This Row],[personeelsnr]],'data hastus'!$A:$C,2,0)</f>
        <v>De Craene</v>
      </c>
      <c r="D375" t="str">
        <f>VLOOKUP(bron[[#This Row],[personeelsnr]],'data hastus'!$A:$C,3,0)</f>
        <v>Peter</v>
      </c>
      <c r="E375" t="str">
        <f>VLOOKUP(bron[[#This Row],[personeelsnr]],'data hastus'!A:K,11,FALSE)</f>
        <v>Els Dewulf</v>
      </c>
    </row>
    <row r="376" spans="1:6" x14ac:dyDescent="0.25">
      <c r="A376">
        <v>4608</v>
      </c>
      <c r="B376" t="str">
        <f>_xlfn.CONCAT(bron[[#This Row],[personeelsnr]]," ",C376," ",D376)</f>
        <v>37662 Van den Meerssche Steven</v>
      </c>
      <c r="C376" t="str">
        <f>VLOOKUP(bron[[#This Row],[personeelsnr]],'data hastus'!$A:$C,2,0)</f>
        <v>Van den Meerssche</v>
      </c>
      <c r="D376" t="str">
        <f>VLOOKUP(bron[[#This Row],[personeelsnr]],'data hastus'!$A:$C,3,0)</f>
        <v>Steven</v>
      </c>
      <c r="E376" t="str">
        <f>VLOOKUP(bron[[#This Row],[personeelsnr]],'data hastus'!A:K,11,FALSE)</f>
        <v>Bart Van Der Beken</v>
      </c>
    </row>
    <row r="377" spans="1:6" x14ac:dyDescent="0.25">
      <c r="A377">
        <v>41092</v>
      </c>
      <c r="B377" t="str">
        <f>_xlfn.CONCAT(bron[[#This Row],[personeelsnr]]," ",C377," ",D377)</f>
        <v>39779 Avci Muhammet Abdullah</v>
      </c>
      <c r="C377" t="str">
        <f>VLOOKUP(bron[[#This Row],[personeelsnr]],'data hastus'!$A:$C,2,0)</f>
        <v>Avci</v>
      </c>
      <c r="D377" t="str">
        <f>VLOOKUP(bron[[#This Row],[personeelsnr]],'data hastus'!$A:$C,3,0)</f>
        <v>Muhammet Abdullah</v>
      </c>
      <c r="E377" t="str">
        <f>VLOOKUP(bron[[#This Row],[personeelsnr]],'data hastus'!A:K,11,FALSE)</f>
        <v>Bart Van Der Beken</v>
      </c>
    </row>
    <row r="378" spans="1:6" x14ac:dyDescent="0.25">
      <c r="A378">
        <v>41092</v>
      </c>
      <c r="B378" t="str">
        <f>_xlfn.CONCAT(bron[[#This Row],[personeelsnr]]," ",C378," ",D378)</f>
        <v>23918 D'Haeyere Bernard</v>
      </c>
      <c r="C378" t="str">
        <f>VLOOKUP(bron[[#This Row],[personeelsnr]],'data hastus'!$A:$C,2,0)</f>
        <v>D'Haeyere</v>
      </c>
      <c r="D378" t="str">
        <f>VLOOKUP(bron[[#This Row],[personeelsnr]],'data hastus'!$A:$C,3,0)</f>
        <v>Bernard</v>
      </c>
      <c r="E378" t="str">
        <f>VLOOKUP(bron[[#This Row],[personeelsnr]],'data hastus'!A:K,11,FALSE)</f>
        <v>Els Vanhoe</v>
      </c>
    </row>
    <row r="379" spans="1:6" x14ac:dyDescent="0.25">
      <c r="A379">
        <v>41092</v>
      </c>
      <c r="B379" t="e">
        <f>_xlfn.CONCAT(bron[[#This Row],[personeelsnr]]," ",C379," ",D379)</f>
        <v>#N/A</v>
      </c>
      <c r="C379" t="e">
        <f>VLOOKUP(bron[[#This Row],[personeelsnr]],'data hastus'!$A:$C,2,0)</f>
        <v>#N/A</v>
      </c>
      <c r="D379" t="e">
        <f>VLOOKUP(bron[[#This Row],[personeelsnr]],'data hastus'!$A:$C,3,0)</f>
        <v>#N/A</v>
      </c>
      <c r="E379" t="e">
        <f>VLOOKUP(bron[[#This Row],[personeelsnr]],'data hastus'!A:K,11,FALSE)</f>
        <v>#N/A</v>
      </c>
    </row>
    <row r="380" spans="1:6" x14ac:dyDescent="0.25">
      <c r="A380">
        <v>41092</v>
      </c>
      <c r="B380" t="str">
        <f>_xlfn.CONCAT(bron[[#This Row],[personeelsnr]]," ",C380," ",D380)</f>
        <v>36569 Stroobandt Jonas</v>
      </c>
      <c r="C380" t="str">
        <f>VLOOKUP(bron[[#This Row],[personeelsnr]],'data hastus'!$A:$C,2,0)</f>
        <v>Stroobandt</v>
      </c>
      <c r="D380" t="str">
        <f>VLOOKUP(bron[[#This Row],[personeelsnr]],'data hastus'!$A:$C,3,0)</f>
        <v>Jonas</v>
      </c>
      <c r="E380" t="str">
        <f>VLOOKUP(bron[[#This Row],[personeelsnr]],'data hastus'!A:K,11,FALSE)</f>
        <v>Els Vanhoe</v>
      </c>
    </row>
    <row r="381" spans="1:6" x14ac:dyDescent="0.25">
      <c r="A381">
        <v>37908</v>
      </c>
      <c r="B381" t="str">
        <f>_xlfn.CONCAT(bron[[#This Row],[personeelsnr]]," ",C381," ",D381)</f>
        <v>5718 Dejonckheere Inge</v>
      </c>
      <c r="C381" t="str">
        <f>VLOOKUP(bron[[#This Row],[personeelsnr]],'data hastus'!$A:$C,2,0)</f>
        <v>Dejonckheere</v>
      </c>
      <c r="D381" t="str">
        <f>VLOOKUP(bron[[#This Row],[personeelsnr]],'data hastus'!$A:$C,3,0)</f>
        <v>Inge</v>
      </c>
      <c r="E381" t="str">
        <f>VLOOKUP(bron[[#This Row],[personeelsnr]],'data hastus'!A:K,11,FALSE)</f>
        <v>Kenneth De Rick</v>
      </c>
    </row>
    <row r="382" spans="1:6" x14ac:dyDescent="0.25">
      <c r="A382">
        <v>37908</v>
      </c>
      <c r="B382" t="str">
        <f>_xlfn.CONCAT(bron[[#This Row],[personeelsnr]]," ",C382," ",D382)</f>
        <v>40608 Kurti Domeniko</v>
      </c>
      <c r="C382" t="str">
        <f>VLOOKUP(bron[[#This Row],[personeelsnr]],'data hastus'!$A:$C,2,0)</f>
        <v>Kurti</v>
      </c>
      <c r="D382" t="str">
        <f>VLOOKUP(bron[[#This Row],[personeelsnr]],'data hastus'!$A:$C,3,0)</f>
        <v>Domeniko</v>
      </c>
      <c r="E382" t="str">
        <f>VLOOKUP(bron[[#This Row],[personeelsnr]],'data hastus'!A:K,11,FALSE)</f>
        <v>Lucie Vande Velde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6310 De Craene Peter</v>
      </c>
      <c r="C383" t="str">
        <f>VLOOKUP(bron[[#This Row],[personeelsnr]],'data hastus'!$A:$C,2,0)</f>
        <v>De Craene</v>
      </c>
      <c r="D383" t="str">
        <f>VLOOKUP(bron[[#This Row],[personeelsnr]],'data hastus'!$A:$C,3,0)</f>
        <v>Peter</v>
      </c>
      <c r="E383" t="str">
        <f>VLOOKUP(bron[[#This Row],[personeelsnr]],'data hastus'!A:K,11,FALSE)</f>
        <v>Els Dewulf</v>
      </c>
    </row>
    <row r="384" spans="1:6" x14ac:dyDescent="0.25">
      <c r="A384">
        <v>39779</v>
      </c>
      <c r="B384" t="str">
        <f>_xlfn.CONCAT(bron[[#This Row],[personeelsnr]]," ",C384," ",D384)</f>
        <v>33965 Van de Gehuchte Gilles</v>
      </c>
      <c r="C384" t="str">
        <f>VLOOKUP(bron[[#This Row],[personeelsnr]],'data hastus'!$A:$C,2,0)</f>
        <v>Van de Gehuchte</v>
      </c>
      <c r="D384" t="str">
        <f>VLOOKUP(bron[[#This Row],[personeelsnr]],'data hastus'!$A:$C,3,0)</f>
        <v>Gilles</v>
      </c>
      <c r="E384" t="str">
        <f>VLOOKUP(bron[[#This Row],[personeelsnr]],'data hastus'!A:K,11,FALSE)</f>
        <v>Kenneth De Rick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39779 Avci Muhammet Abdullah</v>
      </c>
      <c r="C385" t="str">
        <f>VLOOKUP(bron[[#This Row],[personeelsnr]],'data hastus'!$A:$C,2,0)</f>
        <v>Avci</v>
      </c>
      <c r="D385" t="str">
        <f>VLOOKUP(bron[[#This Row],[personeelsnr]],'data hastus'!$A:$C,3,0)</f>
        <v>Muhammet Abdullah</v>
      </c>
      <c r="E385" t="str">
        <f>VLOOKUP(bron[[#This Row],[personeelsnr]],'data hastus'!A:K,11,FALSE)</f>
        <v>Bart Van Der Beken</v>
      </c>
    </row>
    <row r="386" spans="1:6" x14ac:dyDescent="0.25">
      <c r="A386">
        <v>41162</v>
      </c>
      <c r="B386" t="str">
        <f>_xlfn.CONCAT(bron[[#This Row],[personeelsnr]]," ",C386," ",D386)</f>
        <v>39532 Sahin Orhan</v>
      </c>
      <c r="C386" t="str">
        <f>VLOOKUP(bron[[#This Row],[personeelsnr]],'data hastus'!$A:$C,2,0)</f>
        <v>Sahin</v>
      </c>
      <c r="D386" t="str">
        <f>VLOOKUP(bron[[#This Row],[personeelsnr]],'data hastus'!$A:$C,3,0)</f>
        <v>Orhan</v>
      </c>
      <c r="E386" t="str">
        <f>VLOOKUP(bron[[#This Row],[personeelsnr]],'data hastus'!A:K,11,FALSE)</f>
        <v>Christoff Rotty</v>
      </c>
    </row>
    <row r="387" spans="1:6" x14ac:dyDescent="0.25">
      <c r="A387">
        <v>37132</v>
      </c>
      <c r="B387" t="str">
        <f>_xlfn.CONCAT(bron[[#This Row],[personeelsnr]]," ",C387," ",D387)</f>
        <v>38551 Alassad Ahmad</v>
      </c>
      <c r="C387" t="str">
        <f>VLOOKUP(bron[[#This Row],[personeelsnr]],'data hastus'!$A:$C,2,0)</f>
        <v>Alassad</v>
      </c>
      <c r="D387" t="str">
        <f>VLOOKUP(bron[[#This Row],[personeelsnr]],'data hastus'!$A:$C,3,0)</f>
        <v>Ahmad</v>
      </c>
      <c r="E387" t="str">
        <f>VLOOKUP(bron[[#This Row],[personeelsnr]],'data hastus'!A:K,11,FALSE)</f>
        <v>Bart Van Der Beken</v>
      </c>
      <c r="F387">
        <v>0</v>
      </c>
    </row>
    <row r="388" spans="1:6" x14ac:dyDescent="0.25">
      <c r="A388">
        <v>41246</v>
      </c>
      <c r="B388" t="e">
        <f>_xlfn.CONCAT(bron[[#This Row],[personeelsnr]]," ",C388," ",D388)</f>
        <v>#N/A</v>
      </c>
      <c r="C388" t="e">
        <f>VLOOKUP(bron[[#This Row],[personeelsnr]],'data hastus'!$A:$C,2,0)</f>
        <v>#N/A</v>
      </c>
      <c r="D388" t="e">
        <f>VLOOKUP(bron[[#This Row],[personeelsnr]],'data hastus'!$A:$C,3,0)</f>
        <v>#N/A</v>
      </c>
      <c r="E388" t="e">
        <f>VLOOKUP(bron[[#This Row],[personeelsnr]],'data hastus'!A:K,11,FALSE)</f>
        <v>#N/A</v>
      </c>
    </row>
    <row r="389" spans="1:6" x14ac:dyDescent="0.25">
      <c r="A389">
        <v>41383</v>
      </c>
      <c r="B389" t="str">
        <f>_xlfn.CONCAT(bron[[#This Row],[personeelsnr]]," ",C389," ",D389)</f>
        <v>27153 Oben Thibaud</v>
      </c>
      <c r="C389" t="str">
        <f>VLOOKUP(bron[[#This Row],[personeelsnr]],'data hastus'!$A:$C,2,0)</f>
        <v>Oben</v>
      </c>
      <c r="D389" t="str">
        <f>VLOOKUP(bron[[#This Row],[personeelsnr]],'data hastus'!$A:$C,3,0)</f>
        <v>Thibaud</v>
      </c>
      <c r="E389" t="str">
        <f>VLOOKUP(bron[[#This Row],[personeelsnr]],'data hastus'!A:K,11,FALSE)</f>
        <v>Christoff Rotty</v>
      </c>
    </row>
    <row r="390" spans="1:6" x14ac:dyDescent="0.25">
      <c r="A390">
        <v>41520</v>
      </c>
      <c r="B390" t="str">
        <f>_xlfn.CONCAT(bron[[#This Row],[personeelsnr]]," ",C390," ",D390)</f>
        <v>39673 Steurbaut Henri</v>
      </c>
      <c r="C390" t="str">
        <f>VLOOKUP(bron[[#This Row],[personeelsnr]],'data hastus'!$A:$C,2,0)</f>
        <v>Steurbaut</v>
      </c>
      <c r="D390" t="str">
        <f>VLOOKUP(bron[[#This Row],[personeelsnr]],'data hastus'!$A:$C,3,0)</f>
        <v>Henri</v>
      </c>
      <c r="E390" t="str">
        <f>VLOOKUP(bron[[#This Row],[personeelsnr]],'data hastus'!A:K,11,FALSE)</f>
        <v>Els Vanhoe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26266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36626 Kartal Kadir</v>
      </c>
      <c r="C392" t="str">
        <f>VLOOKUP(bron[[#This Row],[personeelsnr]],'data hastus'!$A:$C,2,0)</f>
        <v>Kartal</v>
      </c>
      <c r="D392" t="str">
        <f>VLOOKUP(bron[[#This Row],[personeelsnr]],'data hastus'!$A:$C,3,0)</f>
        <v>Kadir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38529 Huyghe Jan</v>
      </c>
      <c r="C393" t="str">
        <f>VLOOKUP(bron[[#This Row],[personeelsnr]],'data hastus'!$A:$C,2,0)</f>
        <v>Huyghe</v>
      </c>
      <c r="D393" t="str">
        <f>VLOOKUP(bron[[#This Row],[personeelsnr]],'data hastus'!$A:$C,3,0)</f>
        <v>Jan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39013 Asrih Habib</v>
      </c>
      <c r="C394" t="str">
        <f>VLOOKUP(bron[[#This Row],[personeelsnr]],'data hastus'!$A:$C,2,0)</f>
        <v>Asrih</v>
      </c>
      <c r="D394" t="str">
        <f>VLOOKUP(bron[[#This Row],[personeelsnr]],'data hastus'!$A:$C,3,0)</f>
        <v>Habib</v>
      </c>
      <c r="E394" t="str">
        <f>VLOOKUP(bron[[#This Row],[personeelsnr]],'data hastus'!A:K,11,FALSE)</f>
        <v>Els Dewulf</v>
      </c>
    </row>
    <row r="395" spans="1:6" x14ac:dyDescent="0.25">
      <c r="A395">
        <v>40938</v>
      </c>
      <c r="B395" t="str">
        <f>_xlfn.CONCAT(bron[[#This Row],[personeelsnr]]," ",C395," ",D395)</f>
        <v>37683 De Boever Charlotte</v>
      </c>
      <c r="C395" t="str">
        <f>VLOOKUP(bron[[#This Row],[personeelsnr]],'data hastus'!$A:$C,2,0)</f>
        <v>De Boever</v>
      </c>
      <c r="D395" t="str">
        <f>VLOOKUP(bron[[#This Row],[personeelsnr]],'data hastus'!$A:$C,3,0)</f>
        <v>Charlotte</v>
      </c>
      <c r="E395" t="str">
        <f>VLOOKUP(bron[[#This Row],[personeelsnr]],'data hastus'!A:K,11,FALSE)</f>
        <v>Steven Storm</v>
      </c>
    </row>
    <row r="396" spans="1:6" x14ac:dyDescent="0.25">
      <c r="A396">
        <v>41230</v>
      </c>
      <c r="B396" t="str">
        <f>_xlfn.CONCAT(bron[[#This Row],[personeelsnr]]," ",C396," ",D396)</f>
        <v>26137 Hublau Roland</v>
      </c>
      <c r="C396" t="str">
        <f>VLOOKUP(bron[[#This Row],[personeelsnr]],'data hastus'!$A:$C,2,0)</f>
        <v>Hublau</v>
      </c>
      <c r="D396" t="str">
        <f>VLOOKUP(bron[[#This Row],[personeelsnr]],'data hastus'!$A:$C,3,0)</f>
        <v>Roland</v>
      </c>
      <c r="E396" t="str">
        <f>VLOOKUP(bron[[#This Row],[personeelsnr]],'data hastus'!A:K,11,FALSE)</f>
        <v>Steven Storm</v>
      </c>
    </row>
    <row r="397" spans="1:6" x14ac:dyDescent="0.25">
      <c r="A397">
        <v>41710</v>
      </c>
      <c r="B397" t="str">
        <f>_xlfn.CONCAT(bron[[#This Row],[personeelsnr]]," ",C397," ",D397)</f>
        <v>34286 Ghani Mozamil</v>
      </c>
      <c r="C397" t="str">
        <f>VLOOKUP(bron[[#This Row],[personeelsnr]],'data hastus'!$A:$C,2,0)</f>
        <v>Ghani</v>
      </c>
      <c r="D397" t="str">
        <f>VLOOKUP(bron[[#This Row],[personeelsnr]],'data hastus'!$A:$C,3,0)</f>
        <v>Mozamil</v>
      </c>
      <c r="E397" t="str">
        <f>VLOOKUP(bron[[#This Row],[personeelsnr]],'data hastus'!A:K,11,FALSE)</f>
        <v>Steven Storm</v>
      </c>
    </row>
    <row r="398" spans="1:6" x14ac:dyDescent="0.25">
      <c r="A398">
        <v>11120</v>
      </c>
      <c r="B398" t="str">
        <f>_xlfn.CONCAT(bron[[#This Row],[personeelsnr]]," ",C398," ",D398)</f>
        <v>34325 Eid Mathyn</v>
      </c>
      <c r="C398" t="str">
        <f>VLOOKUP(bron[[#This Row],[personeelsnr]],'data hastus'!$A:$C,2,0)</f>
        <v>Eid</v>
      </c>
      <c r="D398" t="str">
        <f>VLOOKUP(bron[[#This Row],[personeelsnr]],'data hastus'!$A:$C,3,0)</f>
        <v>Mathyn</v>
      </c>
      <c r="E398" t="str">
        <f>VLOOKUP(bron[[#This Row],[personeelsnr]],'data hastus'!A:K,11,FALSE)</f>
        <v>Steven Storm</v>
      </c>
    </row>
    <row r="399" spans="1:6" x14ac:dyDescent="0.25">
      <c r="A399">
        <v>40744</v>
      </c>
      <c r="B399" t="str">
        <f>_xlfn.CONCAT(bron[[#This Row],[personeelsnr]]," ",C399," ",D399)</f>
        <v>20404 Vranken Kenneth</v>
      </c>
      <c r="C399" t="str">
        <f>VLOOKUP(bron[[#This Row],[personeelsnr]],'data hastus'!$A:$C,2,0)</f>
        <v>Vranken</v>
      </c>
      <c r="D399" t="str">
        <f>VLOOKUP(bron[[#This Row],[personeelsnr]],'data hastus'!$A:$C,3,0)</f>
        <v>Kenneth</v>
      </c>
      <c r="E399" t="str">
        <f>VLOOKUP(bron[[#This Row],[personeelsnr]],'data hastus'!A:K,11,FALSE)</f>
        <v>Christoff Rotty</v>
      </c>
      <c r="F399" s="3"/>
    </row>
    <row r="400" spans="1:6" x14ac:dyDescent="0.25">
      <c r="A400">
        <v>41246</v>
      </c>
      <c r="B400" t="str">
        <f>_xlfn.CONCAT(bron[[#This Row],[personeelsnr]]," ",C400," ",D400)</f>
        <v>8391 Lucq Joeri</v>
      </c>
      <c r="C400" t="str">
        <f>VLOOKUP(bron[[#This Row],[personeelsnr]],'data hastus'!$A:$C,2,0)</f>
        <v>Lucq</v>
      </c>
      <c r="D400" t="str">
        <f>VLOOKUP(bron[[#This Row],[personeelsnr]],'data hastus'!$A:$C,3,0)</f>
        <v>Joeri</v>
      </c>
      <c r="E400" t="str">
        <f>VLOOKUP(bron[[#This Row],[personeelsnr]],'data hastus'!A:K,11,FALSE)</f>
        <v>Els Vanhoe</v>
      </c>
    </row>
    <row r="401" spans="1:5" x14ac:dyDescent="0.25">
      <c r="A401">
        <v>38648</v>
      </c>
      <c r="B401" t="str">
        <f>_xlfn.CONCAT(bron[[#This Row],[personeelsnr]]," ",C401," ",D401)</f>
        <v>40761 De Vijlder Wim</v>
      </c>
      <c r="C401" t="str">
        <f>VLOOKUP(bron[[#This Row],[personeelsnr]],'data hastus'!$A:$C,2,0)</f>
        <v>De Vijlder</v>
      </c>
      <c r="D401" t="str">
        <f>VLOOKUP(bron[[#This Row],[personeelsnr]],'data hastus'!$A:$C,3,0)</f>
        <v>Wim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40006 De Ridder Benjamin</v>
      </c>
      <c r="C402" t="str">
        <f>VLOOKUP(bron[[#This Row],[personeelsnr]],'data hastus'!$A:$C,2,0)</f>
        <v>De Ridder</v>
      </c>
      <c r="D402" t="str">
        <f>VLOOKUP(bron[[#This Row],[personeelsnr]],'data hastus'!$A:$C,3,0)</f>
        <v>Benjamin</v>
      </c>
      <c r="E402" t="str">
        <f>VLOOKUP(bron[[#This Row],[personeelsnr]],'data hastus'!A:K,11,FALSE)</f>
        <v>Christoff Rotty</v>
      </c>
    </row>
    <row r="403" spans="1:5" x14ac:dyDescent="0.25">
      <c r="A403">
        <v>41671</v>
      </c>
      <c r="B403" t="str">
        <f>_xlfn.CONCAT(bron[[#This Row],[personeelsnr]]," ",C403," ",D403)</f>
        <v>35055 Kocabas Abdülkadir</v>
      </c>
      <c r="C403" t="str">
        <f>VLOOKUP(bron[[#This Row],[personeelsnr]],'data hastus'!$A:$C,2,0)</f>
        <v>Kocabas</v>
      </c>
      <c r="D403" t="str">
        <f>VLOOKUP(bron[[#This Row],[personeelsnr]],'data hastus'!$A:$C,3,0)</f>
        <v>Abdülkadir</v>
      </c>
      <c r="E403" t="str">
        <f>VLOOKUP(bron[[#This Row],[personeelsnr]],'data hastus'!A:K,11,FALSE)</f>
        <v>Els Vanhoe</v>
      </c>
    </row>
    <row r="404" spans="1:5" x14ac:dyDescent="0.25">
      <c r="A404">
        <v>15282</v>
      </c>
      <c r="B404" t="e">
        <f>_xlfn.CONCAT(bron[[#This Row],[personeelsnr]]," ",C404," ",D404)</f>
        <v>#N/A</v>
      </c>
      <c r="C404" t="e">
        <f>VLOOKUP(bron[[#This Row],[personeelsnr]],'data hastus'!$A:$C,2,0)</f>
        <v>#N/A</v>
      </c>
      <c r="D404" t="e">
        <f>VLOOKUP(bron[[#This Row],[personeelsnr]],'data hastus'!$A:$C,3,0)</f>
        <v>#N/A</v>
      </c>
      <c r="E404" t="e">
        <f>VLOOKUP(bron[[#This Row],[personeelsnr]],'data hastus'!A:K,11,FALSE)</f>
        <v>#N/A</v>
      </c>
    </row>
    <row r="405" spans="1:5" x14ac:dyDescent="0.25">
      <c r="A405">
        <v>29746</v>
      </c>
      <c r="B405" t="str">
        <f>_xlfn.CONCAT(bron[[#This Row],[personeelsnr]]," ",C405," ",D405)</f>
        <v>40478 Hashimi Ali Mir</v>
      </c>
      <c r="C405" t="str">
        <f>VLOOKUP(bron[[#This Row],[personeelsnr]],'data hastus'!$A:$C,2,0)</f>
        <v>Hashimi</v>
      </c>
      <c r="D405" t="str">
        <f>VLOOKUP(bron[[#This Row],[personeelsnr]],'data hastus'!$A:$C,3,0)</f>
        <v>Ali Mir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38346 Van Cleemputte Thibeaux</v>
      </c>
      <c r="C406" t="str">
        <f>VLOOKUP(bron[[#This Row],[personeelsnr]],'data hastus'!$A:$C,2,0)</f>
        <v>Van Cleemputte</v>
      </c>
      <c r="D406" t="str">
        <f>VLOOKUP(bron[[#This Row],[personeelsnr]],'data hastus'!$A:$C,3,0)</f>
        <v>Thibeaux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str">
        <f>_xlfn.CONCAT(bron[[#This Row],[personeelsnr]]," ",C407," ",D407)</f>
        <v>36624 De Meulenaere Kurt</v>
      </c>
      <c r="C407" t="str">
        <f>VLOOKUP(bron[[#This Row],[personeelsnr]],'data hastus'!$A:$C,2,0)</f>
        <v>De Meulenaere</v>
      </c>
      <c r="D407" t="str">
        <f>VLOOKUP(bron[[#This Row],[personeelsnr]],'data hastus'!$A:$C,3,0)</f>
        <v>Kurt</v>
      </c>
      <c r="E407" t="str">
        <f>VLOOKUP(bron[[#This Row],[personeelsnr]],'data hastus'!A:K,11,FALSE)</f>
        <v>Dominique De Clercq</v>
      </c>
    </row>
    <row r="408" spans="1:5" x14ac:dyDescent="0.25">
      <c r="A408">
        <v>40856</v>
      </c>
      <c r="B408" t="str">
        <f>_xlfn.CONCAT(bron[[#This Row],[personeelsnr]]," ",C408," ",D408)</f>
        <v>36428 Abdi Shaiye Rashid</v>
      </c>
      <c r="C408" t="str">
        <f>VLOOKUP(bron[[#This Row],[personeelsnr]],'data hastus'!$A:$C,2,0)</f>
        <v>Abdi Shaiye</v>
      </c>
      <c r="D408" t="str">
        <f>VLOOKUP(bron[[#This Row],[personeelsnr]],'data hastus'!$A:$C,3,0)</f>
        <v>Rashid</v>
      </c>
      <c r="E408" t="str">
        <f>VLOOKUP(bron[[#This Row],[personeelsnr]],'data hastus'!A:K,11,FALSE)</f>
        <v>Lucie Vande Velde</v>
      </c>
    </row>
  </sheetData>
  <conditionalFormatting sqref="F2:F408">
    <cfRule type="cellIs" dxfId="6" priority="1" operator="equal">
      <formula>0</formula>
    </cfRule>
    <cfRule type="cellIs" dxfId="5" priority="2" operator="between">
      <formula>1</formula>
      <formula>4</formula>
    </cfRule>
    <cfRule type="cellIs" dxfId="4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2025-08-20T07:28:22Z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