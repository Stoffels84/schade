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54" documentId="13_ncr:1_{10FCACA5-8197-478D-90D3-5F83063FB753}" xr6:coauthVersionLast="47" xr6:coauthVersionMax="47" xr10:uidLastSave="{C2C59503-A9EB-455E-B2B3-0C9B72ADC746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B991" i="1" s="1"/>
  <c r="D991" i="1"/>
  <c r="E991" i="1"/>
  <c r="S991" i="1"/>
  <c r="C990" i="1"/>
  <c r="B990" i="1" s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9" i="1" l="1"/>
  <c r="B987" i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<sst xmlns="http://schemas.openxmlformats.org/spreadsheetml/2006/main" count="13951" uniqueCount="4541">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</sst>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1.0952380952380953</c:v>
                </c:pt>
                <c:pt idx="35">
                  <c:v>1.1764705882352942</c:v>
                </c:pt>
                <c:pt idx="36">
                  <c:v>1.5555555555555556</c:v>
                </c:pt>
                <c:pt idx="37">
                  <c:v>1.35</c:v>
                </c:pt>
                <c:pt idx="38">
                  <c:v>1</c:v>
                </c:pt>
                <c:pt idx="39">
                  <c:v>1.5909090909090908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2.709090909090909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0659721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05871527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5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1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4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6"/>
    <n v="2"/>
  </r>
  <r>
    <s v="Dolgiev, Mukhamed"/>
    <s v="Mukhamed"/>
    <s v="Dolgiev"/>
    <n v="39831"/>
    <s v="Dewulf, Els"/>
    <x v="344"/>
    <x v="6"/>
    <n v="1"/>
  </r>
  <r>
    <s v="Helleputte, William"/>
    <s v="William"/>
    <s v="Helleputte"/>
    <n v="39850"/>
    <s v="De Clercq, Dominique"/>
    <x v="344"/>
    <x v="6"/>
    <n v="2"/>
  </r>
  <r>
    <s v="Curukcu, Bayram"/>
    <s v="Bayram"/>
    <s v="Curukcu"/>
    <n v="39856"/>
    <s v="De Rick, Kenneth"/>
    <x v="344"/>
    <x v="6"/>
    <n v="2"/>
  </r>
  <r>
    <s v="Jacobs, Elos"/>
    <s v="Elos"/>
    <s v="Jacobs"/>
    <n v="39858"/>
    <s v="Dewulf, Els"/>
    <x v="344"/>
    <x v="6"/>
    <n v="2"/>
  </r>
  <r>
    <s v="Costers, Kelly"/>
    <s v="Kelly"/>
    <s v="Costers"/>
    <n v="39859"/>
    <s v="Van Der Beken, Bart"/>
    <x v="344"/>
    <x v="6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5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2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5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1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Kolom1" dataDxfId="0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66" activePane="bottomLeft" state="frozen"/>
      <selection activeCell="F1" sqref="F1"/>
      <selection pane="bottomLeft" activeCell="X992" sqref="X992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18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18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18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18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18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18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18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18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18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18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18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18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18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18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18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18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18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18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5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4528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4530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16280</v>
      </c>
      <c r="B990" t="str">
        <f>_xlfn.CONCAT(bron[[#This Row],[personeelsnr]]," ",bron[[#This Row],[achternaam]]," ",bron[[#This Row],[voornaam]])</f>
        <v>16280 Bouckhout Ingeborg</v>
      </c>
      <c r="C990" t="str">
        <f>VLOOKUP(bron[[#This Row],[personeelsnr]],'data hastus'!$A:$C,2,0)</f>
        <v>Bouckhout</v>
      </c>
      <c r="D990" t="str">
        <f>VLOOKUP(bron[[#This Row],[personeelsnr]],'data hastus'!$A:$C,3,0)</f>
        <v>Ingeborg</v>
      </c>
      <c r="E990" s="2" t="str">
        <f>VLOOKUP(bron[[#This Row],[personeelsnr]],'data hastus'!A:K,11,FALSE)</f>
        <v>Lucie Vande Velde</v>
      </c>
      <c r="F990" s="10"/>
      <c r="G990" s="28"/>
      <c r="H990" s="28"/>
      <c r="I990" s="28"/>
      <c r="S990" s="25">
        <f>SUM(bron[[#This Row],[Januari]:[December]])</f>
        <v>0</v>
      </c>
      <c r="T990" s="30">
        <v>45994</v>
      </c>
      <c r="U990" s="5" t="s">
        <v>4537</v>
      </c>
      <c r="V990" s="26"/>
      <c r="W990" s="26"/>
      <c r="X990" t="s">
        <v>3527</v>
      </c>
      <c r="Y990" t="s">
        <v>4538</v>
      </c>
      <c r="Z990" s="2">
        <v>6320</v>
      </c>
      <c r="AA990" s="32" t="s">
        <v>3538</v>
      </c>
      <c r="AB990">
        <f>COUNTIF(B:B,bron[[#This Row],[volledige naam]])</f>
        <v>1</v>
      </c>
    </row>
    <row r="991" spans="1:28" x14ac:dyDescent="0.25">
      <c r="A991" s="38">
        <v>39184</v>
      </c>
      <c r="B991" t="str">
        <f>_xlfn.CONCAT(bron[[#This Row],[personeelsnr]]," ",bron[[#This Row],[achternaam]]," ",bron[[#This Row],[voornaam]])</f>
        <v>39184 Shinwari Yasin</v>
      </c>
      <c r="C991" t="str">
        <f>VLOOKUP(bron[[#This Row],[personeelsnr]],'data hastus'!$A:$C,2,0)</f>
        <v>Shinwari</v>
      </c>
      <c r="D991" t="str">
        <f>VLOOKUP(bron[[#This Row],[personeelsnr]],'data hastus'!$A:$C,3,0)</f>
        <v>Yasin</v>
      </c>
      <c r="E991" s="2" t="str">
        <f>VLOOKUP(bron[[#This Row],[personeelsnr]],'data hastus'!A:K,11,FALSE)</f>
        <v>Christoff Rotty</v>
      </c>
      <c r="F991" s="10"/>
      <c r="G991" s="28"/>
      <c r="H991" s="28"/>
      <c r="I991" s="28"/>
      <c r="S991" s="25">
        <f>SUM(bron[[#This Row],[Januari]:[December]])</f>
        <v>0</v>
      </c>
      <c r="T991" s="30">
        <v>45983</v>
      </c>
      <c r="U991" s="5" t="s">
        <v>4539</v>
      </c>
      <c r="V991" s="26"/>
      <c r="W991" s="26"/>
      <c r="X991" t="s">
        <v>3528</v>
      </c>
      <c r="Y991" t="s">
        <v>166</v>
      </c>
      <c r="Z991" s="2">
        <v>6359</v>
      </c>
      <c r="AA991" s="32" t="s">
        <v>3538</v>
      </c>
      <c r="AB991">
        <f>COUNTIF(B:B,bron[[#This Row],[volledige naam]])</f>
        <v>3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</sheetData>
  <sheetProtection sort="0" autoFilter="0"/>
  <phoneticPr fontId="1" type="noConversion"/>
  <conditionalFormatting sqref="F2:F99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opLeftCell="D1" workbookViewId="0">
      <selection activeCell="AA39" sqref="K3:AA39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16.570312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4527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5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2</v>
      </c>
      <c r="I39" s="2">
        <v>54</v>
      </c>
      <c r="J39" s="35">
        <v>1.0952380952380953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1.1764705882352942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1.5555555555555556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1.5909090909090908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1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1.4763513513513513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3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paperSize="8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J4" zoomScale="90" zoomScaleNormal="90" workbookViewId="0">
      <selection activeCell="AE43" sqref="L3:AE43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3887</v>
      </c>
    </row>
    <row r="2" spans="1:11" x14ac:dyDescent="0.25">
      <c r="A2" s="34" t="s">
        <v>3889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3890</v>
      </c>
      <c r="B3" s="34" t="s">
        <v>1769</v>
      </c>
      <c r="C3" s="34" t="s">
        <v>3891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4527</v>
      </c>
    </row>
    <row r="4" spans="1:11" x14ac:dyDescent="0.25">
      <c r="A4" s="34" t="s">
        <v>3892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3893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2.2028985507246377</v>
      </c>
    </row>
    <row r="6" spans="1:11" x14ac:dyDescent="0.25">
      <c r="A6" s="34" t="s">
        <v>3894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2.709090909090909</v>
      </c>
    </row>
    <row r="7" spans="1:11" x14ac:dyDescent="0.25">
      <c r="A7" s="34" t="s">
        <v>3895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3896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3897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3898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3899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2.2222222222222223</v>
      </c>
    </row>
    <row r="12" spans="1:11" x14ac:dyDescent="0.25">
      <c r="A12" s="34" t="s">
        <v>3900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1.25</v>
      </c>
    </row>
    <row r="13" spans="1:11" x14ac:dyDescent="0.25">
      <c r="A13" s="34" t="s">
        <v>3901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3902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3903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3904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3905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3906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3907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3908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3909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3910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3911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3912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3913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3914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0.76923076923076927</v>
      </c>
    </row>
    <row r="27" spans="1:11" x14ac:dyDescent="0.25">
      <c r="A27" s="34" t="s">
        <v>3915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3916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3917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1.8571428571428572</v>
      </c>
    </row>
    <row r="30" spans="1:11" x14ac:dyDescent="0.25">
      <c r="A30" s="34" t="s">
        <v>3918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3919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3920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3921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3922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3923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3924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3925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3926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3927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3928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3929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3930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1.4429967426710097</v>
      </c>
    </row>
    <row r="43" spans="1:11" x14ac:dyDescent="0.25">
      <c r="A43" s="34" t="s">
        <v>3931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3932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3933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3934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3935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3936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3937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3938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3939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3940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3941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3942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3943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3944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3945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3946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5</v>
      </c>
    </row>
    <row r="59" spans="1:8" x14ac:dyDescent="0.25">
      <c r="A59" s="34" t="s">
        <v>3947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3948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3949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3950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3951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3952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3953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3954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3955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3956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3957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3958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3959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3960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3961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3962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3963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3964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3965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3966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3967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3968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3969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3970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2</v>
      </c>
    </row>
    <row r="83" spans="1:8" x14ac:dyDescent="0.25">
      <c r="A83" s="34" t="s">
        <v>3971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3972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3973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3974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3975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3976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3977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3978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3979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3980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3981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3982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1</v>
      </c>
    </row>
    <row r="95" spans="1:8" x14ac:dyDescent="0.25">
      <c r="A95" s="34" t="s">
        <v>3983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3984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3985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3986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3987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3988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3989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3990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3991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3992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3993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3994</v>
      </c>
      <c r="B106" s="34" t="s">
        <v>2296</v>
      </c>
      <c r="C106" s="34" t="s">
        <v>3995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3996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3997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3998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3999</v>
      </c>
      <c r="B110" s="34" t="s">
        <v>2420</v>
      </c>
      <c r="C110" s="34" t="s">
        <v>4000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4001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4002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4003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4004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4005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4006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4007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4008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4009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4010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4011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4012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4013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4014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4015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4016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4017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4018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4019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4020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4021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4022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4023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4024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4025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4026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4027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4028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4029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4030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4031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4032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4033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4034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4035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4036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4037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4038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4039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4040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4041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4042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4043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4044</v>
      </c>
      <c r="B154" s="34" t="s">
        <v>2531</v>
      </c>
      <c r="C154" s="34" t="s">
        <v>4045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4046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4047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4048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4049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4050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4051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4052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4053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4054</v>
      </c>
      <c r="B163" s="34" t="s">
        <v>4055</v>
      </c>
      <c r="C163" s="34" t="s">
        <v>4056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4057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4058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4059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4060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4061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4062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4063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4064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4065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4066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4067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4068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4069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4070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4071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4072</v>
      </c>
      <c r="B179" s="34" t="s">
        <v>4073</v>
      </c>
      <c r="C179" s="34" t="s">
        <v>4074</v>
      </c>
      <c r="D179">
        <v>22811</v>
      </c>
      <c r="E179" s="34" t="s">
        <v>4075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4076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4077</v>
      </c>
      <c r="B181" s="34" t="s">
        <v>4078</v>
      </c>
      <c r="C181" s="34" t="s">
        <v>4079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4080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4081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4082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4083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4084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4085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4086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4087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4088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4089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4090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4091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4092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4093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4094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4095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4096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4097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4098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4099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4100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4101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4102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4103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4104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4105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4106</v>
      </c>
      <c r="B208" s="34" t="s">
        <v>2405</v>
      </c>
      <c r="C208" s="34" t="s">
        <v>4107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4108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4109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4110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4111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4112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4113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4114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4115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4116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4117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4118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4119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4120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4121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4122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4123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4124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4125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4126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4127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4128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4129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4130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4131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4132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4133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4134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4135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4136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4137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4138</v>
      </c>
      <c r="B239" s="34" t="s">
        <v>3147</v>
      </c>
      <c r="C239" s="34" t="s">
        <v>4139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4140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4141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4142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4143</v>
      </c>
      <c r="B243" s="34" t="s">
        <v>4144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4145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4146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4147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4148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4149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4150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4151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4152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4153</v>
      </c>
      <c r="B252" s="34" t="s">
        <v>2151</v>
      </c>
      <c r="C252" s="34" t="s">
        <v>4154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4155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4156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4157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4158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4159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4160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4161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4162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4163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4164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4165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4166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4167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4168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4169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4170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4171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4172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4173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4174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4175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4176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4177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4178</v>
      </c>
      <c r="B276" s="34" t="s">
        <v>4179</v>
      </c>
      <c r="C276" s="34" t="s">
        <v>4180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4181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4182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4183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4184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4185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4186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4187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4188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4189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4190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4191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4192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4193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4194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4195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4196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4197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4198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4199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4200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4201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4202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4203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4204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4205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4206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4207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4208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8</v>
      </c>
      <c r="H304">
        <f>COUNTIF(BRON!A:A,'schades-dienstjaar compleet'!D304)</f>
        <v>2</v>
      </c>
    </row>
    <row r="305" spans="1:8" x14ac:dyDescent="0.25">
      <c r="A305" s="34" t="s">
        <v>4209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4210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4211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4212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4213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4214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4215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4216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4217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4218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4219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4220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4221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4222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4223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4224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4225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4226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4227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4228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4229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4230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4231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4232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4233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4234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4235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4236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4237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4238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4239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4240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4241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4242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4243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4244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4245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4246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4247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4248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4249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4250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4251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4252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4253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4254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4255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4256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4257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4258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4259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4260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4261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4262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4263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4264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4265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4266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4267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4268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4269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4270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4271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4272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4273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4274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4275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4276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4277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4278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4279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4280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4281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4282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4283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4284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4285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4286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4287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4288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4289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4290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4291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4292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4293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4294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4295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4296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4297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4298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4299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4300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4301</v>
      </c>
      <c r="B397" s="34" t="s">
        <v>4302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4303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4304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4305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4306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4307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4308</v>
      </c>
      <c r="B403" s="34" t="s">
        <v>4309</v>
      </c>
      <c r="C403" s="34" t="s">
        <v>4310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4311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4312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4313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4314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4315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4316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4317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4318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4319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4320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4321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4322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4323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4324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4325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4326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4327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4328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4329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4330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4331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4332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4333</v>
      </c>
      <c r="B426" s="34" t="s">
        <v>2538</v>
      </c>
      <c r="C426" s="34" t="s">
        <v>4334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4335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4336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4337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4338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4339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4340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4341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4342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4343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4344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4345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4346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4347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4348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4349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4350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4351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4352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4353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4354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4355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4356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4357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4358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4359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4360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4361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4362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4363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4364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4365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4366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4367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4368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4369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4370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4371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4372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4373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4374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4375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4376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4377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3</v>
      </c>
    </row>
    <row r="470" spans="1:8" x14ac:dyDescent="0.25">
      <c r="A470" s="34" t="s">
        <v>4378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4379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4380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4381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4382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4383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4384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4385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4386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4387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4388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4389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4390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4391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4392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4393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4394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4395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4396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4397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4398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2</v>
      </c>
      <c r="H490">
        <f>COUNTIF(BRON!A:A,'schades-dienstjaar compleet'!D490)</f>
        <v>2</v>
      </c>
    </row>
    <row r="491" spans="1:8" x14ac:dyDescent="0.25">
      <c r="A491" s="34" t="s">
        <v>4399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2</v>
      </c>
      <c r="H491">
        <f>COUNTIF(BRON!A:A,'schades-dienstjaar compleet'!D491)</f>
        <v>1</v>
      </c>
    </row>
    <row r="492" spans="1:8" x14ac:dyDescent="0.25">
      <c r="A492" s="34" t="s">
        <v>4400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2</v>
      </c>
      <c r="H492">
        <f>COUNTIF(BRON!A:A,'schades-dienstjaar compleet'!D492)</f>
        <v>2</v>
      </c>
    </row>
    <row r="493" spans="1:8" x14ac:dyDescent="0.25">
      <c r="A493" s="34" t="s">
        <v>4401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2</v>
      </c>
      <c r="H493">
        <f>COUNTIF(BRON!A:A,'schades-dienstjaar compleet'!D493)</f>
        <v>2</v>
      </c>
    </row>
    <row r="494" spans="1:8" x14ac:dyDescent="0.25">
      <c r="A494" s="34" t="s">
        <v>4402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2</v>
      </c>
      <c r="H494">
        <f>COUNTIF(BRON!A:A,'schades-dienstjaar compleet'!D494)</f>
        <v>2</v>
      </c>
    </row>
    <row r="495" spans="1:8" x14ac:dyDescent="0.25">
      <c r="A495" s="34" t="s">
        <v>4403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2</v>
      </c>
      <c r="H495">
        <f>COUNTIF(BRON!A:A,'schades-dienstjaar compleet'!D495)</f>
        <v>4</v>
      </c>
    </row>
    <row r="496" spans="1:8" x14ac:dyDescent="0.25">
      <c r="A496" s="34" t="s">
        <v>4404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4405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4406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4407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4408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4409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4410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4411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4412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4413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4414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4415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4416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4417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4418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4419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4420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4421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4422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4423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4424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4425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4426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4427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4428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4429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4430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4431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4432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4433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4434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4435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4436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4437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4438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4439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4440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4441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4442</v>
      </c>
      <c r="B534" s="34" t="s">
        <v>3232</v>
      </c>
      <c r="C534" s="34" t="s">
        <v>4443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4444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4445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4446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4447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4448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4449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4450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4451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4452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4453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4454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4455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4456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4457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4458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4459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4460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4461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4462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4463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4464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4465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4466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4467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4468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4469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2025-12-04T08:14:36Z</cp:lastPrinted>
  <dcterms:created xsi:type="dcterms:W3CDTF">2025-02-27T18:28:42Z</dcterms:created>
  <dcterms:modified xsi:type="dcterms:W3CDTF">2025-12-04T09:20:01Z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