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58" documentId="13_ncr:1_{10FCACA5-8197-478D-90D3-5F83063FB753}" xr6:coauthVersionLast="47" xr6:coauthVersionMax="47" xr10:uidLastSave="{A305B5F7-21BA-4DA6-B0BD-E19504D1FD22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5" l="1" a="1"/>
  <c r="I3" i="15" s="1"/>
  <c r="I4" i="15" a="1"/>
  <c r="I4" i="15" s="1"/>
  <c r="I5" i="15" a="1"/>
  <c r="I5" i="15" s="1"/>
  <c r="I6" i="15" a="1"/>
  <c r="I6" i="15" s="1"/>
  <c r="I7" i="15" a="1"/>
  <c r="I7" i="15" s="1"/>
  <c r="I8" i="15" a="1"/>
  <c r="I8" i="15" s="1"/>
  <c r="I9" i="15" a="1"/>
  <c r="I9" i="15" s="1"/>
  <c r="I10" i="15" a="1"/>
  <c r="I10" i="15" s="1"/>
  <c r="I11" i="15" a="1"/>
  <c r="I11" i="15" s="1"/>
  <c r="I12" i="15" a="1"/>
  <c r="I12" i="15" s="1"/>
  <c r="I13" i="15" a="1"/>
  <c r="I13" i="15" s="1"/>
  <c r="I14" i="15" a="1"/>
  <c r="I14" i="15" s="1"/>
  <c r="I15" i="15" a="1"/>
  <c r="I15" i="15" s="1"/>
  <c r="I16" i="15" a="1"/>
  <c r="I16" i="15" s="1"/>
  <c r="I17" i="15" a="1"/>
  <c r="I17" i="15" s="1"/>
  <c r="I18" i="15" a="1"/>
  <c r="I18" i="15" s="1"/>
  <c r="I19" i="15" a="1"/>
  <c r="I19" i="15" s="1"/>
  <c r="I20" i="15" a="1"/>
  <c r="I20" i="15" s="1"/>
  <c r="I21" i="15" a="1"/>
  <c r="I21" i="15" s="1"/>
  <c r="I22" i="15" a="1"/>
  <c r="I22" i="15" s="1"/>
  <c r="I23" i="15" a="1"/>
  <c r="I23" i="15" s="1"/>
  <c r="I24" i="15" a="1"/>
  <c r="I24" i="15" s="1"/>
  <c r="I25" i="15" a="1"/>
  <c r="I25" i="15" s="1"/>
  <c r="I26" i="15" a="1"/>
  <c r="I26" i="15" s="1"/>
  <c r="I27" i="15" a="1"/>
  <c r="I27" i="15" s="1"/>
  <c r="I28" i="15" a="1"/>
  <c r="I28" i="15" s="1"/>
  <c r="I29" i="15" a="1"/>
  <c r="I29" i="15" s="1"/>
  <c r="I30" i="15" a="1"/>
  <c r="I30" i="15" s="1"/>
  <c r="I31" i="15" a="1"/>
  <c r="I31" i="15" s="1"/>
  <c r="I32" i="15" a="1"/>
  <c r="I32" i="15" s="1"/>
  <c r="I33" i="15" a="1"/>
  <c r="I33" i="15" s="1"/>
  <c r="I34" i="15" a="1"/>
  <c r="I34" i="15" s="1"/>
  <c r="I35" i="15" a="1"/>
  <c r="I35" i="15" s="1"/>
  <c r="I36" i="15" a="1"/>
  <c r="I36" i="15" s="1"/>
  <c r="I37" i="15" a="1"/>
  <c r="I37" i="15" s="1"/>
  <c r="I38" i="15" a="1"/>
  <c r="I38" i="15" s="1"/>
  <c r="I39" i="15" a="1"/>
  <c r="I39" i="15" s="1"/>
  <c r="I40" i="15" a="1"/>
  <c r="I40" i="15" s="1"/>
  <c r="I41" i="15" a="1"/>
  <c r="I41" i="15" s="1"/>
  <c r="I42" i="15" a="1"/>
  <c r="I42" i="15" s="1"/>
  <c r="I43" i="15" a="1"/>
  <c r="I43" i="15" s="1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5" i="15" a="1"/>
  <c r="I55" i="15" s="1"/>
  <c r="I56" i="15" a="1"/>
  <c r="I56" i="15" s="1"/>
  <c r="I57" i="15" a="1"/>
  <c r="I57" i="15" s="1"/>
  <c r="I58" i="15" a="1"/>
  <c r="I58" i="15" s="1"/>
  <c r="I59" i="15" a="1"/>
  <c r="I59" i="15" s="1"/>
  <c r="I60" i="15" a="1"/>
  <c r="I60" i="15" s="1"/>
  <c r="I61" i="15" a="1"/>
  <c r="I61" i="15" s="1"/>
  <c r="I62" i="15" a="1"/>
  <c r="I62" i="15" s="1"/>
  <c r="I63" i="15" a="1"/>
  <c r="I63" i="15" s="1"/>
  <c r="I64" i="15" a="1"/>
  <c r="I64" i="15" s="1"/>
  <c r="I65" i="15" a="1"/>
  <c r="I65" i="15" s="1"/>
  <c r="I66" i="15" a="1"/>
  <c r="I66" i="15"/>
  <c r="I67" i="15" a="1"/>
  <c r="I67" i="15" s="1"/>
  <c r="I68" i="15" a="1"/>
  <c r="I68" i="15" s="1"/>
  <c r="I69" i="15" a="1"/>
  <c r="I69" i="15" s="1"/>
  <c r="I70" i="15" a="1"/>
  <c r="I70" i="15" s="1"/>
  <c r="I71" i="15" a="1"/>
  <c r="I71" i="15" s="1"/>
  <c r="I72" i="15" a="1"/>
  <c r="I72" i="15" s="1"/>
  <c r="I73" i="15" a="1"/>
  <c r="I73" i="15" s="1"/>
  <c r="I74" i="15" a="1"/>
  <c r="I74" i="15" s="1"/>
  <c r="I75" i="15" a="1"/>
  <c r="I75" i="15" s="1"/>
  <c r="I76" i="15" a="1"/>
  <c r="I76" i="15" s="1"/>
  <c r="I77" i="15" a="1"/>
  <c r="I77" i="15" s="1"/>
  <c r="I78" i="15" a="1"/>
  <c r="I78" i="15" s="1"/>
  <c r="I79" i="15" a="1"/>
  <c r="I79" i="15" s="1"/>
  <c r="I80" i="15" a="1"/>
  <c r="I80" i="15" s="1"/>
  <c r="I81" i="15" a="1"/>
  <c r="I81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1" i="15" a="1"/>
  <c r="I91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/>
  <c r="I99" i="15" a="1"/>
  <c r="I99" i="15" s="1"/>
  <c r="I100" i="15" a="1"/>
  <c r="I100" i="15" s="1"/>
  <c r="I101" i="15" a="1"/>
  <c r="I101" i="15" s="1"/>
  <c r="I102" i="15" a="1"/>
  <c r="I102" i="15" s="1"/>
  <c r="I103" i="15" a="1"/>
  <c r="I103" i="15" s="1"/>
  <c r="I104" i="15" a="1"/>
  <c r="I104" i="15" s="1"/>
  <c r="I105" i="15" a="1"/>
  <c r="I105" i="15" s="1"/>
  <c r="I106" i="15" a="1"/>
  <c r="I106" i="15" s="1"/>
  <c r="I107" i="15" a="1"/>
  <c r="I107" i="15" s="1"/>
  <c r="I108" i="15" a="1"/>
  <c r="I108" i="15" s="1"/>
  <c r="I109" i="15" a="1"/>
  <c r="I109" i="15" s="1"/>
  <c r="I110" i="15" a="1"/>
  <c r="I110" i="15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0" i="15" a="1"/>
  <c r="I120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/>
  <c r="I131" i="15" a="1"/>
  <c r="I131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1" i="15" a="1"/>
  <c r="I141" i="15" s="1"/>
  <c r="I142" i="15" a="1"/>
  <c r="I142" i="15"/>
  <c r="I143" i="15" a="1"/>
  <c r="I143" i="15" s="1"/>
  <c r="I144" i="15" a="1"/>
  <c r="I144" i="15" s="1"/>
  <c r="I145" i="15" a="1"/>
  <c r="I145" i="15" s="1"/>
  <c r="I146" i="15" a="1"/>
  <c r="I146" i="15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4" i="15" a="1"/>
  <c r="I154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/>
  <c r="I163" i="15" a="1"/>
  <c r="I163" i="15" s="1"/>
  <c r="I164" i="15" a="1"/>
  <c r="I164" i="15" s="1"/>
  <c r="I165" i="15" a="1"/>
  <c r="I165" i="15" s="1"/>
  <c r="I166" i="15" a="1"/>
  <c r="I166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2" i="15" a="1"/>
  <c r="I172" i="15" s="1"/>
  <c r="I173" i="15" a="1"/>
  <c r="I173" i="15" s="1"/>
  <c r="I174" i="15" a="1"/>
  <c r="I174" i="15"/>
  <c r="I175" i="15" a="1"/>
  <c r="I175" i="15" s="1"/>
  <c r="I176" i="15" a="1"/>
  <c r="I176" i="15" s="1"/>
  <c r="I177" i="15" a="1"/>
  <c r="I177" i="15" s="1"/>
  <c r="I178" i="15" a="1"/>
  <c r="I178" i="15"/>
  <c r="I179" i="15" a="1"/>
  <c r="I179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5" i="15" a="1"/>
  <c r="I185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1" i="15" a="1"/>
  <c r="I191" i="15" s="1"/>
  <c r="I192" i="15" a="1"/>
  <c r="I192" i="15" s="1"/>
  <c r="I193" i="15" a="1"/>
  <c r="I193" i="15" s="1"/>
  <c r="I194" i="15" a="1"/>
  <c r="I194" i="15"/>
  <c r="I195" i="15" a="1"/>
  <c r="I195" i="15" s="1"/>
  <c r="I196" i="15" a="1"/>
  <c r="I196" i="15" s="1"/>
  <c r="I197" i="15" a="1"/>
  <c r="I197" i="15" s="1"/>
  <c r="I198" i="15" a="1"/>
  <c r="I198" i="15" s="1"/>
  <c r="I199" i="15" a="1"/>
  <c r="I199" i="15" s="1"/>
  <c r="I200" i="15" a="1"/>
  <c r="I200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/>
  <c r="I207" i="15" a="1"/>
  <c r="I207" i="15" s="1"/>
  <c r="I208" i="15" a="1"/>
  <c r="I208" i="15" s="1"/>
  <c r="I209" i="15" a="1"/>
  <c r="I209" i="15" s="1"/>
  <c r="I210" i="15" a="1"/>
  <c r="I210" i="15"/>
  <c r="I211" i="15" a="1"/>
  <c r="I211" i="15" s="1"/>
  <c r="I212" i="15" a="1"/>
  <c r="I212" i="15" s="1"/>
  <c r="I213" i="15" a="1"/>
  <c r="I213" i="15" s="1"/>
  <c r="I214" i="15" a="1"/>
  <c r="I214" i="15" s="1"/>
  <c r="I215" i="15" a="1"/>
  <c r="I215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3" i="15" a="1"/>
  <c r="I223" i="15" s="1"/>
  <c r="I224" i="15" a="1"/>
  <c r="I224" i="15" s="1"/>
  <c r="I225" i="15" a="1"/>
  <c r="I225" i="15" s="1"/>
  <c r="I226" i="15" a="1"/>
  <c r="I226" i="15"/>
  <c r="I227" i="15" a="1"/>
  <c r="I227" i="15" s="1"/>
  <c r="I228" i="15" a="1"/>
  <c r="I228" i="15" s="1"/>
  <c r="I229" i="15" a="1"/>
  <c r="I229" i="15" s="1"/>
  <c r="I230" i="15" a="1"/>
  <c r="I230" i="15" s="1"/>
  <c r="I231" i="15" a="1"/>
  <c r="I231" i="15" s="1"/>
  <c r="I232" i="15" a="1"/>
  <c r="I232" i="15" s="1"/>
  <c r="I233" i="15" a="1"/>
  <c r="I233" i="15" s="1"/>
  <c r="I234" i="15" a="1"/>
  <c r="I234" i="15" s="1"/>
  <c r="I235" i="15" a="1"/>
  <c r="I235" i="15" s="1"/>
  <c r="I236" i="15" a="1"/>
  <c r="I236" i="15" s="1"/>
  <c r="I237" i="15" a="1"/>
  <c r="I237" i="15" s="1"/>
  <c r="I238" i="15" a="1"/>
  <c r="I238" i="15" s="1"/>
  <c r="I239" i="15" a="1"/>
  <c r="I239" i="15" s="1"/>
  <c r="I240" i="15" a="1"/>
  <c r="I240" i="15" s="1"/>
  <c r="I241" i="15" a="1"/>
  <c r="I241" i="15" s="1"/>
  <c r="I242" i="15" a="1"/>
  <c r="I242" i="15"/>
  <c r="I243" i="15" a="1"/>
  <c r="I243" i="15" s="1"/>
  <c r="I244" i="15" a="1"/>
  <c r="I244" i="15" s="1"/>
  <c r="I245" i="15" a="1"/>
  <c r="I245" i="15" s="1"/>
  <c r="I246" i="15" a="1"/>
  <c r="I246" i="15" s="1"/>
  <c r="I247" i="15" a="1"/>
  <c r="I247" i="15" s="1"/>
  <c r="I248" i="15" a="1"/>
  <c r="I248" i="15" s="1"/>
  <c r="I249" i="15" a="1"/>
  <c r="I249" i="15" s="1"/>
  <c r="I250" i="15" a="1"/>
  <c r="I250" i="15" s="1"/>
  <c r="I251" i="15" a="1"/>
  <c r="I251" i="15" s="1"/>
  <c r="I252" i="15" a="1"/>
  <c r="I252" i="15" s="1"/>
  <c r="I253" i="15" a="1"/>
  <c r="I253" i="15" s="1"/>
  <c r="I254" i="15" a="1"/>
  <c r="I254" i="15" s="1"/>
  <c r="I255" i="15" a="1"/>
  <c r="I255" i="15" s="1"/>
  <c r="I256" i="15" a="1"/>
  <c r="I256" i="15" s="1"/>
  <c r="I257" i="15" a="1"/>
  <c r="I257" i="15" s="1"/>
  <c r="I258" i="15" a="1"/>
  <c r="I258" i="15" s="1"/>
  <c r="I259" i="15" a="1"/>
  <c r="I259" i="15" s="1"/>
  <c r="I260" i="15" a="1"/>
  <c r="I260" i="15" s="1"/>
  <c r="I261" i="15" a="1"/>
  <c r="I261" i="15" s="1"/>
  <c r="I262" i="15" a="1"/>
  <c r="I262" i="15" s="1"/>
  <c r="I263" i="15" a="1"/>
  <c r="I263" i="15" s="1"/>
  <c r="I264" i="15" a="1"/>
  <c r="I264" i="15" s="1"/>
  <c r="I265" i="15" a="1"/>
  <c r="I265" i="15" s="1"/>
  <c r="I266" i="15" a="1"/>
  <c r="I266" i="15" s="1"/>
  <c r="I267" i="15" a="1"/>
  <c r="I267" i="15" s="1"/>
  <c r="I268" i="15" a="1"/>
  <c r="I268" i="15" s="1"/>
  <c r="I269" i="15" a="1"/>
  <c r="I269" i="15" s="1"/>
  <c r="I270" i="15" a="1"/>
  <c r="I270" i="15"/>
  <c r="I271" i="15" a="1"/>
  <c r="I271" i="15" s="1"/>
  <c r="I272" i="15" a="1"/>
  <c r="I272" i="15" s="1"/>
  <c r="I273" i="15" a="1"/>
  <c r="I273" i="15" s="1"/>
  <c r="I274" i="15" a="1"/>
  <c r="I274" i="15" s="1"/>
  <c r="I275" i="15" a="1"/>
  <c r="I275" i="15" s="1"/>
  <c r="I276" i="15" a="1"/>
  <c r="I276" i="15" s="1"/>
  <c r="I277" i="15" a="1"/>
  <c r="I277" i="15" s="1"/>
  <c r="I278" i="15" a="1"/>
  <c r="I278" i="15" s="1"/>
  <c r="I279" i="15" a="1"/>
  <c r="I279" i="15" s="1"/>
  <c r="I280" i="15" a="1"/>
  <c r="I280" i="15" s="1"/>
  <c r="I281" i="15" a="1"/>
  <c r="I281" i="15" s="1"/>
  <c r="I282" i="15" a="1"/>
  <c r="I282" i="15" s="1"/>
  <c r="I283" i="15" a="1"/>
  <c r="I283" i="15" s="1"/>
  <c r="I284" i="15" a="1"/>
  <c r="I284" i="15" s="1"/>
  <c r="I285" i="15" a="1"/>
  <c r="I285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6" i="15" a="1"/>
  <c r="I296" i="15" s="1"/>
  <c r="I297" i="15" a="1"/>
  <c r="I297" i="15" s="1"/>
  <c r="I298" i="15" a="1"/>
  <c r="I298" i="15" s="1"/>
  <c r="I299" i="15" a="1"/>
  <c r="I299" i="15" s="1"/>
  <c r="I300" i="15" a="1"/>
  <c r="I300" i="15" s="1"/>
  <c r="I301" i="15" a="1"/>
  <c r="I301" i="15" s="1"/>
  <c r="I302" i="15" a="1"/>
  <c r="I302" i="15" s="1"/>
  <c r="I303" i="15" a="1"/>
  <c r="I303" i="15" s="1"/>
  <c r="I304" i="15" a="1"/>
  <c r="I304" i="15" s="1"/>
  <c r="I305" i="15" a="1"/>
  <c r="I305" i="15" s="1"/>
  <c r="I306" i="15" a="1"/>
  <c r="I306" i="15"/>
  <c r="I307" i="15" a="1"/>
  <c r="I307" i="15" s="1"/>
  <c r="I308" i="15" a="1"/>
  <c r="I308" i="15" s="1"/>
  <c r="I309" i="15" a="1"/>
  <c r="I309" i="15" s="1"/>
  <c r="I310" i="15" a="1"/>
  <c r="I310" i="15" s="1"/>
  <c r="I311" i="15" a="1"/>
  <c r="I311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/>
  <c r="I323" i="15" a="1"/>
  <c r="I323" i="15" s="1"/>
  <c r="I324" i="15" a="1"/>
  <c r="I324" i="15" s="1"/>
  <c r="I325" i="15" a="1"/>
  <c r="I325" i="15" s="1"/>
  <c r="I326" i="15" a="1"/>
  <c r="I326" i="15" s="1"/>
  <c r="I327" i="15" a="1"/>
  <c r="I327" i="15" s="1"/>
  <c r="I328" i="15" a="1"/>
  <c r="I328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/>
  <c r="I335" i="15" a="1"/>
  <c r="I335" i="15" s="1"/>
  <c r="I336" i="15" a="1"/>
  <c r="I336" i="15" s="1"/>
  <c r="I337" i="15" a="1"/>
  <c r="I337" i="15" s="1"/>
  <c r="I338" i="15" a="1"/>
  <c r="I338" i="15" s="1"/>
  <c r="I339" i="15" a="1"/>
  <c r="I339" i="15" s="1"/>
  <c r="I340" i="15" a="1"/>
  <c r="I340" i="15" s="1"/>
  <c r="I341" i="15" a="1"/>
  <c r="I341" i="15" s="1"/>
  <c r="I342" i="15" a="1"/>
  <c r="I342" i="15" s="1"/>
  <c r="I343" i="15" a="1"/>
  <c r="I343" i="15" s="1"/>
  <c r="I344" i="15" a="1"/>
  <c r="I344" i="15"/>
  <c r="I345" i="15" a="1"/>
  <c r="I345" i="15"/>
  <c r="I346" i="15" a="1"/>
  <c r="I346" i="15" s="1"/>
  <c r="I347" i="15" a="1"/>
  <c r="I347" i="15" s="1"/>
  <c r="I348" i="15" a="1"/>
  <c r="I348" i="15" s="1"/>
  <c r="I349" i="15" a="1"/>
  <c r="I349" i="15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5" i="15" a="1"/>
  <c r="I355" i="15" s="1"/>
  <c r="I356" i="15" a="1"/>
  <c r="I356" i="15" s="1"/>
  <c r="I357" i="15" a="1"/>
  <c r="I357" i="15" s="1"/>
  <c r="I358" i="15" a="1"/>
  <c r="I358" i="15" s="1"/>
  <c r="I359" i="15" a="1"/>
  <c r="I359" i="15" s="1"/>
  <c r="I360" i="15" a="1"/>
  <c r="I360" i="15" s="1"/>
  <c r="I361" i="15" a="1"/>
  <c r="I361" i="15"/>
  <c r="I362" i="15" a="1"/>
  <c r="I362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68" i="15" a="1"/>
  <c r="I368" i="15" s="1"/>
  <c r="I369" i="15" a="1"/>
  <c r="I369" i="15"/>
  <c r="I370" i="15" a="1"/>
  <c r="I370" i="15" s="1"/>
  <c r="I371" i="15" a="1"/>
  <c r="I371" i="15" s="1"/>
  <c r="I372" i="15" a="1"/>
  <c r="I372" i="15" s="1"/>
  <c r="I373" i="15" a="1"/>
  <c r="I373" i="15"/>
  <c r="I374" i="15" a="1"/>
  <c r="I374" i="15" s="1"/>
  <c r="I375" i="15" a="1"/>
  <c r="I375" i="15" s="1"/>
  <c r="I376" i="15" a="1"/>
  <c r="I376" i="15" s="1"/>
  <c r="I377" i="15" a="1"/>
  <c r="I377" i="15"/>
  <c r="I378" i="15" a="1"/>
  <c r="I378" i="15" s="1"/>
  <c r="I379" i="15" a="1"/>
  <c r="I379" i="15" s="1"/>
  <c r="I380" i="15" a="1"/>
  <c r="I380" i="15" s="1"/>
  <c r="I381" i="15" a="1"/>
  <c r="I381" i="15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1" i="15" a="1"/>
  <c r="I391" i="15" s="1"/>
  <c r="I392" i="15" a="1"/>
  <c r="I392" i="15" s="1"/>
  <c r="I393" i="15" a="1"/>
  <c r="I393" i="15" s="1"/>
  <c r="I394" i="15" a="1"/>
  <c r="I394" i="15" s="1"/>
  <c r="I395" i="15" a="1"/>
  <c r="I395" i="15" s="1"/>
  <c r="I396" i="15" a="1"/>
  <c r="I396" i="15" s="1"/>
  <c r="I397" i="15" a="1"/>
  <c r="I397" i="15" s="1"/>
  <c r="I398" i="15" a="1"/>
  <c r="I398" i="15" s="1"/>
  <c r="I399" i="15" a="1"/>
  <c r="I399" i="15" s="1"/>
  <c r="I400" i="15" a="1"/>
  <c r="I400" i="15" s="1"/>
  <c r="I401" i="15" a="1"/>
  <c r="I401" i="15" s="1"/>
  <c r="I402" i="15" a="1"/>
  <c r="I402" i="15" s="1"/>
  <c r="I403" i="15" a="1"/>
  <c r="I403" i="15" s="1"/>
  <c r="I2" i="15" a="1"/>
  <c r="I2" i="15" s="1"/>
  <c r="H180" i="15"/>
  <c r="H252" i="15"/>
  <c r="H116" i="15"/>
  <c r="H28" i="15"/>
  <c r="H403" i="15"/>
  <c r="H401" i="15"/>
  <c r="H402" i="15"/>
  <c r="H399" i="15"/>
  <c r="H400" i="15"/>
  <c r="H396" i="15"/>
  <c r="H398" i="15"/>
  <c r="H397" i="15"/>
  <c r="H395" i="15"/>
  <c r="H394" i="15"/>
  <c r="H392" i="15"/>
  <c r="H389" i="15"/>
  <c r="H393" i="15"/>
  <c r="H390" i="15"/>
  <c r="H391" i="15"/>
  <c r="H385" i="15"/>
  <c r="H386" i="15"/>
  <c r="H387" i="15"/>
  <c r="H388" i="15"/>
  <c r="H382" i="15"/>
  <c r="H383" i="15"/>
  <c r="H384" i="15"/>
  <c r="H376" i="15"/>
  <c r="H377" i="15"/>
  <c r="H378" i="15"/>
  <c r="H379" i="15"/>
  <c r="H381" i="15"/>
  <c r="H380" i="15"/>
  <c r="H369" i="15"/>
  <c r="H370" i="15"/>
  <c r="H374" i="15"/>
  <c r="H371" i="15"/>
  <c r="H372" i="15"/>
  <c r="H375" i="15"/>
  <c r="H373" i="15"/>
  <c r="H364" i="15"/>
  <c r="H365" i="15"/>
  <c r="H366" i="15"/>
  <c r="H367" i="15"/>
  <c r="H368" i="15"/>
  <c r="H360" i="15"/>
  <c r="H356" i="15"/>
  <c r="H361" i="15"/>
  <c r="H362" i="15"/>
  <c r="H357" i="15"/>
  <c r="H358" i="15"/>
  <c r="H363" i="15"/>
  <c r="H359" i="15"/>
  <c r="H354" i="15"/>
  <c r="H355" i="15"/>
  <c r="H350" i="15"/>
  <c r="H351" i="15"/>
  <c r="H352" i="15"/>
  <c r="H353" i="15"/>
  <c r="H345" i="15"/>
  <c r="H346" i="15"/>
  <c r="H349" i="15"/>
  <c r="H347" i="15"/>
  <c r="H344" i="15"/>
  <c r="H348" i="15"/>
  <c r="H342" i="15"/>
  <c r="H340" i="15"/>
  <c r="H343" i="15"/>
  <c r="H341" i="15"/>
  <c r="H337" i="15"/>
  <c r="H332" i="15"/>
  <c r="H333" i="15"/>
  <c r="H334" i="15"/>
  <c r="H338" i="15"/>
  <c r="H335" i="15"/>
  <c r="H336" i="15"/>
  <c r="H339" i="15"/>
  <c r="H320" i="15"/>
  <c r="H321" i="15"/>
  <c r="H327" i="15"/>
  <c r="H322" i="15"/>
  <c r="H323" i="15"/>
  <c r="H330" i="15"/>
  <c r="H324" i="15"/>
  <c r="H328" i="15"/>
  <c r="H325" i="15"/>
  <c r="H326" i="15"/>
  <c r="H329" i="15"/>
  <c r="H331" i="15"/>
  <c r="H316" i="15"/>
  <c r="H309" i="15"/>
  <c r="H317" i="15"/>
  <c r="H310" i="15"/>
  <c r="H311" i="15"/>
  <c r="H318" i="15"/>
  <c r="H319" i="15"/>
  <c r="H312" i="15"/>
  <c r="H313" i="15"/>
  <c r="H314" i="15"/>
  <c r="H315" i="15"/>
  <c r="H107" i="15"/>
  <c r="H303" i="15"/>
  <c r="H304" i="15"/>
  <c r="H307" i="15"/>
  <c r="H305" i="15"/>
  <c r="H308" i="15"/>
  <c r="H306" i="15"/>
  <c r="H298" i="15"/>
  <c r="H302" i="15"/>
  <c r="H300" i="15"/>
  <c r="H301" i="15"/>
  <c r="H299" i="15"/>
  <c r="H283" i="15"/>
  <c r="H284" i="15"/>
  <c r="H285" i="15"/>
  <c r="H286" i="15"/>
  <c r="H297" i="15"/>
  <c r="H294" i="15"/>
  <c r="H287" i="15"/>
  <c r="H288" i="15"/>
  <c r="H295" i="15"/>
  <c r="H289" i="15"/>
  <c r="H290" i="15"/>
  <c r="H291" i="15"/>
  <c r="H292" i="15"/>
  <c r="H293" i="15"/>
  <c r="H296" i="15"/>
  <c r="H281" i="15"/>
  <c r="H108" i="15"/>
  <c r="H282" i="15"/>
  <c r="H277" i="15"/>
  <c r="H278" i="15"/>
  <c r="H279" i="15"/>
  <c r="H280" i="15"/>
  <c r="H276" i="15"/>
  <c r="H267" i="15"/>
  <c r="H274" i="15"/>
  <c r="H268" i="15"/>
  <c r="H269" i="15"/>
  <c r="H272" i="15"/>
  <c r="H275" i="15"/>
  <c r="H270" i="15"/>
  <c r="H271" i="15"/>
  <c r="H273" i="15"/>
  <c r="H260" i="15"/>
  <c r="H261" i="15"/>
  <c r="H37" i="15"/>
  <c r="H265" i="15"/>
  <c r="H262" i="15"/>
  <c r="H264" i="15"/>
  <c r="H266" i="15"/>
  <c r="H263" i="15"/>
  <c r="H253" i="15"/>
  <c r="H258" i="15"/>
  <c r="H254" i="15"/>
  <c r="H255" i="15"/>
  <c r="H256" i="15"/>
  <c r="H251" i="15"/>
  <c r="H257" i="15"/>
  <c r="H259" i="15"/>
  <c r="H249" i="15"/>
  <c r="H244" i="15"/>
  <c r="H239" i="15"/>
  <c r="H245" i="15"/>
  <c r="H250" i="15"/>
  <c r="H240" i="15"/>
  <c r="H246" i="15"/>
  <c r="H247" i="15"/>
  <c r="H241" i="15"/>
  <c r="H248" i="15"/>
  <c r="H242" i="15"/>
  <c r="H243" i="15"/>
  <c r="H231" i="15"/>
  <c r="H232" i="15"/>
  <c r="H237" i="15"/>
  <c r="H233" i="15"/>
  <c r="H234" i="15"/>
  <c r="H235" i="15"/>
  <c r="H236" i="15"/>
  <c r="H238" i="15"/>
  <c r="H56" i="15"/>
  <c r="H226" i="15"/>
  <c r="H221" i="15"/>
  <c r="H222" i="15"/>
  <c r="H57" i="15"/>
  <c r="H218" i="15"/>
  <c r="H228" i="15"/>
  <c r="H219" i="15"/>
  <c r="H223" i="15"/>
  <c r="H224" i="15"/>
  <c r="H225" i="15"/>
  <c r="H131" i="15"/>
  <c r="H229" i="15"/>
  <c r="H227" i="15"/>
  <c r="H220" i="15"/>
  <c r="H230" i="15"/>
  <c r="H194" i="15"/>
  <c r="H206" i="15"/>
  <c r="H195" i="15"/>
  <c r="H196" i="15"/>
  <c r="H197" i="15"/>
  <c r="H198" i="15"/>
  <c r="H207" i="15"/>
  <c r="H208" i="15"/>
  <c r="H209" i="15"/>
  <c r="H210" i="15"/>
  <c r="H211" i="15"/>
  <c r="H199" i="15"/>
  <c r="H215" i="15"/>
  <c r="H216" i="15"/>
  <c r="H200" i="15"/>
  <c r="H212" i="15"/>
  <c r="H201" i="15"/>
  <c r="H202" i="15"/>
  <c r="H214" i="15"/>
  <c r="H203" i="15"/>
  <c r="H204" i="15"/>
  <c r="H217" i="15"/>
  <c r="H205" i="15"/>
  <c r="H213" i="15"/>
  <c r="H171" i="15"/>
  <c r="H172" i="15"/>
  <c r="H154" i="15"/>
  <c r="H183" i="15"/>
  <c r="H173" i="15"/>
  <c r="H181" i="15"/>
  <c r="H184" i="15"/>
  <c r="H191" i="15"/>
  <c r="H174" i="15"/>
  <c r="H185" i="15"/>
  <c r="H175" i="15"/>
  <c r="H176" i="15"/>
  <c r="H186" i="15"/>
  <c r="H177" i="15"/>
  <c r="H182" i="15"/>
  <c r="H192" i="15"/>
  <c r="H178" i="15"/>
  <c r="H187" i="15"/>
  <c r="H193" i="15"/>
  <c r="H190" i="15"/>
  <c r="H188" i="15"/>
  <c r="H189" i="15"/>
  <c r="H179" i="15"/>
  <c r="H155" i="15"/>
  <c r="H156" i="15"/>
  <c r="H157" i="15"/>
  <c r="H141" i="15"/>
  <c r="H142" i="15"/>
  <c r="H143" i="15"/>
  <c r="H158" i="15"/>
  <c r="H165" i="15"/>
  <c r="H144" i="15"/>
  <c r="H161" i="15"/>
  <c r="H166" i="15"/>
  <c r="H167" i="15"/>
  <c r="H162" i="15"/>
  <c r="H168" i="15"/>
  <c r="H169" i="15"/>
  <c r="H145" i="15"/>
  <c r="H159" i="15"/>
  <c r="H170" i="15"/>
  <c r="H146" i="15"/>
  <c r="H147" i="15"/>
  <c r="H148" i="15"/>
  <c r="H149" i="15"/>
  <c r="H163" i="15"/>
  <c r="H150" i="15"/>
  <c r="H160" i="15"/>
  <c r="H164" i="15"/>
  <c r="H151" i="15"/>
  <c r="H152" i="15"/>
  <c r="H153" i="15"/>
  <c r="H123" i="15"/>
  <c r="H132" i="15"/>
  <c r="H98" i="15"/>
  <c r="H99" i="15"/>
  <c r="H100" i="15"/>
  <c r="H101" i="15"/>
  <c r="H117" i="15"/>
  <c r="H118" i="15"/>
  <c r="H124" i="15"/>
  <c r="H119" i="15"/>
  <c r="H102" i="15"/>
  <c r="H109" i="15"/>
  <c r="H125" i="15"/>
  <c r="H133" i="15"/>
  <c r="H126" i="15"/>
  <c r="H139" i="15"/>
  <c r="H120" i="15"/>
  <c r="H121" i="15"/>
  <c r="H110" i="15"/>
  <c r="H103" i="15"/>
  <c r="H122" i="15"/>
  <c r="H127" i="15"/>
  <c r="H111" i="15"/>
  <c r="H104" i="15"/>
  <c r="H134" i="15"/>
  <c r="H112" i="15"/>
  <c r="H128" i="15"/>
  <c r="H82" i="15"/>
  <c r="H137" i="15"/>
  <c r="H113" i="15"/>
  <c r="H135" i="15"/>
  <c r="H105" i="15"/>
  <c r="H129" i="15"/>
  <c r="H114" i="15"/>
  <c r="H138" i="15"/>
  <c r="H136" i="15"/>
  <c r="H106" i="15"/>
  <c r="H130" i="15"/>
  <c r="H115" i="15"/>
  <c r="H140" i="15"/>
  <c r="H58" i="15"/>
  <c r="H38" i="15"/>
  <c r="H59" i="15"/>
  <c r="H60" i="15"/>
  <c r="H61" i="15"/>
  <c r="H83" i="15"/>
  <c r="H39" i="15"/>
  <c r="H40" i="15"/>
  <c r="H41" i="15"/>
  <c r="H42" i="15"/>
  <c r="H62" i="15"/>
  <c r="H2" i="15"/>
  <c r="H96" i="15"/>
  <c r="H63" i="15"/>
  <c r="H64" i="15"/>
  <c r="H43" i="15"/>
  <c r="H65" i="15"/>
  <c r="H66" i="15"/>
  <c r="H77" i="15"/>
  <c r="H93" i="15"/>
  <c r="H84" i="15"/>
  <c r="H97" i="15"/>
  <c r="H67" i="15"/>
  <c r="H68" i="15"/>
  <c r="H78" i="15"/>
  <c r="H85" i="15"/>
  <c r="H44" i="15"/>
  <c r="H79" i="15"/>
  <c r="H45" i="15"/>
  <c r="H80" i="15"/>
  <c r="H46" i="15"/>
  <c r="H47" i="15"/>
  <c r="H48" i="15"/>
  <c r="H86" i="15"/>
  <c r="H49" i="15"/>
  <c r="H69" i="15"/>
  <c r="H70" i="15"/>
  <c r="H50" i="15"/>
  <c r="H71" i="15"/>
  <c r="H94" i="15"/>
  <c r="H92" i="15"/>
  <c r="H51" i="15"/>
  <c r="H52" i="15"/>
  <c r="H90" i="15"/>
  <c r="H87" i="15"/>
  <c r="H88" i="15"/>
  <c r="H81" i="15"/>
  <c r="H53" i="15"/>
  <c r="H72" i="15"/>
  <c r="H89" i="15"/>
  <c r="H73" i="15"/>
  <c r="H74" i="15"/>
  <c r="H95" i="15"/>
  <c r="H54" i="15"/>
  <c r="H55" i="15"/>
  <c r="H91" i="15"/>
  <c r="H75" i="15"/>
  <c r="H29" i="15"/>
  <c r="H76" i="15"/>
  <c r="H3" i="15"/>
  <c r="H4" i="15"/>
  <c r="H35" i="15"/>
  <c r="H30" i="15"/>
  <c r="H31" i="15"/>
  <c r="H23" i="15"/>
  <c r="H32" i="15"/>
  <c r="H5" i="15"/>
  <c r="H6" i="15"/>
  <c r="H7" i="15"/>
  <c r="H8" i="15"/>
  <c r="H9" i="15"/>
  <c r="H10" i="15"/>
  <c r="H11" i="15"/>
  <c r="H24" i="15"/>
  <c r="H33" i="15"/>
  <c r="H12" i="15"/>
  <c r="H13" i="15"/>
  <c r="H25" i="15"/>
  <c r="H26" i="15"/>
  <c r="H14" i="15"/>
  <c r="H15" i="15"/>
  <c r="H16" i="15"/>
  <c r="H17" i="15"/>
  <c r="H18" i="15"/>
  <c r="H27" i="15"/>
  <c r="H34" i="15"/>
  <c r="H19" i="15"/>
  <c r="H20" i="15"/>
  <c r="H36" i="15"/>
  <c r="H21" i="15"/>
  <c r="H22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<sst xmlns="http://schemas.openxmlformats.org/spreadsheetml/2006/main" count="11035" uniqueCount="4282">
  <si>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</si>
  <si>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</si>
  <si>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</si>
  <si>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</si>
  <si>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</si>
  <si>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</si>
  <si>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</si>
  <si>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</si>
  <si>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</si>
  <si>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</si>
  <si>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</si>
  <si>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</si>
  <si>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</si>
  <si>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</si>
  <si>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</si>
  <si>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</si>
  <si>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</si>
  <si>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</si>
  <si>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</si>
  <si>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</si>
  <si>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</si>
  <si>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</si>
  <si>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</si>
  <si>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</si>
  <si>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</si>
  <si>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</si>
  <si>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</si>
  <si>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</si>
  <si>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</si>
  <si>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</si>
  <si>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</si>
  <si>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</si>
  <si>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</si>
  <si>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</si>
  <si>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</si>
  <si>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</si>
  <si>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</si>
  <si>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</si>
  <si>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</si>
  <si>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</si>
  <si>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</si>
  <si>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</si>
  <si>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</si>
  <si>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</si>
  <si>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</si>
  <si>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</si>
  <si>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</si>
  <si>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</si>
  <si>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</si>
  <si>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</si>
  <si>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</si>
  <si>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</si>
  <si>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</si>
  <si>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</si>
  <si>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</si>
  <si>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</si>
  <si>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</si>
  <si>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</si>
  <si>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</si>
  <si>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</si>
  <si>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</si>
  <si>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</si>
  <si>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</si>
  <si>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</si>
  <si>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</si>
  <si>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</si>
  <si>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</si>
  <si>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</si>
  <si>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</si>
  <si>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</si>
  <si>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</si>
  <si>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</si>
  <si>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</si>
  <si>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</si>
  <si>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</si>
  <si>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</si>
  <si>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</si>
  <si>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</si>
  <si>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</si>
  <si>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</si>
  <si>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</si>
  <si>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</si>
  <si>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</si>
  <si>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</si>
  <si>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</si>
  <si>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</si>
  <si>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</si>
  <si>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</si>
  <si>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</si>
  <si>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</si>
  <si>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</si>
  <si>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</si>
  <si>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</si>
  <si>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</si>
  <si>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</si>
  <si>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</si>
  <si>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</si>
  <si>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</si>
  <si>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</si>
  <si>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</si>
  <si>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</si>
  <si>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</si>
  <si>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</si>
  <si>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</si>
  <si>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</si>
  <si>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</si>
  <si>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</si>
  <si>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</si>
  <si>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</si>
  <si>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</si>
  <si>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</si>
  <si>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</si>
  <si>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</si>
  <si>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</si>
  <si>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</si>
  <si>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</si>
  <si>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</si>
  <si>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</si>
  <si>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</si>
  <si>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</si>
  <si>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</si>
  <si>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</si>
  <si>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</si>
  <si>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</si>
  <si>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</si>
  <si>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</si>
  <si>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</si>
  <si>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</si>
  <si>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</si>
  <si>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</si>
  <si>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</si>
  <si>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</si>
  <si>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</si>
  <si>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</si>
  <si>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</si>
  <si>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</si>
  <si>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</si>
  <si>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</si>
  <si>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</si>
  <si>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</si>
  <si>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</si>
  <si>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</si>
  <si>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</si>
  <si>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</si>
  <si>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</si>
  <si>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</si>
  <si>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</si>
  <si>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</si>
  <si>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</si>
  <si>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</si>
  <si>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</si>
  <si>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</si>
  <si>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</si>
  <si>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</si>
  <si>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</si>
  <si>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</si>
  <si>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</si>
  <si>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</si>
  <si>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</si>
  <si>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</si>
  <si>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</si>
  <si>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</si>
  <si>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</si>
  <si>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</si>
  <si>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</si>
  <si>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</si>
  <si>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</si>
  <si>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</si>
  <si>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</si>
  <si>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</si>
  <si>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</si>
  <si>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</si>
  <si>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</si>
  <si>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</si>
  <si>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</si>
  <si>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</si>
  <si>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</si>
  <si>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</si>
  <si>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</si>
  <si>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</si>
  <si>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</si>
  <si>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</si>
  <si>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</si>
  <si>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</si>
  <si>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</si>
  <si>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</si>
  <si>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</si>
  <si>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</si>
  <si>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</si>
  <si>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</si>
  <si>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</si>
  <si>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</si>
  <si>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</si>
  <si>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</si>
  <si>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</si>
  <si>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</si>
  <si>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</si>
  <si>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</si>
  <si>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</si>
  <si>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</si>
  <si>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</si>
  <si>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</si>
  <si>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</si>
  <si>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</si>
  <si>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</si>
  <si>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</si>
  <si>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</si>
  <si>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</si>
  <si>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</si>
  <si>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</si>
  <si>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</si>
  <si>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</si>
  <si>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</si>
  <si>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</si>
  <si>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</si>
  <si>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</si>
  <si>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</si>
  <si>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</si>
  <si>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</si>
  <si>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</si>
  <si>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</si>
  <si>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</si>
  <si>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</si>
  <si>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</si>
  <si>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</si>
  <si>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</si>
  <si>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</si>
  <si>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</si>
  <si>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</si>
  <si>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</si>
  <si>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</si>
  <si>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</si>
  <si>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</si>
  <si>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</si>
  <si>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</si>
  <si>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</si>
  <si>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</si>
  <si>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</si>
  <si>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</si>
  <si>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</si>
  <si>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</si>
  <si>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</si>
  <si>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</si>
  <si>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</si>
  <si>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</si>
  <si>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</si>
  <si>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</si>
  <si>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</si>
  <si>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</si>
  <si>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</si>
  <si>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</si>
  <si>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</si>
  <si>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</si>
  <si>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</si>
  <si>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</si>
  <si>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</si>
  <si>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</si>
  <si>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</si>
  <si>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</si>
  <si>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</si>
  <si>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</si>
  <si>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</si>
  <si>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</si>
  <si>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</si>
  <si>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</si>
  <si>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</si>
  <si>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</si>
  <si>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</si>
  <si>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</si>
  <si>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</si>
  <si>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</si>
  <si>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</si>
  <si>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</si>
  <si>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</si>
  <si>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</si>
  <si>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</si>
  <si>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</si>
  <si>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</si>
  <si>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</si>
  <si>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</si>
  <si>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</si>
  <si>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</si>
  <si>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</si>
  <si>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</si>
  <si>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</si>
  <si>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</si>
  <si>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</si>
  <si>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</si>
  <si>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</si>
  <si>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</si>
  <si>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</si>
  <si>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</si>
  <si>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</si>
  <si>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</si>
  <si>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</si>
  <si>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</si>
  <si>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</si>
  <si>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</si>
  <si>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</si>
  <si>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</si>
  <si>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</si>
  <si>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</si>
  <si>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</si>
  <si>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</si>
  <si>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</si>
  <si>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</si>
  <si>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</si>
  <si>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</si>
  <si>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</si>
  <si>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</si>
  <si>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</si>
  <si>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</si>
  <si>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</si>
  <si>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</si>
  <si>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</si>
  <si>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</si>
  <si>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</si>
  <si>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</si>
  <si>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</si>
  <si>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</si>
  <si>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</si>
  <si>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</si>
  <si>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</si>
  <si>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</si>
  <si>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</si>
  <si>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</si>
  <si>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</si>
  <si>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</si>
  <si>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</si>
  <si>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</si>
  <si>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</si>
  <si>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</si>
  <si>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</si>
  <si>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</si>
  <si>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</si>
  <si>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</si>
  <si>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</si>
  <si>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</si>
  <si>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</si>
  <si>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</si>
  <si>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</si>
  <si>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</si>
  <si>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</si>
  <si>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</si>
  <si>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</si>
  <si>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</si>
  <si>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</si>
  <si>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</si>
  <si>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</si>
  <si>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</si>
  <si>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</si>
  <si>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</si>
  <si>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</si>
  <si>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</si>
  <si>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</si>
  <si>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</si>
  <si>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</si>
  <si>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</si>
  <si>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</si>
  <si>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</si>
  <si>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</si>
  <si>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</si>
  <si>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</si>
  <si>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</si>
  <si>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</si>
  <si>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</si>
  <si>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</si>
  <si>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</si>
  <si>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</si>
  <si>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</si>
  <si>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</si>
  <si>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</si>
  <si>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</si>
  <si>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</si>
  <si>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</si>
  <si>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</si>
  <si>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</si>
  <si>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</si>
  <si>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</si>
  <si>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</si>
  <si>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</si>
  <si>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</si>
  <si>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</si>
  <si>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</si>
  <si>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</si>
  <si>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</si>
  <si>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</si>
  <si>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</si>
  <si>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</si>
  <si>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</si>
  <si>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</si>
  <si>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</si>
  <si>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</si>
  <si>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</si>
  <si>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</si>
  <si>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</si>
  <si>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</si>
  <si>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</si>
  <si>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</si>
  <si>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</si>
  <si>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</si>
  <si>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</si>
  <si>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</si>
  <si>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</si>
  <si>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</si>
  <si>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</si>
  <si>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</si>
  <si>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</si>
  <si>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</si>
  <si>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</si>
  <si>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</si>
  <si>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</si>
  <si>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</si>
  <si>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</si>
  <si>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</si>
  <si>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</si>
  <si>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</si>
  <si>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</si>
  <si>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</si>
  <si>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</si>
  <si>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</si>
  <si>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</si>
  <si>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</si>
  <si>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</si>
  <si>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</si>
  <si>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</si>
  <si>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</si>
  <si>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</si>
  <si>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</si>
  <si>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</si>
  <si>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</si>
  <si>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</si>
  <si>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</si>
  <si>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</si>
  <si>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</si>
  <si>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</si>
  <si>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</si>
  <si>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</si>
  <si>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</si>
  <si>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</si>
  <si>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</si>
  <si>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</si>
  <si>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</si>
  <si>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</si>
  <si>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</si>
  <si>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</si>
  <si>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</si>
  <si>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</si>
  <si>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</si>
  <si>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</si>
  <si>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</si>
  <si>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</si>
  <si>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</si>
  <si>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</si>
  <si>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</si>
  <si>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</si>
  <si>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</si>
  <si>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</si>
  <si>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</si>
  <si>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</si>
  <si>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</si>
  <si>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</si>
  <si>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</si>
  <si>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</si>
  <si>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</si>
  <si>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</si>
  <si>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</si>
  <si>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</si>
  <si>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</si>
  <si>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</si>
  <si>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</si>
  <si>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</si>
  <si>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</si>
  <si>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</si>
  <si>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</si>
  <si>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</si>
  <si>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</si>
  <si>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</si>
  <si>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</si>
  <si>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</si>
  <si>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</si>
  <si>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</si>
  <si>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</si>
  <si>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</si>
  <si>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</si>
  <si>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</si>
  <si>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</si>
  <si>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</si>
  <si>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</si>
  <si>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</si>
  <si>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</si>
  <si>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</si>
  <si>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</si>
  <si>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</si>
  <si>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</si>
  <si>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</si>
  <si>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</si>
  <si>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</si>
  <si>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</si>
  <si>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</si>
  <si>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</si>
  <si>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</si>
  <si>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</si>
  <si>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</si>
  <si>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</si>
  <si>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</si>
  <si>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</si>
  <si>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</si>
  <si>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</si>
  <si>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</si>
  <si>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</si>
  <si>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</si>
  <si>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</si>
  <si>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</si>
  <si>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</si>
  <si>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</si>
  <si>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</si>
  <si>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</si>
  <si>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</si>
  <si>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</si>
  <si>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</si>
  <si>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</si>
  <si>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</si>
  <si>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</si>
  <si>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</si>
  <si>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</si>
  <si>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</si>
  <si>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</si>
  <si>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</si>
  <si>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</si>
  <si>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</si>
  <si>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</si>
  <si>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</si>
  <si>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</si>
  <si>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</si>
  <si>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</si>
  <si>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</si>
  <si>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</si>
  <si>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</si>
  <si>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</si>
  <si>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</si>
  <si>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</si>
  <si>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</si>
  <si>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</si>
  <si>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</si>
  <si>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</si>
  <si>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</si>
  <si>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</si>
  <si>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</si>
  <si>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</si>
  <si>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</si>
  <si>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</si>
  <si>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</si>
  <si>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</si>
  <si>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</si>
  <si>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</si>
  <si>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</si>
  <si>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</si>
  <si>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</si>
  <si>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</si>
  <si>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</si>
  <si>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</si>
  <si>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</si>
  <si>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</si>
  <si>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</si>
  <si>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</si>
  <si>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</si>
  <si>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</si>
  <si>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</si>
  <si>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</si>
  <si>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</si>
  <si>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</si>
  <si>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</si>
  <si>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</si>
  <si>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</si>
  <si>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</si>
  <si>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</si>
  <si>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</si>
  <si>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</si>
  <si>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</si>
  <si>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</si>
  <si>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</si>
  <si>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</si>
  <si>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</si>
  <si>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</si>
  <si>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</si>
  <si>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</si>
  <si>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</si>
  <si>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</si>
  <si>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</si>
  <si>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</si>
  <si>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</si>
  <si>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</si>
  <si>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</si>
  <si>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</si>
  <si>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</si>
  <si>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</si>
  <si>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</si>
  <si>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</si>
  <si>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</si>
  <si>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</si>
  <si>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</si>
  <si>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</si>
  <si>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</si>
  <si>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</si>
  <si>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</si>
  <si>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</si>
  <si>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</si>
  <si>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</si>
  <si>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</si>
  <si>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</si>
  <si>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</si>
  <si>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</si>
  <si>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</si>
  <si>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</si>
  <si>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</si>
  <si>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</si>
  <si>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</si>
  <si>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</si>
  <si>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</si>
  <si>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</si>
  <si>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</si>
  <si>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</si>
  <si>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</si>
  <si>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</si>
  <si>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</si>
  <si>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</si>
  <si>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</si>
  <si>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</si>
  <si>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</si>
  <si>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</si>
  <si>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</si>
  <si>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</si>
  <si>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</si>
  <si>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</si>
  <si>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</si>
  <si>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</si>
  <si>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</si>
  <si>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</si>
  <si>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</si>
  <si>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</si>
  <si>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</si>
  <si>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</si>
  <si>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</si>
  <si>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</si>
  <si>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</si>
  <si>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</si>
  <si>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</si>
  <si>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</si>
  <si>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</si>
  <si>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</si>
  <si>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</si>
  <si>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</si>
  <si>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</si>
  <si>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</si>
  <si>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</si>
  <si>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</si>
  <si>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</si>
  <si>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</si>
  <si>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</si>
  <si>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</si>
  <si>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</si>
  <si>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</si>
  <si>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</si>
  <si>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</si>
  <si>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</si>
  <si>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</si>
  <si>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</si>
  <si>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</si>
  <si>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</si>
  <si>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</si>
  <si>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</si>
  <si>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</si>
  <si>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</si>
  <si>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</si>
  <si>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</si>
  <si>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</si>
  <si>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</si>
  <si>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</si>
  <si>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</si>
  <si>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</si>
  <si>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</si>
  <si>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</si>
  <si>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</si>
  <si>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</si>
  <si>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</si>
  <si>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</si>
  <si>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</si>
  <si>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</si>
  <si>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</si>
  <si>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</si>
  <si>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</si>
  <si>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</si>
  <si>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</si>
  <si>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</si>
  <si>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</si>
  <si>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</si>
  <si>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</si>
  <si>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</si>
  <si>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</si>
  <si>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</si>
  <si>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</si>
  <si>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</si>
  <si>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</si>
  <si>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</si>
  <si>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</si>
  <si>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</si>
  <si>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</si>
  <si>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</si>
  <si>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</si>
  <si>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</si>
  <si>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</si>
  <si>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</si>
  <si>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</si>
  <si>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</si>
  <si>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</si>
  <si>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</si>
  <si>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</si>
  <si>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</si>
  <si>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</si>
  <si>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</si>
  <si>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</si>
  <si>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</si>
  <si>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</si>
  <si>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</si>
  <si>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</si>
  <si>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</si>
  <si>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</si>
  <si>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</si>
  <si>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</si>
  <si>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</si>
  <si>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</si>
  <si>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</si>
  <si>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</si>
  <si>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</si>
  <si>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</si>
  <si>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</si>
  <si>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</si>
  <si>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</si>
  <si>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</si>
  <si>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</si>
  <si>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</si>
  <si>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</si>
  <si>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</si>
  <si>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</si>
  <si>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</si>
  <si>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</si>
  <si>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</si>
  <si>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</si>
  <si>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</si>
  <si>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</si>
  <si>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</si>
  <si>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</si>
  <si>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</si>
  <si>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</si>
  <si>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</si>
  <si>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</si>
  <si>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</si>
  <si>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</si>
  <si>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</si>
  <si>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</si>
  <si>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</si>
  <si>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</si>
  <si>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</si>
  <si>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</si>
  <si>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</si>
  <si>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</si>
  <si>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</si>
  <si>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</si>
  <si>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</si>
  <si>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</si>
  <si>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</si>
  <si>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</si>
  <si>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</si>
  <si>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</si>
  <si>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</si>
  <si>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</si>
  <si>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</si>
  <si>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</si>
  <si>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</si>
  <si>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</si>
  <si>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</si>
  <si>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</si>
  <si>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</si>
  <si>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</si>
  <si>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</si>
  <si>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</si>
  <si>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</si>
  <si>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</si>
  <si>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</si>
  <si>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</si>
  <si>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</si>
  <si>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</si>
  <si>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</si>
  <si>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</si>
  <si>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</si>
  <si>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</si>
  <si>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</si>
  <si>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</si>
  <si>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</si>
  <si>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</si>
  <si>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</si>
  <si>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</si>
  <si>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</si>
  <si>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</si>
  <si>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</si>
  <si>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</si>
  <si>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</si>
  <si>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</si>
  <si>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</si>
  <si>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</si>
  <si>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</si>
  <si>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</si>
  <si>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</si>
  <si>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</si>
  <si>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</si>
  <si>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</si>
  <si>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</si>
  <si>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</si>
  <si>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</si>
  <si>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</si>
  <si>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</si>
  <si>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</si>
  <si>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</si>
  <si>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</si>
  <si>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</si>
  <si>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</si>
  <si>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</si>
  <si>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</si>
  <si>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</si>
  <si>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</si>
  <si>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</si>
  <si>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</si>
  <si>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</si>
  <si>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</si>
  <si>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</si>
  <si>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</si>
  <si>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</si>
  <si>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</si>
  <si>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</si>
  <si>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</si>
  <si>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</si>
  <si>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</si>
  <si>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</si>
  <si>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</si>
  <si>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</si>
  <si>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</si>
  <si>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</si>
  <si>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</si>
  <si>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</si>
  <si>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</si>
  <si>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</si>
  <si>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</si>
  <si>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</si>
  <si>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</si>
  <si>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</si>
  <si>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</si>
  <si>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</si>
  <si>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</si>
  <si>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</si>
  <si>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</si>
  <si>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</si>
  <si>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</si>
  <si>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</si>
  <si>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</si>
  <si>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</si>
  <si>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</si>
  <si>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</si>
  <si>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</si>
  <si>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</si>
  <si>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</si>
  <si>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</si>
  <si>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</si>
  <si>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</si>
  <si>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</si>
  <si>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</si>
  <si>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</si>
  <si>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</si>
  <si>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</si>
  <si>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</si>
  <si>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</si>
  <si>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</si>
  <si>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</si>
  <si>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</si>
  <si>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</si>
  <si>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</si>
  <si>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</si>
  <si>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</si>
  <si>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</si>
  <si>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</si>
  <si>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</si>
  <si>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</si>
  <si>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</si>
  <si>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</si>
  <si>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</si>
  <si>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</si>
  <si>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</si>
  <si>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</si>
  <si>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</si>
  <si>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</si>
  <si>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</si>
  <si>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</si>
  <si>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</si>
  <si>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</si>
  <si>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</si>
  <si>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</si>
  <si>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</si>
  <si>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</si>
  <si>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</si>
  <si>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</si>
  <si>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</si>
  <si>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</si>
  <si>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</si>
  <si>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</si>
  <si>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</si>
  <si>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</si>
  <si>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</si>
  <si>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</si>
  <si>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</si>
  <si>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</si>
  <si>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</si>
  <si>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</si>
  <si>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</si>
  <si>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</si>
  <si>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</si>
  <si>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</si>
  <si>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</si>
  <si>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</si>
  <si>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</si>
  <si>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</si>
  <si>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</si>
  <si>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</si>
  <si>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</si>
  <si>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</si>
  <si>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</si>
  <si>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</si>
  <si>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</si>
  <si>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</si>
  <si>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</si>
  <si>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</si>
  <si>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</si>
  <si>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</si>
  <si>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</si>
  <si>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</si>
  <si>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</si>
  <si>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</si>
  <si>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</si>
  <si>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</si>
  <si>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</si>
  <si>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</si>
  <si>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</si>
  <si>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</si>
  <si>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</si>
  <si>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</si>
  <si>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</si>
  <si>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</si>
  <si>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</si>
  <si>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</si>
  <si>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</si>
  <si>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</si>
  <si>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</si>
  <si>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</si>
  <si>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</si>
  <si>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</si>
  <si>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</si>
  <si>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</si>
  <si>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</si>
  <si>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</si>
  <si>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</si>
  <si>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</si>
  <si>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</si>
  <si>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</si>
  <si>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</si>
  <si>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</si>
  <si>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</si>
  <si>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</si>
  <si>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</si>
  <si>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</si>
  <si>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</si>
  <si>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</si>
  <si>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</si>
  <si>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</si>
  <si>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</si>
  <si>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</si>
  <si>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</si>
  <si>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</si>
  <si>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</si>
  <si>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</si>
  <si>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</si>
  <si>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</si>
  <si>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</si>
  <si>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</si>
  <si>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</si>
  <si>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</si>
  <si>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</si>
  <si>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</si>
  <si>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</si>
  <si>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</si>
  <si>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</si>
  <si>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</si>
  <si>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</si>
  <si>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</si>
  <si>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</si>
  <si>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</si>
  <si>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</si>
  <si>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</si>
  <si>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</si>
  <si>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</si>
  <si>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</si>
  <si>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</si>
  <si>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</si>
  <si>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</si>
  <si>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</si>
  <si>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</si>
  <si>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</si>
  <si>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</si>
  <si>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</si>
  <si>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</si>
  <si>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</si>
  <si>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</si>
  <si>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</si>
  <si>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</si>
  <si>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</si>
  <si>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</si>
  <si>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</si>
  <si>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</si>
  <si>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</si>
  <si>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</si>
  <si>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</si>
  <si>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</si>
  <si>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</si>
  <si>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</si>
  <si>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</si>
  <si>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</si>
  <si>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</si>
  <si>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</si>
  <si>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</si>
  <si>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</si>
  <si>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</si>
  <si>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</si>
  <si>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</si>
  <si>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</si>
  <si>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</si>
  <si>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</si>
  <si>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</si>
  <si>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</si>
  <si>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</si>
  <si>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</si>
  <si>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</si>
  <si>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</si>
  <si>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</si>
  <si>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</si>
  <si>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</si>
  <si>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</si>
  <si>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</si>
  <si>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</si>
  <si>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</si>
  <si>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</si>
  <si>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</si>
  <si>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</si>
  <si>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</si>
  <si>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</si>
  <si>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</si>
  <si>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</si>
  <si>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</si>
  <si>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</si>
  <si>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</si>
  <si>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</si>
  <si>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</si>
  <si>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</si>
  <si>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</si>
  <si>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</si>
  <si>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</si>
  <si>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</si>
  <si>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</si>
  <si>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</si>
  <si>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</si>
  <si>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</si>
  <si>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</si>
  <si>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</si>
  <si>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</si>
  <si>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</si>
  <si>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</si>
  <si>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</si>
  <si>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</si>
  <si>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</si>
  <si>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</si>
  <si>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</si>
  <si>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</si>
  <si>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</si>
  <si>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</si>
  <si>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</si>
  <si>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</si>
  <si>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</si>
  <si>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</si>
  <si>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</si>
  <si>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</si>
  <si>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</si>
  <si>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</si>
  <si>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</si>
  <si>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</si>
  <si>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</si>
  <si>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</si>
  <si>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</si>
  <si>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</si>
  <si>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</si>
  <si>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</si>
  <si>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</si>
  <si>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</si>
  <si>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</si>
  <si>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</si>
  <si>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</si>
  <si>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</si>
  <si>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</si>
  <si>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</si>
  <si>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</si>
  <si>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</si>
  <si>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</si>
  <si>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</si>
  <si>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</si>
  <si>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</si>
  <si>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</si>
  <si>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</si>
  <si>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</si>
  <si>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</si>
  <si>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</si>
  <si>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</si>
  <si>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</si>
  <si>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</si>
  <si>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</si>
  <si>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</si>
  <si>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</si>
  <si>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</si>
  <si>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</si>
  <si>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</si>
  <si>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</si>
  <si>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</si>
  <si>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</si>
  <si>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</si>
  <si>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</si>
  <si>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</si>
  <si>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</si>
  <si>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</si>
  <si>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</si>
  <si>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</si>
  <si>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</si>
  <si>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</si>
  <si>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</si>
  <si>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</si>
  <si>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</si>
  <si>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</si>
  <si>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</si>
  <si>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</si>
  <si>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</si>
  <si>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</si>
  <si>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</si>
  <si>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</si>
  <si>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</si>
  <si>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</si>
  <si>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</si>
  <si>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</si>
  <si>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</si>
  <si>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</si>
  <si>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</si>
  <si>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</si>
  <si>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</si>
  <si>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</si>
  <si>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</si>
  <si>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</si>
  <si>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</si>
  <si>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</si>
  <si>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</si>
  <si>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</si>
  <si>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</si>
  <si>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</si>
  <si>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</si>
  <si>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</si>
  <si>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</si>
  <si>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</si>
  <si>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</si>
  <si>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</si>
  <si>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</si>
  <si>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</si>
  <si>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</si>
  <si>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</si>
  <si>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</si>
  <si>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</si>
  <si>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</si>
  <si>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</si>
  <si>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</si>
  <si>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</si>
  <si>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</si>
  <si>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</si>
  <si>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</si>
  <si>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</si>
  <si>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</si>
  <si>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</si>
  <si>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</si>
  <si>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</si>
  <si>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</si>
  <si>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</si>
  <si>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</si>
  <si>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</si>
  <si>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</si>
  <si>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</si>
  <si>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</si>
  <si>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</si>
  <si>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</si>
  <si>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</si>
  <si>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</si>
  <si>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</si>
  <si>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</si>
  <si>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</si>
  <si>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</si>
  <si>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</si>
  <si>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</si>
  <si>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</si>
  <si>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</si>
  <si>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</si>
  <si>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</si>
  <si>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</si>
  <si>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</si>
  <si>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</si>
  <si>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</si>
  <si>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</si>
  <si>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</si>
  <si>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</si>
  <si>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</si>
  <si>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</si>
  <si>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</si>
  <si>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</si>
  <si>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</si>
  <si>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</si>
  <si>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</si>
  <si>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</si>
  <si>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</si>
  <si>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</si>
  <si>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</si>
  <si>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</si>
  <si>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</si>
  <si>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</si>
  <si>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</si>
  <si>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</si>
  <si>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</si>
  <si>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</si>
  <si>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</si>
  <si>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</si>
  <si>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</si>
  <si>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</si>
  <si>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</si>
  <si>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</si>
  <si>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</si>
  <si>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</si>
  <si>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</si>
  <si>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</si>
  <si>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</si>
  <si>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</si>
  <si>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</si>
  <si>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</si>
  <si>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</si>
  <si>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</si>
  <si>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</si>
  <si>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</si>
  <si>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</si>
  <si>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</si>
  <si>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</si>
  <si>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</si>
  <si>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</si>
  <si>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</si>
  <si>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</si>
  <si>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</si>
  <si>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</si>
  <si>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</si>
  <si>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</si>
  <si>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</si>
  <si>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</si>
  <si>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</si>
  <si>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</si>
  <si>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</si>
  <si>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</si>
  <si>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</si>
  <si>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</si>
  <si>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</si>
  <si>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</si>
  <si>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</si>
  <si>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</si>
  <si>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</si>
  <si>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</si>
  <si>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</si>
  <si>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</si>
  <si>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</si>
  <si>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</si>
  <si>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</si>
  <si>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</si>
  <si>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</si>
  <si>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</si>
  <si>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</si>
  <si>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</si>
  <si>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</si>
  <si>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</si>
  <si>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</si>
  <si>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</si>
  <si>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</si>
  <si>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</si>
  <si>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</si>
  <si>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</si>
  <si>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</si>
  <si>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</si>
  <si>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</si>
  <si>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</si>
  <si>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</si>
  <si>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</si>
  <si>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</si>
  <si>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</si>
  <si>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</si>
  <si>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</si>
  <si>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</si>
  <si>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</si>
  <si>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</si>
  <si>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</si>
  <si>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</si>
  <si>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</si>
  <si>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</si>
  <si>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</si>
  <si>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</si>
  <si>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</si>
  <si>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</si>
  <si>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</si>
  <si>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</si>
  <si>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</si>
  <si>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</si>
  <si>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</si>
  <si>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</si>
  <si>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</si>
  <si>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</si>
  <si>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</si>
  <si>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</si>
  <si>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</si>
  <si>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</si>
  <si>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</si>
  <si>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</si>
  <si>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</si>
  <si>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</si>
  <si>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</si>
  <si>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</si>
  <si>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</si>
  <si>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</si>
  <si>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</si>
  <si>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</si>
  <si>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</si>
  <si>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</si>
  <si>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</si>
  <si>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</si>
  <si>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</si>
  <si>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</si>
  <si>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</si>
  <si>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</si>
  <si>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</si>
  <si>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</si>
  <si>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</si>
  <si>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</si>
  <si>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</si>
  <si>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</si>
  <si>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</si>
  <si>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</si>
  <si>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</si>
  <si>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</si>
  <si>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</si>
  <si>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</si>
  <si>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</si>
  <si>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</si>
  <si>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</si>
  <si>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</si>
  <si>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</si>
  <si>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</si>
  <si>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</si>
  <si>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</si>
  <si>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</si>
  <si>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</si>
  <si>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</si>
  <si>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</si>
  <si>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</si>
  <si>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</si>
  <si>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</si>
  <si>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</si>
  <si>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</si>
  <si>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</si>
  <si>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</si>
  <si>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</si>
  <si>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</si>
  <si>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</si>
  <si>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</si>
  <si>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</si>
  <si>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</si>
  <si>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</si>
  <si>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</si>
  <si>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</si>
  <si>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</si>
  <si>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</si>
  <si>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</si>
  <si>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</si>
  <si>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</si>
  <si>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</si>
  <si>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</si>
  <si>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</si>
  <si>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</si>
  <si>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</si>
  <si>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</si>
  <si>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</si>
  <si>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</si>
  <si>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</si>
  <si>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</si>
  <si>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</si>
  <si>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</si>
  <si>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</si>
  <si>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</si>
  <si>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</si>
  <si>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</si>
  <si>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</si>
  <si>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</si>
  <si>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</si>
  <si>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</si>
  <si>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</si>
  <si>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</si>
  <si>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</si>
  <si>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</si>
  <si>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</si>
  <si>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</si>
  <si>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</si>
  <si>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</si>
  <si>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</si>
  <si>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</si>
  <si>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</si>
  <si>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</si>
  <si>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</si>
  <si>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</si>
  <si>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</si>
  <si>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</si>
  <si>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</si>
  <si>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</si>
  <si>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</si>
  <si>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</si>
  <si>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</si>
  <si>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</si>
  <si>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</si>
  <si>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</si>
  <si>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</si>
  <si>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</si>
  <si>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</si>
  <si>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</si>
  <si>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</si>
  <si>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</si>
  <si>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</si>
  <si>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</si>
  <si>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</si>
  <si>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</si>
  <si>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</si>
  <si>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</si>
  <si>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</si>
  <si>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</si>
  <si>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</si>
  <si>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</si>
  <si>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</si>
  <si>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</si>
  <si>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</si>
  <si>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</si>
  <si>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</si>
  <si>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</si>
  <si>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</si>
  <si>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</si>
  <si>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</si>
  <si>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</si>
  <si>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</si>
  <si>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</si>
  <si>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</si>
  <si>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</si>
  <si>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</si>
  <si>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</si>
  <si>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</si>
  <si>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</si>
  <si>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</si>
  <si>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</si>
  <si>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</si>
  <si>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</si>
  <si>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</si>
  <si>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</si>
  <si>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</si>
  <si>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</si>
  <si>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</si>
  <si>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</si>
  <si>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</si>
  <si>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</si>
  <si>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</si>
  <si>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</si>
  <si>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</si>
  <si>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</si>
  <si>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</si>
  <si>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</si>
  <si>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</si>
  <si>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</si>
  <si>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</si>
  <si>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</si>
  <si>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</si>
  <si>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</si>
  <si>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</si>
  <si>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</si>
  <si>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</si>
  <si>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</si>
  <si>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</si>
  <si>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</si>
  <si>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</si>
  <si>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</si>
  <si>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</si>
  <si>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</si>
  <si>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</si>
  <si>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</si>
  <si>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</si>
  <si>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</si>
  <si>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</si>
  <si>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</si>
  <si>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</si>
  <si>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</si>
  <si>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</si>
  <si>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</si>
  <si>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</si>
  <si>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</si>
  <si>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</si>
  <si>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</si>
  <si>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</si>
  <si>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</si>
  <si>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</si>
  <si>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</si>
  <si>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</si>
  <si>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</si>
  <si>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</si>
  <si>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</si>
  <si>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</si>
  <si>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</si>
  <si>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</si>
  <si>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</si>
  <si>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</si>
  <si>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</si>
  <si>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</si>
  <si>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</si>
  <si>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</si>
  <si>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</si>
  <si>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</si>
  <si>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</si>
  <si>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</si>
  <si>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</si>
  <si>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</si>
  <si>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</si>
  <si>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</si>
  <si>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</si>
  <si>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</si>
  <si>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</si>
  <si>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</si>
  <si>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</si>
  <si>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</si>
  <si>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</si>
  <si>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</si>
  <si>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</si>
  <si>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</si>
  <si>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</si>
  <si>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</si>
  <si>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</si>
  <si>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</si>
  <si>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</si>
  <si>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</si>
  <si>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</si>
  <si>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</si>
  <si>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</si>
  <si>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</si>
  <si>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</si>
  <si>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</si>
  <si>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</si>
  <si>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</si>
  <si>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</si>
  <si>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</si>
  <si>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</si>
  <si>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</si>
  <si>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</si>
  <si>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</si>
  <si>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</si>
  <si>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</si>
  <si>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</si>
  <si>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</si>
  <si>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</si>
  <si>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</si>
  <si>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</si>
  <si>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</si>
  <si>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</si>
  <si>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</si>
  <si>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</si>
  <si>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</si>
  <si>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</si>
  <si>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</si>
  <si>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</si>
  <si>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</si>
  <si>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</si>
  <si>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</si>
  <si>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</si>
  <si>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</si>
  <si>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</si>
  <si>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</si>
  <si>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</si>
  <si>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</si>
  <si>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</si>
  <si>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</si>
  <si>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</si>
  <si>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</si>
  <si>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</si>
  <si>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</si>
  <si>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</si>
  <si>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</si>
  <si>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</si>
  <si>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</si>
  <si>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</si>
  <si>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</si>
  <si>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</si>
  <si>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</si>
  <si>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</si>
  <si>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</si>
  <si>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</si>
  <si>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</si>
  <si>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</si>
  <si>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</si>
  <si>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</si>
  <si>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</si>
  <si>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</si>
  <si>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</si>
  <si>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</si>
  <si>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</si>
  <si>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</si>
  <si>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</si>
  <si>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</si>
  <si>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</si>
  <si>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</si>
  <si>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</si>
  <si>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</si>
  <si>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</si>
  <si>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</si>
  <si>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</si>
  <si>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</si>
  <si>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</si>
  <si>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</si>
  <si>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</si>
  <si>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</si>
  <si>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</si>
  <si>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</si>
  <si>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</si>
  <si>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</si>
  <si>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</si>
  <si>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</si>
  <si>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</si>
  <si>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</si>
  <si>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</si>
  <si>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</si>
  <si>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</si>
  <si>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</si>
  <si>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</si>
  <si>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</si>
  <si>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</si>
  <si>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</si>
  <si>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</si>
  <si>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</si>
  <si>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</si>
  <si>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</si>
  <si>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</si>
  <si>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</si>
  <si>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</si>
  <si>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</si>
  <si>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</si>
  <si>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</si>
  <si>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</si>
  <si>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</si>
  <si>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</si>
  <si>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</si>
  <si>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</si>
  <si>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</si>
  <si>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</si>
  <si>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</si>
  <si>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</si>
  <si>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</si>
  <si>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</si>
  <si>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</si>
  <si>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</si>
  <si>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</si>
  <si>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</si>
  <si>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</si>
  <si>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</si>
  <si>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</si>
  <si>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</si>
  <si>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</si>
  <si>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</si>
  <si>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</si>
  <si>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</si>
  <si>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</si>
  <si>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</si>
  <si>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</si>
  <si>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</si>
  <si>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</si>
  <si>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</si>
  <si>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</si>
  <si>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</si>
  <si>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</si>
  <si>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</si>
  <si>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</si>
  <si>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</si>
  <si>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</si>
  <si>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</si>
  <si>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</si>
  <si>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</si>
  <si>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</si>
  <si>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</si>
  <si>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</si>
  <si>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</si>
  <si>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</si>
  <si>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</si>
  <si>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</si>
  <si>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</si>
  <si>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</si>
  <si>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</si>
  <si>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</si>
  <si>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</si>
  <si>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</si>
  <si>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</si>
  <si>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</si>
  <si>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</si>
  <si>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</si>
  <si>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</si>
  <si>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</si>
  <si>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</si>
  <si>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</si>
  <si>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</si>
  <si>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</si>
  <si>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</si>
  <si>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</si>
  <si>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</si>
  <si>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</si>
  <si>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</si>
  <si>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</si>
  <si>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</si>
  <si>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</si>
  <si>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</si>
  <si>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</si>
  <si>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</si>
  <si>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</si>
  <si>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</si>
  <si>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</si>
  <si>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</si>
  <si>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</si>
  <si>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</si>
  <si>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</si>
  <si>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</si>
  <si>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</si>
  <si>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</si>
  <si>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</si>
  <si>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</si>
  <si>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</si>
  <si>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</si>
  <si>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</si>
  <si>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</si>
  <si>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</si>
  <si>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</si>
  <si>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</si>
  <si>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</si>
  <si>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</si>
  <si>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</si>
  <si>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</si>
  <si>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</si>
  <si>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</si>
  <si>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</si>
  <si>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</si>
  <si>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</si>
  <si>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</si>
  <si>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</si>
  <si>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</si>
  <si>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</si>
  <si>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</si>
  <si>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</si>
  <si>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</si>
  <si>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</si>
  <si>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</si>
  <si>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</si>
  <si>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</si>
  <si>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</si>
  <si>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</si>
  <si>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</si>
  <si>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</si>
  <si>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</si>
  <si>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</si>
  <si>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</si>
  <si>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</si>
  <si>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</si>
  <si>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</si>
  <si>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</si>
  <si>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</si>
  <si>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</si>
  <si>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</si>
  <si>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</si>
  <si>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</si>
  <si>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</si>
  <si>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</si>
  <si>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</si>
  <si>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</si>
  <si>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</si>
  <si>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</si>
  <si>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</si>
  <si>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</si>
  <si>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</si>
  <si>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</si>
  <si>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</si>
  <si>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</si>
  <si>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</si>
  <si>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</si>
  <si>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</si>
  <si>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</si>
  <si>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</si>
  <si>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</si>
  <si>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</si>
  <si>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</si>
  <si>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</si>
  <si>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</si>
  <si>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</si>
  <si>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</si>
  <si>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</si>
  <si>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</si>
  <si>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</si>
  <si>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</si>
  <si>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</si>
  <si>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</si>
  <si>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</si>
  <si>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</si>
  <si>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</si>
  <si>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</si>
  <si>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</si>
  <si>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</si>
  <si>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</si>
  <si>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</si>
  <si>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</si>
  <si>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</si>
  <si>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</si>
  <si>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</si>
  <si>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</si>
  <si>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</si>
  <si>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</si>
  <si>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</si>
  <si>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</si>
  <si>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</si>
  <si>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</si>
  <si>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</si>
  <si>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</si>
  <si>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</si>
  <si>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</si>
  <si>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</si>
  <si>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</si>
  <si>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</si>
  <si>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</si>
  <si>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</si>
  <si>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</si>
  <si>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</si>
  <si>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</si>
  <si>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</si>
  <si>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</si>
  <si>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</si>
  <si>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</si>
  <si>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</si>
  <si>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</si>
  <si>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</si>
  <si>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</si>
  <si>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</si>
  <si>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</si>
  <si>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</si>
  <si>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</si>
  <si>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</si>
  <si>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</si>
  <si>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</si>
  <si>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</si>
  <si>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</si>
  <si>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</si>
  <si>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</si>
  <si>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</si>
  <si>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</si>
  <si>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</si>
  <si>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</si>
  <si>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</si>
  <si>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</si>
  <si>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</si>
  <si>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</si>
  <si>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</si>
  <si>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</si>
  <si>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</si>
  <si>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</si>
  <si>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</si>
  <si>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</si>
  <si>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</si>
  <si>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</si>
  <si>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</si>
  <si>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</si>
  <si>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</si>
  <si>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</si>
  <si>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</si>
  <si>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</si>
  <si>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</si>
  <si>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</si>
  <si>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</si>
  <si>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</si>
  <si>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</si>
  <si>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</si>
  <si>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</si>
  <si>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</si>
  <si>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</si>
  <si>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</si>
  <si>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</si>
  <si>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</si>
  <si>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</si>
  <si>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</si>
  <si>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</si>
  <si>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</si>
  <si>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</si>
  <si>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</si>
  <si>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</si>
  <si>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</si>
  <si>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</si>
  <si>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</si>
  <si>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</si>
  <si>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</si>
  <si>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</si>
  <si>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</si>
  <si>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</si>
  <si>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</si>
  <si>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</si>
  <si>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</si>
  <si>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</si>
  <si>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</si>
  <si>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</si>
  <si>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</si>
  <si>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</si>
  <si>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</si>
  <si>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</si>
  <si>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</si>
  <si>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</si>
  <si>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</si>
  <si>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</si>
  <si>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</si>
  <si>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</si>
  <si>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</si>
  <si>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</si>
  <si>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</si>
  <si>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</si>
  <si>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</si>
  <si>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</si>
  <si>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</si>
  <si>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</si>
  <si>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</si>
  <si>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</si>
  <si>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</si>
  <si>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</si>
  <si>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</si>
  <si>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</si>
  <si>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</si>
  <si>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</si>
  <si>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</si>
  <si>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</si>
  <si>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</si>
  <si>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</si>
  <si>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</si>
  <si>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</si>
  <si>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</si>
  <si>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</si>
  <si>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</si>
  <si>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</si>
  <si>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</si>
  <si>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</si>
  <si>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</si>
  <si>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</si>
  <si>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</si>
  <si>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</si>
  <si>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</si>
  <si>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</si>
  <si>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</si>
  <si>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</si>
  <si>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</si>
  <si>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</si>
  <si>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</si>
  <si>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</si>
  <si>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</si>
  <si>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</si>
  <si>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</si>
  <si>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</si>
  <si>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</si>
  <si>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</si>
  <si>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</si>
  <si>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</si>
  <si>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</si>
  <si>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</si>
  <si>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</si>
  <si>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</si>
  <si>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</si>
  <si>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</si>
  <si>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</si>
  <si>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</si>
  <si>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</si>
  <si>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</si>
  <si>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</si>
  <si>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</si>
  <si>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</si>
  <si>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</si>
  <si>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</si>
  <si>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</si>
  <si>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</si>
  <si>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</si>
  <si>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</si>
  <si>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</si>
  <si>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</si>
  <si>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</si>
  <si>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</si>
  <si>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</si>
  <si>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</si>
  <si>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</si>
  <si>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</si>
  <si>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</si>
  <si>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</si>
  <si>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</si>
  <si>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</si>
  <si>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</si>
  <si>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</si>
  <si>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</si>
  <si>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</si>
  <si>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</si>
  <si>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</si>
  <si>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</si>
  <si>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</si>
  <si>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</si>
  <si>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</si>
  <si>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</si>
  <si>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</si>
  <si>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</si>
  <si>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</si>
  <si>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</si>
  <si>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</si>
  <si>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</si>
  <si>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</si>
  <si>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</si>
  <si>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</si>
  <si>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</si>
  <si>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</si>
  <si>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</si>
  <si>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</si>
  <si>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</si>
  <si>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</si>
  <si>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</si>
  <si>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</si>
  <si>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</si>
  <si>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</si>
  <si>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</si>
  <si>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</si>
  <si>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</si>
  <si>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</si>
  <si>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</si>
  <si>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</si>
  <si>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</si>
  <si>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</si>
  <si>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</si>
  <si>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</si>
  <si>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</si>
  <si>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</si>
  <si>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</si>
  <si>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</si>
  <si>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</si>
  <si>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</si>
  <si>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</si>
  <si>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</si>
  <si>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</si>
  <si>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</si>
  <si>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</si>
  <si>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</si>
  <si>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</si>
  <si>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</si>
  <si>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</si>
  <si>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</si>
  <si>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</si>
  <si>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</si>
  <si>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</si>
  <si>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</si>
  <si>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</si>
  <si>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</si>
  <si>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</si>
  <si>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</si>
  <si>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</si>
  <si>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</si>
  <si>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</si>
  <si>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</si>
  <si>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</si>
  <si>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</si>
  <si>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</si>
  <si>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</si>
  <si>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</si>
  <si>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</si>
  <si>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</si>
  <si>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</si>
  <si>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</si>
  <si>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</si>
  <si>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</si>
  <si>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</si>
  <si>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</si>
  <si>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</si>
  <si>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</si>
  <si>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</si>
  <si>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</si>
  <si>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</si>
  <si>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</si>
  <si>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</si>
  <si>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</si>
  <si>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</si>
  <si>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</si>
  <si>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</si>
  <si>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</si>
  <si>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</si>
  <si>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</si>
  <si>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</si>
  <si>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</si>
  <si>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</si>
  <si>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</si>
  <si>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</si>
  <si>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</si>
  <si>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</si>
  <si>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</si>
  <si>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</si>
  <si>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</si>
  <si>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</si>
  <si>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</si>
  <si>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</si>
  <si>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</si>
  <si>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</si>
  <si>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</si>
  <si>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</si>
  <si>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</si>
  <si>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</si>
  <si>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</si>
  <si>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</si>
  <si>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</si>
  <si>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</si>
  <si>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</si>
  <si>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</si>
  <si>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</si>
  <si>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</si>
  <si>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</si>
  <si>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</si>
  <si>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</si>
  <si>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</si>
  <si>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</si>
  <si>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</si>
  <si>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</si>
  <si>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</si>
  <si>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</si>
  <si>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</si>
  <si>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</si>
  <si>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</si>
  <si>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</si>
  <si>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</si>
  <si>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</si>
  <si>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</si>
  <si>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</si>
  <si>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</si>
  <si>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</si>
  <si>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</si>
  <si>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</si>
  <si>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</si>
  <si>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</si>
  <si>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</si>
  <si>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</si>
  <si>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</si>
  <si>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</si>
  <si>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</si>
  <si>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</si>
  <si>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</si>
  <si>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</si>
  <si>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</si>
  <si>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</si>
  <si>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</si>
  <si>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</si>
  <si>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</si>
  <si>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</si>
  <si>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</si>
  <si>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</si>
  <si>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</si>
  <si>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</si>
  <si>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</si>
  <si>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</si>
  <si>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</si>
  <si>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</si>
  <si>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</si>
  <si>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</si>
  <si>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</si>
  <si>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</si>
  <si>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</si>
  <si>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</si>
  <si>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</si>
  <si>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</si>
  <si>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</si>
  <si>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</si>
  <si>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</si>
  <si>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</si>
  <si>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</si>
  <si>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</si>
  <si>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</si>
  <si>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</si>
  <si>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</si>
  <si>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</si>
  <si>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</si>
  <si>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</si>
  <si>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</si>
  <si>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</si>
  <si>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</si>
  <si>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</si>
  <si>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</si>
  <si>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</si>
  <si>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</si>
  <si>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</si>
  <si>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</si>
  <si>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</si>
  <si>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</si>
  <si>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</si>
  <si>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</si>
  <si>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</si>
  <si>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</si>
  <si>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</si>
  <si>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</si>
  <si>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</si>
  <si>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</si>
  <si>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</si>
  <si>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</si>
  <si>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</si>
  <si>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</si>
  <si>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</si>
  <si>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</si>
  <si>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</si>
  <si>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</si>
  <si>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</si>
  <si>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</si>
  <si>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</si>
  <si>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</si>
  <si>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</si>
  <si>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</si>
  <si>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</si>
  <si>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</si>
  <si>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</si>
  <si>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</si>
  <si>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</si>
  <si>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</si>
  <si>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</si>
  <si>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</si>
  <si>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</si>
  <si>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</si>
  <si>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</si>
  <si>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</si>
  <si>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</si>
  <si>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</si>
  <si>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</si>
  <si>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</si>
  <si>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</si>
  <si>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</si>
  <si>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</si>
  <si>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</si>
  <si>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</si>
  <si>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</si>
  <si>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</si>
  <si>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</si>
  <si>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</si>
  <si>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</si>
  <si>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</si>
  <si>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</si>
  <si>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</si>
  <si>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</si>
  <si>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</si>
  <si>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</si>
  <si>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</si>
  <si>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</si>
  <si>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</si>
  <si>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</si>
  <si>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</si>
  <si>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</si>
  <si>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</si>
  <si>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</si>
  <si>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</si>
  <si>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</si>
  <si>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</si>
  <si>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</si>
  <si>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</si>
  <si>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</si>
  <si>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</si>
  <si>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</si>
  <si>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</si>
  <si>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</si>
  <si>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</si>
  <si>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</si>
  <si>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</si>
  <si>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</si>
  <si>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</si>
  <si>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</si>
  <si>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</si>
  <si>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</si>
  <si>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</si>
  <si>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</si>
  <si>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</si>
  <si>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</si>
  <si>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</si>
  <si>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</si>
  <si>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</si>
  <si>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</si>
  <si>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</si>
  <si>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</si>
  <si>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</si>
  <si>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</si>
  <si>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</si>
  <si>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</si>
  <si>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</si>
  <si>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</si>
  <si>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</si>
  <si>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</si>
  <si>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</si>
  <si>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</si>
  <si>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</si>
  <si>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</si>
  <si>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</si>
  <si>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</si>
  <si>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</si>
  <si>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</si>
  <si>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</si>
  <si>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</si>
  <si>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</si>
  <si>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</si>
  <si>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</si>
  <si>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</si>
  <si>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</si>
  <si>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</si>
  <si>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</si>
  <si>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</si>
  <si>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</si>
  <si>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</si>
  <si>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</si>
  <si>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</si>
  <si>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</si>
  <si>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</si>
  <si>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</si>
  <si>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</si>
  <si>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</si>
  <si>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</si>
  <si>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</si>
  <si>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</si>
  <si>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</si>
  <si>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</si>
  <si>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</si>
  <si>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</si>
  <si>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</si>
  <si>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</si>
  <si>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</si>
  <si>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</si>
  <si>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</si>
  <si>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</si>
  <si>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</si>
  <si>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</si>
  <si>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</si>
  <si>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</si>
  <si>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</si>
  <si>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</si>
  <si>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</si>
  <si>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</si>
  <si>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</si>
  <si>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</si>
  <si>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</si>
  <si>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</si>
  <si>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</si>
  <si>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</si>
  <si>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</si>
  <si>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</si>
  <si>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</si>
  <si>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</si>
  <si>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</si>
  <si>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</si>
  <si>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</si>
  <si>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</si>
  <si>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</si>
  <si>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</si>
  <si>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</si>
  <si>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</si>
  <si>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</si>
  <si>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</si>
  <si>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</si>
  <si>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</si>
  <si>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</si>
  <si>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</si>
  <si>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</si>
  <si>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</si>
  <si>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</si>
  <si>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</si>
  <si>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</si>
  <si>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</si>
  <si>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</si>
  <si>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</si>
  <si>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</si>
  <si>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</si>
  <si>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</si>
  <si>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</si>
  <si>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</si>
  <si>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</si>
  <si>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</si>
  <si>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</si>
  <si>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</si>
  <si>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</si>
  <si>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</si>
  <si>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</si>
  <si>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</si>
  <si>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</si>
  <si>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</si>
  <si>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</si>
  <si>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</si>
  <si>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</si>
  <si>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</si>
  <si>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</si>
  <si>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</si>
  <si>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</si>
  <si>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</si>
  <si>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</si>
  <si>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</si>
  <si>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</si>
  <si>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</si>
  <si>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</si>
  <si>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</si>
  <si>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</si>
  <si>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</si>
  <si>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</si>
  <si>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</si>
  <si>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</si>
  <si>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</si>
  <si>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</si>
  <si>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</si>
  <si>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</si>
  <si>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</si>
  <si>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</si>
  <si>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</si>
  <si>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</si>
  <si>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</si>
  <si>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</si>
  <si>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</si>
  <si>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</si>
  <si>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</si>
  <si>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</si>
  <si>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</si>
  <si>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</si>
  <si>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</si>
  <si>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</si>
  <si>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</si>
  <si>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</si>
  <si>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</si>
  <si>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</si>
  <si>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</si>
  <si>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</si>
  <si>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</si>
  <si>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</si>
  <si>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</si>
  <si>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</si>
  <si>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</si>
  <si>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</si>
  <si>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</si>
  <si>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</si>
  <si>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</si>
  <si>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</si>
  <si>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</si>
  <si>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</si>
  <si>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</si>
  <si>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</si>
  <si>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</si>
  <si>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</si>
  <si>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</si>
  <si>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</si>
  <si>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</si>
  <si>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</si>
  <si>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</si>
  <si>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</si>
  <si>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</si>
  <si>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</si>
  <si>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</si>
  <si>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</si>
  <si>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</si>
  <si>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</si>
  <si>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</si>
  <si>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</si>
  <si>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</si>
  <si>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</si>
  <si>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</si>
  <si>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</si>
  <si>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</si>
  <si>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</si>
  <si>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</si>
  <si>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</si>
  <si>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</si>
  <si>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</si>
  <si>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</si>
  <si>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</si>
  <si>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</si>
  <si>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</si>
  <si>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</si>
  <si>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</si>
  <si>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</si>
  <si>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</si>
  <si>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</si>
  <si>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</si>
  <si>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</si>
  <si>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</si>
  <si>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</si>
  <si>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</si>
  <si>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</si>
  <si>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</si>
  <si>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</si>
  <si>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</si>
  <si>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</si>
  <si>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</si>
  <si>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</si>
  <si>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</si>
  <si>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</si>
  <si>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</si>
  <si>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</si>
  <si>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</si>
  <si>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</si>
  <si>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</si>
  <si>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</si>
  <si>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</si>
  <si>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</si>
  <si>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</si>
  <si>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</si>
  <si>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</si>
  <si>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</si>
  <si>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</si>
  <si>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</si>
  <si>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</si>
  <si>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</si>
  <si>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</si>
  <si>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</si>
  <si>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</si>
  <si>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</si>
  <si>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</si>
  <si>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</si>
  <si>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</si>
  <si>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</si>
  <si>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</si>
  <si>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</si>
  <si>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</si>
  <si>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</si>
  <si>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</si>
  <si>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</si>
  <si>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</si>
  <si>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</si>
  <si>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</si>
  <si>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</si>
  <si>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</si>
  <si>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</si>
  <si>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</si>
  <si>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</si>
  <si>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</si>
  <si>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</si>
  <si>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</si>
  <si>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</si>
  <si>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</si>
  <si>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</si>
  <si>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</si>
  <si>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</si>
  <si>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</si>
  <si>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</si>
  <si>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</si>
  <si>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</si>
  <si>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</si>
  <si>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</si>
  <si>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</si>
  <si>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</si>
  <si>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</si>
  <si>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</si>
  <si>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</si>
  <si>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</si>
  <si>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</si>
  <si>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</si>
  <si>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</si>
  <si>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</si>
  <si>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</si>
  <si>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</si>
  <si>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</si>
  <si>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</si>
  <si>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</si>
  <si>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</si>
  <si>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</si>
  <si>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</si>
  <si>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</si>
  <si>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</si>
  <si>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</si>
  <si>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</si>
  <si>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</si>
  <si>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</si>
  <si>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</si>
  <si>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</si>
  <si>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</si>
  <si>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</si>
  <si>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</si>
  <si>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</si>
  <si>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</si>
  <si>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</si>
  <si>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</si>
  <si>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</si>
  <si>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</si>
  <si>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</si>
  <si>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</si>
  <si>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</si>
  <si>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</si>
  <si>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</si>
  <si>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</si>
  <si>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</si>
  <si>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</si>
  <si>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</si>
  <si>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</si>
  <si>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</si>
  <si>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</si>
  <si>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</si>
  <si>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</si>
  <si>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</si>
  <si>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</si>
  <si>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</si>
  <si>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</si>
  <si>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</si>
  <si>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</si>
  <si>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</si>
  <si>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</si>
  <si>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</si>
  <si>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</si>
  <si>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</si>
  <si>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</si>
  <si>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</si>
  <si>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</si>
  <si>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</si>
  <si>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</si>
  <si>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</si>
  <si>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</si>
  <si>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</si>
  <si>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</si>
  <si>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</si>
  <si>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</si>
  <si>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</si>
  <si>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</si>
  <si>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</si>
  <si>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</si>
  <si>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</si>
  <si>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</si>
  <si>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</si>
  <si>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</si>
  <si>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</si>
  <si>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</si>
  <si>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</si>
  <si>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</si>
  <si>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</si>
  <si>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</si>
  <si>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</si>
  <si>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</si>
  <si>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</si>
  <si>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</si>
  <si>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</si>
  <si>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</si>
  <si>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</si>
  <si>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</si>
  <si>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</si>
  <si>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</si>
  <si>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</si>
  <si>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</si>
  <si>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</si>
  <si>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</si>
  <si>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</si>
  <si>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</si>
  <si>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</si>
  <si>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</si>
  <si>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</si>
  <si>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</si>
  <si>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</si>
  <si>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</si>
  <si>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</si>
  <si>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</si>
  <si>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</si>
  <si>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</si>
  <si>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</si>
  <si>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</si>
  <si>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</si>
  <si>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</si>
  <si>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</si>
  <si>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</si>
  <si>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</si>
  <si>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</si>
  <si>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</si>
  <si>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</si>
  <si>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</si>
  <si>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</si>
  <si>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</si>
  <si>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</si>
  <si>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</si>
  <si>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</si>
  <si>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</si>
  <si>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</si>
  <si>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</si>
  <si>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</si>
  <si>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</si>
  <si>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</si>
  <si>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</si>
  <si>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</si>
  <si>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</si>
  <si>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</si>
  <si>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</si>
  <si>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</si>
  <si>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</si>
  <si>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</si>
  <si>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</si>
  <si>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</si>
  <si>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</si>
  <si>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</si>
  <si>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</si>
  <si>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</si>
  <si>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</si>
  <si>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</si>
  <si>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</si>
  <si>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</si>
  <si>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</si>
  <si>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</si>
  <si>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</si>
  <si>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</si>
  <si>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</si>
  <si>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</si>
  <si>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</si>
  <si>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</si>
  <si>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</si>
  <si>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</si>
  <si>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</si>
  <si>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</si>
  <si>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</si>
  <si>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</si>
  <si>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</si>
  <si>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</si>
  <si>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</si>
  <si>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</si>
  <si>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</si>
  <si>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</si>
  <si>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</si>
  <si>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</si>
  <si>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</si>
  <si>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</si>
  <si>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</si>
  <si>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</si>
  <si>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</si>
  <si>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</si>
  <si>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</si>
  <si>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</si>
  <si>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</si>
  <si>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</si>
  <si>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</si>
  <si>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</si>
  <si>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</si>
  <si>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</si>
  <si>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</si>
  <si>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</si>
  <si>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</si>
  <si>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</si>
  <si>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</si>
  <si>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</si>
  <si>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</si>
  <si>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</si>
  <si>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</si>
  <si>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</si>
  <si>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</si>
  <si>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</si>
  <si>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</si>
  <si>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</si>
  <si>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</si>
  <si>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</si>
  <si>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</si>
  <si>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</si>
  <si>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</si>
  <si>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</si>
  <si>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</si>
  <si>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</si>
  <si>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</si>
  <si>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</si>
  <si>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</si>
  <si>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</si>
  <si>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</si>
  <si>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</si>
  <si>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</si>
  <si>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</si>
  <si>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</si>
  <si>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</si>
  <si>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</si>
  <si>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</si>
  <si>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</si>
  <si>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</si>
  <si>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</si>
  <si>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</si>
  <si>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</si>
  <si>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</si>
  <si>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</si>
  <si>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</si>
  <si>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</si>
  <si>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</si>
  <si>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</si>
  <si>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</si>
  <si>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</si>
  <si>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</si>
  <si>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</si>
  <si>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</si>
  <si>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</si>
  <si>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</si>
  <si>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</si>
  <si>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</si>
  <si>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</si>
  <si>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</si>
  <si>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</si>
  <si>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</si>
  <si>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</si>
  <si>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</si>
  <si>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</si>
  <si>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</si>
  <si>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</si>
  <si>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</si>
  <si>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</si>
  <si>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</si>
  <si>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</si>
  <si>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</si>
  <si>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</si>
  <si>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</si>
  <si>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</si>
  <si>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</si>
  <si>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</si>
  <si>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</si>
  <si>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</si>
  <si>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</si>
  <si>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</si>
  <si>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</si>
  <si>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</si>
  <si>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</si>
  <si>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</si>
  <si>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</si>
  <si>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</si>
  <si>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</si>
  <si>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</si>
  <si>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</si>
  <si>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</si>
  <si>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</si>
  <si>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</si>
  <si>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</si>
  <si>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</si>
  <si>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</si>
  <si>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</si>
  <si>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</si>
  <si>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</si>
  <si>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</si>
  <si>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</si>
  <si>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</si>
  <si>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</si>
  <si>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</si>
  <si>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</si>
  <si>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</si>
  <si>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</si>
  <si>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</si>
  <si>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</si>
  <si>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</si>
  <si>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</si>
  <si>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</si>
  <si>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</si>
  <si>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</si>
  <si>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</si>
  <si>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</si>
  <si>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</si>
  <si>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</si>
  <si>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</si>
  <si>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</si>
  <si>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</si>
  <si>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</si>
  <si>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</si>
  <si>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</si>
  <si>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</si>
  <si>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</si>
  <si>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</si>
  <si>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</si>
  <si>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</si>
  <si>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</si>
  <si>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</si>
  <si>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</si>
  <si>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</si>
  <si>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</si>
  <si>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</si>
  <si>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</si>
  <si>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</si>
  <si>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</si>
  <si>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</si>
  <si>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</si>
  <si>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</si>
  <si>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</si>
  <si>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</si>
  <si>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</si>
  <si>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</si>
  <si>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</si>
  <si>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</si>
  <si>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</si>
  <si>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</si>
  <si>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</si>
  <si>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</si>
  <si>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</si>
  <si>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</si>
  <si>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</si>
  <si>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</si>
  <si>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</si>
  <si>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</si>
  <si>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</si>
  <si>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</si>
  <si>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</si>
  <si>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</si>
  <si>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</si>
  <si>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</si>
  <si>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</si>
  <si>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</si>
  <si>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</si>
  <si>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</si>
  <si>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</si>
  <si>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</si>
  <si>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</si>
  <si>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</si>
  <si>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</si>
  <si>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</si>
  <si>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</si>
  <si>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</si>
  <si>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</si>
  <si>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</si>
  <si>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</si>
  <si>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</si>
  <si>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</si>
  <si>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</si>
  <si>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</si>
  <si>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</si>
  <si>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</si>
  <si>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</si>
  <si>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</si>
  <si>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</si>
  <si>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</si>
  <si>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</si>
  <si>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</si>
  <si>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</si>
  <si>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</si>
  <si>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</si>
  <si>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</si>
  <si>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</si>
  <si>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</si>
  <si>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</si>
  <si>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</si>
  <si>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</si>
  <si>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</si>
  <si>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</si>
  <si>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</si>
  <si>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</si>
  <si>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</si>
  <si>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</si>
  <si>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</si>
  <si>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</si>
  <si>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</si>
  <si>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</si>
  <si>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</si>
  <si>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</si>
  <si>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</si>
  <si>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</si>
  <si>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</si>
  <si>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</si>
  <si>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</si>
  <si>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</si>
  <si>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</si>
  <si>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</si>
  <si>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</si>
  <si>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</si>
  <si>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</si>
  <si>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</si>
  <si>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</si>
  <si>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</si>
  <si>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</si>
  <si>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</si>
  <si>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</si>
  <si>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</si>
  <si>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</si>
  <si>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</si>
  <si>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</si>
  <si>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</si>
  <si>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</si>
  <si>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</si>
  <si>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</si>
  <si>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</si>
  <si>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</si>
  <si>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</si>
  <si>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</si>
  <si>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</si>
  <si>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</si>
  <si>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</si>
  <si>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</si>
  <si>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</si>
  <si>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</si>
  <si>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</si>
  <si>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</si>
  <si>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</si>
  <si>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</si>
  <si>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</si>
  <si>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</si>
  <si>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</si>
  <si>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</si>
  <si>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</si>
  <si>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</si>
  <si>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</si>
  <si>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</si>
  <si>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</si>
  <si>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</si>
  <si>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</si>
  <si>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</si>
  <si>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</si>
  <si>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</si>
  <si>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</si>
  <si>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</si>
  <si>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</si>
  <si>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</si>
  <si>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</si>
  <si>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</si>
  <si>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</si>
  <si>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</si>
  <si>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</si>
  <si>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</si>
  <si>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</si>
  <si>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</si>
  <si>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</si>
  <si>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</si>
  <si>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</si>
  <si>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</si>
  <si>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</si>
  <si>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</si>
  <si>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</si>
  <si>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</si>
  <si>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</si>
  <si>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</si>
  <si>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</si>
  <si>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</si>
  <si>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</si>
  <si>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</si>
  <si>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</si>
  <si>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</si>
  <si>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</si>
  <si>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</si>
  <si>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</si>
  <si>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</si>
  <si>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</si>
  <si>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</si>
  <si>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</si>
  <si>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</si>
  <si>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</si>
  <si>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</si>
  <si>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</si>
  <si>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</si>
  <si>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</si>
  <si>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</si>
  <si>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</si>
  <si>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</si>
  <si>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</si>
  <si>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</si>
  <si>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</si>
  <si>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</si>
  <si>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</si>
  <si>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</si>
  <si>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</si>
  <si>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</si>
  <si>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</si>
  <si>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</si>
  <si>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</si>
  <si>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</si>
  <si>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</si>
  <si>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</si>
  <si>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</si>
  <si>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</si>
  <si>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</si>
  <si>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</si>
  <si>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</si>
  <si>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</si>
  <si>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</si>
  <si>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</si>
  <si>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</si>
  <si>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</si>
  <si>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</si>
  <si>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</si>
  <si>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</si>
  <si>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</si>
  <si>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</si>
  <si>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</si>
  <si>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</si>
  <si>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</si>
  <si>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</si>
  <si>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</si>
  <si>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</si>
  <si>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</si>
  <si>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</si>
  <si>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</si>
  <si>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</si>
  <si>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</si>
  <si>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</si>
  <si>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</si>
  <si>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</si>
  <si>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</si>
  <si>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</si>
  <si>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</si>
  <si>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</si>
  <si>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</si>
  <si>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</si>
  <si>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</si>
  <si>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</si>
  <si>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</si>
  <si>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</si>
  <si>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</si>
  <si>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</si>
  <si>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</si>
  <si>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</si>
  <si>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</si>
  <si>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</si>
  <si>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</si>
  <si>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</si>
  <si>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</si>
  <si>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</si>
  <si>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</si>
  <si>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</si>
  <si>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</si>
  <si>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</si>
  <si>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</si>
  <si>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</si>
  <si>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</si>
  <si>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</si>
  <si>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</si>
  <si>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</si>
  <si>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</si>
  <si>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</si>
  <si>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</si>
  <si>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</si>
  <si>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</si>
  <si>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</si>
  <si>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</si>
  <si>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</si>
  <si>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</si>
  <si>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</si>
  <si>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</si>
  <si>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</si>
  <si>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</si>
  <si>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</si>
  <si>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</si>
  <si>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</si>
  <si>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</si>
  <si>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</si>
  <si>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</si>
  <si>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</si>
  <si>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</si>
  <si>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</si>
  <si>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</si>
  <si>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</si>
  <si>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</si>
  <si>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</si>
  <si>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</si>
  <si>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</si>
  <si>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</si>
  <si>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</si>
  <si>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</si>
  <si>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</si>
  <si>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</si>
  <si>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</si>
  <si>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</si>
  <si>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</si>
  <si>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</si>
  <si>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</si>
  <si>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</si>
  <si>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</si>
  <si>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</si>
  <si>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</si>
  <si>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</si>
  <si>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</si>
  <si>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</si>
  <si>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</si>
  <si>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</si>
  <si>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</si>
  <si>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</si>
  <si>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</si>
  <si>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</si>
  <si>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</si>
  <si>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</si>
  <si>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</si>
  <si>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</si>
  <si>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</si>
  <si>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</si>
  <si>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</si>
  <si>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</si>
  <si>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</si>
  <si>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</si>
  <si>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</si>
  <si>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</si>
  <si>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</si>
  <si>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</si>
  <si>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</si>
  <si>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</si>
  <si>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</si>
  <si>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</si>
  <si>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</si>
  <si>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</si>
  <si>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</si>
  <si>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</si>
  <si>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</si>
  <si>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</si>
  <si>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</si>
  <si>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</si>
  <si>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</si>
  <si>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</si>
  <si>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</si>
  <si>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</si>
  <si>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</si>
  <si>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</si>
  <si>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</si>
  <si>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</si>
  <si>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</si>
  <si>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</si>
  <si>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</si>
  <si>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</si>
  <si>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</si>
  <si>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</si>
  <si>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</si>
  <si>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</si>
  <si>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</si>
  <si>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</si>
  <si>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</si>
  <si>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</si>
  <si>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</si>
  <si>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</si>
  <si>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</si>
  <si>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</si>
  <si>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</si>
  <si>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</si>
  <si>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</si>
  <si>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</si>
  <si>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</si>
  <si>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</si>
  <si>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</si>
  <si>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</si>
  <si>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</si>
  <si>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</si>
  <si>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</si>
  <si>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</si>
  <si>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</si>
  <si>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</si>
  <si>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</si>
  <si>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</si>
  <si>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</si>
  <si>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</si>
  <si>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</si>
  <si>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</si>
  <si>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</si>
  <si>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</si>
  <si>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</si>
  <si>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</si>
  <si>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</si>
  <si>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</si>
  <si>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</si>
  <si>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</si>
  <si>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</si>
  <si>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</si>
  <si>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</si>
  <si>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</si>
  <si>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</si>
  <si>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</si>
  <si>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</si>
  <si>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</si>
  <si>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</si>
  <si>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</si>
  <si>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</si>
  <si>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</si>
  <si>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</si>
  <si>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</si>
  <si>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</si>
  <si>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</si>
  <si>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</si>
  <si>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</si>
  <si>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</si>
  <si>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</si>
  <si>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</si>
  <si>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</si>
  <si>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</si>
  <si>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</si>
  <si>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</si>
  <si>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</si>
  <si>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</si>
  <si>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</si>
  <si>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</si>
  <si>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</si>
  <si>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</si>
  <si>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</si>
  <si>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</si>
  <si>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</si>
  <si>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</si>
  <si>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</si>
  <si>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</si>
  <si>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</si>
  <si>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</si>
  <si>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</si>
  <si>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</si>
  <si>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</si>
  <si>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</si>
  <si>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</si>
  <si>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</si>
  <si>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</si>
  <si>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</si>
  <si>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</si>
  <si>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</si>
  <si>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</si>
  <si>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</si>
  <si>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</si>
  <si>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</si>
  <si>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</si>
  <si>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</si>
  <si>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</si>
  <si>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</si>
  <si>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</si>
  <si>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</si>
  <si>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</si>
  <si>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</si>
  <si>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</si>
  <si>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</si>
  <si>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</si>
  <si>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</si>
  <si>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</si>
  <si>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</si>
  <si>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</si>
  <si>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</si>
  <si>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</si>
  <si>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</si>
  <si>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</si>
  <si>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</si>
  <si>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</si>
  <si>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</si>
  <si>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</si>
  <si>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</si>
  <si>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</si>
  <si>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</si>
  <si>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</si>
  <si>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</si>
  <si>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</si>
  <si>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</si>
  <si>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</si>
  <si>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</si>
  <si>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</si>
  <si>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</si>
  <si>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</si>
  <si>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</si>
  <si>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</si>
  <si>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</si>
  <si>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</si>
  <si>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</si>
  <si>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</si>
  <si>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</si>
  <si>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</si>
  <si>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</si>
  <si>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</si>
  <si>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</si>
  <si>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</si>
  <si>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</si>
  <si>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</si>
  <si>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</si>
  <si>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</si>
  <si>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</si>
  <si>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</si>
  <si>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</si>
  <si>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</si>
  <si>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</si>
  <si>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</si>
  <si>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</si>
  <si>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</si>
  <si>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</si>
  <si>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</si>
  <si>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</si>
  <si>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</si>
  <si>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</si>
  <si>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</si>
  <si>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</si>
  <si>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</si>
  <si>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</si>
  <si>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</si>
  <si>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</si>
  <si>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</si>
  <si>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</si>
  <si>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</si>
  <si>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</si>
  <si>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</si>
  <si>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</si>
  <si>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</si>
  <si>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</si>
  <si>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</si>
  <si>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</si>
  <si>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</si>
  <si>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</si>
  <si>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</si>
  <si>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</si>
  <si>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</si>
  <si>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</si>
  <si>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</si>
  <si>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</si>
  <si>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</si>
  <si>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</si>
  <si>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</si>
  <si>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</si>
  <si>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</si>
  <si>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</si>
  <si>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</si>
  <si>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</si>
  <si>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</si>
  <si>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</si>
  <si>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</si>
  <si>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</si>
  <si>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</si>
  <si>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</si>
  <si>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</si>
  <si>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</si>
  <si>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</si>
  <si>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</si>
  <si>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</si>
  <si>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</si>
  <si>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</si>
  <si>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</si>
  <si>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</si>
  <si>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</si>
  <si>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</si>
  <si>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</si>
  <si>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</si>
  <si>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</si>
  <si>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</si>
  <si>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</si>
  <si>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</si>
  <si>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</si>
  <si>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</si>
  <si>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</si>
  <si>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</si>
  <si>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</si>
  <si>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</si>
  <si>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</si>
  <si>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</si>
  <si>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</si>
  <si>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</si>
  <si>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</si>
  <si>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</si>
  <si>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</si>
  <si>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</si>
  <si>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</si>
  <si>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</si>
  <si>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</si>
  <si>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</si>
  <si>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</si>
  <si>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</si>
  <si>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</si>
  <si>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</si>
  <si>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</si>
  <si>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</si>
  <si>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</si>
  <si>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</si>
  <si>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</si>
  <si>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</si>
  <si>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</si>
  <si>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</si>
  <si>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</si>
  <si>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</si>
  <si>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</si>
  <si>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</si>
  <si>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</si>
  <si>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</si>
  <si>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</si>
  <si>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</si>
  <si>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</si>
  <si>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</si>
  <si>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</si>
  <si>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</si>
  <si>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</si>
  <si>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</si>
  <si>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</si>
  <si>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</si>
  <si>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</si>
  <si>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</si>
  <si>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</si>
  <si>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</si>
  <si>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</si>
  <si>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</si>
  <si>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</si>
  <si>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</si>
  <si>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</si>
  <si>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</si>
  <si>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</si>
  <si>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</si>
  <si>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</si>
  <si>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</si>
  <si>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</si>
  <si>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</si>
  <si>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</si>
  <si>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</si>
  <si>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</si>
  <si>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</si>
  <si>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</si>
  <si>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</si>
  <si>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</si>
  <si>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</si>
  <si>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</si>
  <si>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</si>
  <si>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</si>
  <si>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</si>
  <si>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</si>
  <si>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</si>
  <si>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</si>
  <si>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</si>
  <si>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</si>
  <si>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</si>
  <si>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</si>
  <si>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</si>
  <si>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</si>
  <si>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</si>
  <si>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</si>
  <si>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</si>
  <si>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</si>
  <si>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</si>
  <si>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</si>
  <si>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</si>
  <si>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</si>
  <si>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</si>
  <si>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</si>
  <si>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</si>
  <si>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</si>
  <si>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</si>
  <si>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</si>
  <si>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</si>
  <si>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</si>
  <si>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</si>
  <si>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</si>
  <si>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</si>
  <si>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</si>
  <si>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</si>
  <si>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</si>
  <si>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</si>
  <si>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</si>
  <si>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</si>
  <si>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</si>
  <si>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</si>
  <si>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</si>
  <si>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</si>
  <si>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</si>
  <si>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</si>
  <si>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</si>
  <si>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</si>
  <si>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</si>
  <si>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</si>
  <si>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</si>
  <si>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</si>
  <si>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</si>
  <si>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</si>
  <si>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</si>
  <si>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</si>
  <si>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</si>
  <si>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</si>
  <si>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</si>
  <si>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</si>
  <si>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</si>
  <si>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</si>
  <si>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</si>
  <si>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</si>
  <si>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</si>
  <si>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</si>
  <si>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</si>
  <si>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</si>
  <si>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</si>
  <si>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</si>
  <si>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</si>
  <si>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</si>
  <si>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</si>
  <si>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</si>
  <si>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</si>
  <si>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</si>
  <si>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</si>
  <si>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</si>
  <si>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</si>
  <si>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</si>
  <si>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</si>
  <si>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</si>
  <si>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</si>
  <si>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</si>
  <si>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</si>
  <si>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</si>
  <si>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</si>
  <si>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</si>
  <si>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</si>
  <si>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</si>
  <si>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</si>
  <si>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</si>
  <si>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</si>
  <si>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</si>
  <si>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</si>
  <si>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</si>
  <si>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</si>
  <si>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</si>
  <si>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</si>
  <si>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</si>
  <si>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</si>
  <si>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</si>
  <si>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</si>
  <si>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</si>
  <si>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</si>
  <si>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</si>
  <si>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</si>
  <si>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</si>
  <si>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</si>
  <si>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</si>
  <si>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</si>
  <si>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</si>
  <si>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</si>
  <si>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</si>
  <si>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</si>
  <si>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</si>
  <si>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</si>
  <si>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</si>
  <si>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</si>
  <si>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</si>
  <si>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</si>
  <si>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</si>
  <si>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</si>
  <si>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</si>
  <si>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</si>
  <si>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</si>
  <si>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</si>
  <si>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</si>
  <si>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</si>
  <si>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</si>
  <si>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</si>
  <si>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</si>
  <si>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</si>
  <si>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</si>
  <si>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</si>
  <si>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</si>
  <si>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</si>
  <si>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</si>
  <si>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</si>
  <si>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</si>
  <si>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</si>
  <si>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</si>
  <si>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</si>
  <si>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</si>
  <si>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</si>
  <si>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</si>
  <si>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</si>
  <si>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</si>
  <si>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</si>
  <si>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</si>
  <si>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</si>
  <si>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</si>
  <si>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</si>
  <si>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</si>
  <si>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</si>
  <si>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</si>
  <si>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</si>
  <si>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</si>
  <si>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</si>
  <si>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</si>
  <si>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</si>
  <si>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</si>
  <si>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</si>
  <si>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</si>
  <si>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</si>
  <si>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</si>
  <si>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</si>
  <si>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</si>
  <si>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</si>
  <si>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</si>
  <si>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</si>
  <si>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</si>
  <si>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</si>
  <si>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</si>
  <si>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</si>
  <si>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</si>
  <si>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</si>
  <si>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</si>
  <si>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</si>
  <si>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</si>
  <si>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</si>
  <si>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</si>
  <si>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</si>
  <si>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</si>
  <si>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</si>
  <si>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</si>
  <si>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</si>
  <si>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</si>
  <si>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</si>
  <si>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</si>
  <si>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</si>
  <si>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</si>
  <si>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</si>
  <si>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</si>
  <si>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</si>
  <si>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</si>
  <si>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</si>
  <si>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</si>
  <si>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</si>
  <si>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</si>
  <si>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</si>
  <si>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</si>
  <si>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</si>
  <si>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</si>
  <si>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</si>
  <si>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</si>
  <si>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</si>
  <si>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</si>
  <si>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</si>
  <si>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</si>
  <si>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</si>
  <si>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</si>
  <si>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</si>
  <si>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</si>
  <si>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</si>
  <si>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</si>
  <si>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</si>
  <si>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</si>
  <si>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</si>
  <si>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</si>
  <si>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</si>
  <si>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</si>
  <si>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</si>
  <si>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</si>
  <si>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</si>
  <si>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</si>
  <si>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</si>
  <si>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</si>
  <si>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</si>
  <si>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</si>
  <si>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</si>
  <si>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</si>
  <si>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</si>
  <si>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</si>
  <si>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</si>
  <si>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</si>
  <si>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</si>
  <si>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</si>
  <si>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</si>
  <si>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</si>
  <si>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</si>
  <si>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</si>
  <si>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</si>
  <si>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</si>
  <si>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</si>
  <si>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</si>
  <si>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</si>
  <si>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</si>
  <si>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</si>
  <si>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</si>
  <si>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</si>
  <si>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</si>
  <si>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</si>
  <si>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</si>
  <si>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</si>
  <si>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</si>
  <si>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</si>
  <si>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</si>
  <si>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</si>
  <si>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</si>
  <si>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</si>
  <si>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</si>
  <si>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</si>
  <si>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</si>
  <si>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</si>
  <si>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</si>
  <si>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</si>
  <si>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</si>
  <si>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</si>
  <si>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</si>
  <si>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</si>
  <si>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</si>
  <si>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</si>
  <si>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</si>
  <si>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</si>
  <si>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</si>
  <si>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</si>
  <si>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</si>
  <si>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</si>
  <si>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</si>
  <si>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</si>
  <si>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</si>
  <si>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</si>
  <si>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</si>
  <si>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</si>
  <si>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</si>
  <si>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</si>
  <si>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</si>
  <si>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</si>
  <si>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</si>
  <si>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</si>
  <si>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</si>
  <si>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</si>
  <si>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</si>
  <si>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</si>
  <si>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</si>
  <si>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</si>
  <si>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</si>
  <si>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</si>
  <si>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</si>
  <si>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</si>
  <si>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</si>
  <si>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</si>
  <si>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</si>
  <si>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</si>
  <si>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</si>
  <si>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</si>
  <si>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</si>
  <si>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</si>
  <si>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</si>
  <si>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</si>
  <si>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</si>
  <si>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</si>
  <si>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</si>
  <si>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</si>
  <si>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</si>
  <si>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</si>
  <si>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</si>
  <si>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</si>
  <si>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</si>
  <si>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</si>
  <si>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</si>
  <si>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</si>
  <si>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</si>
  <si>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</si>
  <si>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</si>
  <si>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</si>
  <si>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</si>
  <si>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</si>
  <si>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</si>
  <si>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</si>
  <si>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</si>
  <si>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</si>
  <si>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</si>
  <si>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</si>
  <si>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</si>
  <si>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</si>
  <si>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</si>
  <si>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</si>
  <si>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</si>
  <si>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</si>
  <si>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</si>
  <si>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</si>
  <si>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</si>
  <si>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</si>
  <si>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</si>
  <si>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</si>
  <si>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</si>
  <si>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</si>
  <si>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</si>
  <si>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</si>
  <si>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</si>
  <si>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</si>
  <si>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</si>
  <si>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</si>
  <si>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</si>
  <si>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</si>
  <si>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</si>
  <si>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</si>
  <si>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</si>
  <si>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</si>
  <si>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</si>
  <si>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</si>
  <si>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</si>
  <si>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</si>
  <si>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</si>
  <si>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</si>
  <si>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</si>
  <si>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</si>
  <si>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</si>
  <si>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</si>
  <si>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</si>
  <si>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</si>
  <si>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</si>
  <si>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</si>
  <si>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</si>
  <si>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</si>
  <si>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</si>
  <si>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</si>
  <si>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</si>
  <si>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</si>
  <si>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</si>
  <si>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</si>
  <si>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</si>
  <si>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</si>
  <si>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</si>
  <si>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</si>
  <si>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</si>
  <si>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</si>
  <si>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</si>
  <si>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</si>
  <si>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</si>
  <si>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</si>
  <si>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</si>
  <si>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</si>
  <si>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</si>
  <si>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</si>
  <si>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</si>
  <si>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</si>
  <si>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</si>
  <si>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</si>
  <si>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</si>
  <si>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</si>
  <si>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</si>
  <si>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</si>
  <si>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</si>
  <si>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</si>
  <si>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</si>
  <si>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</si>
  <si>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</si>
  <si>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</si>
  <si>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</si>
  <si>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</si>
  <si>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</si>
  <si>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</si>
  <si>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</si>
  <si>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</si>
  <si>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</si>
  <si>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</si>
  <si>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</si>
  <si>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</si>
  <si>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</si>
  <si>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</si>
  <si>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</si>
  <si>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</si>
  <si>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</si>
  <si>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</si>
  <si>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</si>
  <si>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</si>
  <si>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</si>
  <si>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</si>
  <si>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</si>
  <si>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</si>
  <si>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</si>
  <si>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</si>
  <si>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</si>
  <si>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</si>
  <si>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</si>
  <si>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</si>
  <si>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</si>
  <si>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</si>
  <si>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</si>
  <si>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</si>
  <si>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</si>
  <si>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</si>
  <si>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</si>
  <si>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</si>
  <si>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</si>
  <si>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</si>
  <si>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</si>
  <si>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</si>
  <si>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</si>
  <si>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</si>
  <si>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</si>
  <si>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</si>
  <si>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</si>
  <si>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</si>
  <si>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</si>
  <si>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</si>
  <si>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</si>
  <si>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</si>
  <si>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</si>
  <si>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</si>
  <si>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</si>
  <si>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</si>
  <si>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</si>
  <si>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</si>
  <si>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</si>
  <si>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</si>
  <si>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</si>
  <si>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</si>
  <si>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</si>
  <si>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</si>
  <si>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</si>
  <si>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</si>
  <si>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</si>
  <si>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</si>
  <si>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</si>
  <si>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</si>
  <si>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</si>
  <si>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</si>
  <si>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</si>
  <si>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</si>
  <si>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</si>
  <si>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</si>
  <si>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</si>
  <si>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</si>
  <si>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</si>
  <si>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</si>
  <si>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</si>
  <si>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</si>
  <si>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</si>
  <si>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</si>
  <si>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</si>
  <si>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</si>
  <si>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</si>
  <si>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</si>
  <si>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</si>
  <si>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</si>
  <si>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</si>
  <si>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</si>
  <si>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</si>
  <si>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</si>
  <si>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</si>
  <si>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</si>
  <si>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</si>
  <si>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</si>
  <si>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</si>
  <si>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</si>
  <si>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</si>
  <si>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</si>
  <si>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</si>
  <si>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</si>
  <si>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</si>
  <si>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</si>
  <si>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</si>
  <si>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</si>
  <si>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</si>
  <si>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</si>
  <si>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</si>
  <si>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</si>
  <si>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</si>
  <si>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</si>
  <si>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</si>
  <si>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</si>
  <si>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</si>
  <si>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</si>
  <si>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</si>
  <si>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</si>
  <si>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</si>
  <si>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</si>
  <si>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</si>
  <si>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</si>
  <si>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</si>
  <si>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</si>
  <si>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</si>
  <si>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</si>
  <si>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</si>
  <si>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</si>
  <si>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</si>
  <si>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</si>
  <si>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</si>
  <si>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</si>
  <si>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</si>
  <si>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</si>
  <si>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</si>
  <si>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</si>
  <si>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</si>
  <si>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</si>
  <si>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</si>
  <si>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</si>
  <si>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</si>
  <si>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</si>
  <si>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</si>
  <si>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</si>
  <si>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</si>
  <si>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</si>
  <si>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</si>
  <si>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</si>
  <si>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</si>
  <si>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</si>
  <si>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</si>
  <si>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</si>
  <si>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</si>
  <si>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</si>
  <si>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</si>
  <si>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</si>
  <si>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</si>
  <si>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</si>
  <si>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</si>
  <si>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</si>
  <si>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</si>
  <si>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</si>
  <si>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</si>
  <si>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</si>
  <si>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</si>
  <si>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</si>
  <si>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</si>
  <si>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</si>
  <si>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</si>
  <si>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</si>
  <si>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</si>
  <si>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</si>
  <si>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</si>
  <si>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</si>
  <si>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</si>
  <si>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</si>
  <si>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</si>
  <si>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</si>
  <si>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</si>
  <si>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</si>
  <si>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</si>
  <si>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</si>
  <si>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</si>
  <si>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</si>
  <si>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</si>
  <si>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</si>
  <si>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</si>
  <si>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</si>
  <si>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</si>
  <si>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</si>
  <si>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</si>
  <si>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</si>
  <si>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</si>
  <si>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</si>
  <si>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</si>
  <si>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</si>
  <si>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</si>
  <si>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</si>
  <si>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</si>
  <si>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</si>
  <si>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</si>
  <si>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</si>
  <si>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</si>
  <si>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</si>
  <si>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</si>
  <si>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</si>
  <si>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</si>
  <si>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</si>
  <si>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</si>
  <si>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</si>
  <si>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</si>
  <si>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</si>
  <si>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</si>
  <si>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</si>
  <si>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</si>
  <si>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</si>
  <si>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</si>
  <si>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</si>
  <si>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</si>
  <si>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</si>
  <si>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</si>
  <si>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</si>
  <si>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</si>
  <si>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</si>
  <si>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</si>
  <si>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</si>
  <si>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</si>
  <si>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</si>
  <si>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</si>
  <si>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</si>
  <si>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</si>
  <si>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</si>
  <si>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</si>
  <si>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</si>
  <si>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</si>
  <si>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</si>
  <si>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</si>
  <si>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</si>
  <si>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</si>
  <si>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</si>
  <si>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</si>
  <si>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</si>
  <si>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</si>
  <si>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</si>
  <si>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</si>
  <si>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</si>
  <si>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</si>
  <si>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</si>
  <si>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</si>
  <si>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</si>
  <si>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</si>
  <si>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</si>
  <si>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</si>
  <si>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</si>
  <si>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</si>
  <si>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</si>
  <si>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</si>
  <si>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</si>
  <si>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</si>
  <si>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</si>
  <si>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</si>
  <si>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</si>
  <si>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</si>
  <si>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</si>
  <si>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</si>
  <si>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</si>
  <si>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</si>
  <si>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</si>
  <si>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</si>
  <si>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</si>
  <si>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</si>
  <si>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</si>
  <si>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</si>
  <si>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</si>
  <si>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</si>
  <si>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</si>
  <si>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</si>
  <si>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</si>
  <si>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</si>
  <si>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</si>
  <si>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</si>
  <si>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</si>
  <si>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</si>
  <si>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</si>
  <si>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</si>
  <si>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</si>
  <si>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</si>
  <si>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</si>
  <si>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</si>
  <si>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</si>
  <si>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</si>
  <si>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</si>
  <si>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</si>
  <si>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</si>
  <si>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</si>
  <si>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</si>
  <si>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</si>
  <si>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</si>
  <si>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</si>
  <si>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</si>
  <si>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</si>
  <si>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</si>
  <si>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</si>
  <si>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</si>
  <si>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</si>
  <si>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</si>
  <si>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</si>
  <si>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</si>
  <si>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</si>
  <si>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</si>
  <si>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</si>
  <si>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</si>
  <si>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</si>
  <si>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</si>
  <si>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</si>
  <si>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</si>
  <si>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</si>
  <si>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</si>
  <si>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</si>
  <si>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</si>
  <si>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</si>
  <si>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</si>
  <si>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</si>
  <si>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</si>
  <si>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</si>
  <si>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</si>
  <si>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</si>
  <si>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</si>
  <si>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</si>
  <si>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</si>
  <si>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</si>
  <si>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</si>
  <si>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</si>
  <si>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</si>
  <si>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</si>
  <si>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</si>
  <si>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</si>
  <si>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</si>
  <si>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</si>
  <si>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</si>
  <si>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</si>
  <si>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</si>
  <si>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</si>
  <si>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</si>
  <si>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</si>
  <si>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</si>
  <si>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</si>
  <si>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</si>
  <si>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</si>
  <si>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</si>
  <si>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</si>
  <si>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</si>
  <si>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</si>
  <si>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</si>
  <si>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</si>
  <si>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</si>
  <si>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</si>
  <si>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</si>
  <si>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</si>
  <si>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</si>
  <si>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</si>
  <si>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Kolom1</t>
  </si>
  <si>
    <t>=DEEL(A1;4;LENGTE(A1)-3)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</si>
</sst>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</cellXfs>
  <cellStyles count="2">
    <cellStyle name="Hyperlink" xfId="1" builtinId="8"/>
    <cellStyle name="Standaard" xfId="0" builtinId="0"/>
  </cellStyles>
  <dxfs count="72"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3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K2:L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5">
      <pivotArea field="6" type="button" dataOnly="0" labelOnly="1" outline="0" axis="axisRow" fieldPosition="0"/>
    </format>
    <format dxfId="53">
      <pivotArea dataOnly="0" labelOnly="1" fieldPosition="0">
        <references count="1">
          <reference field="6" count="0"/>
        </references>
      </pivotArea>
    </format>
    <format dxfId="51">
      <pivotArea dataOnly="0" labelOnly="1" grandRow="1" outline="0" fieldPosition="0"/>
    </format>
    <format dxfId="28">
      <pivotArea outline="0" collapsedLevelsAreSubtotals="1" fieldPosition="0"/>
    </format>
    <format dxfId="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1"/>
    <tableColumn id="5" xr3:uid="{DF37AD45-FC5C-478A-989D-9143E744CEEA}" name="voornaam" dataDxfId="70">
      <calculatedColumnFormula>VLOOKUP(Tabel2[[#This Row],[nr]],'data hastus'!A:C,3,FALSE)</calculatedColumnFormula>
    </tableColumn>
    <tableColumn id="6" xr3:uid="{4098FAFB-9B09-4A81-8B22-18CC90B5F979}" name="achternaam" dataDxfId="6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8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6"/>
    <tableColumn id="11" xr3:uid="{97ECF1D5-48DC-4487-B3C2-17232CC8E19E}" name="Januari" dataDxfId="65"/>
    <tableColumn id="12" xr3:uid="{7B2FF520-A575-45C0-BB5A-19B87DDB4EA0}" name="Februari" dataDxfId="64"/>
    <tableColumn id="13" xr3:uid="{4E6C30D1-FB72-4AB2-900F-14A3D53F34DE}" name="Maart" dataDxfId="6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2">
      <calculatedColumnFormula>SUM(bron[[#This Row],[Januari]:[December]])</calculatedColumnFormula>
    </tableColumn>
    <tableColumn id="10" xr3:uid="{8D9646BD-38B6-4F4D-9859-B3933369346B}" name="Datum" dataDxfId="6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6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I403" totalsRowShown="0">
  <autoFilter ref="A1:I403" xr:uid="{6E4EA397-83BA-4F1D-890D-B07039C4F892}"/>
  <sortState xmlns:xlrd2="http://schemas.microsoft.com/office/spreadsheetml/2017/richdata2" ref="A2:I403">
    <sortCondition ref="H1:H403"/>
  </sortState>
  <tableColumns count="9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 dataDxfId="1"/>
    <tableColumn id="1" xr3:uid="{2B6F9141-917B-4412-B651-0A9522CB33E8}" name="Kolom1" dataDxfId="0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9">
      <calculatedColumnFormula>YEAR(TODAY()) - YEAR(G2) - (IF(DATE(YEAR(TODAY()), MONTH(G2), DAY(G2)) &gt; TODAY(), 1, 0))</calculatedColumnFormula>
    </tableColumn>
    <tableColumn id="5" xr3:uid="{4C697650-E57C-44EB-9139-9D19E4E44782}" name="aantal schades" dataDxfId="9">
      <calculatedColumnFormula array="1">SUMPRODUCT(--(BRON!$A$2:$A$1197=Table1[[#This Row],[Personeelsnummer]]))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7" priority="5" operator="equal">
      <formula>0</formula>
    </cfRule>
    <cfRule type="cellIs" dxfId="6" priority="7" operator="between">
      <formula>1</formula>
      <formula>4</formula>
    </cfRule>
    <cfRule type="cellIs" dxfId="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" priority="1" operator="equal">
      <formula>0</formula>
    </cfRule>
    <cfRule type="cellIs" dxfId="3" priority="2" operator="between">
      <formula>1</formula>
      <formula>4</formula>
    </cfRule>
    <cfRule type="cellIs" dxfId="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L403"/>
  <sheetViews>
    <sheetView tabSelected="1" zoomScale="90" zoomScaleNormal="90" workbookViewId="0">
      <selection activeCell="D1" sqref="D1:D1048576"/>
    </sheetView>
  </sheetViews>
  <sheetFormatPr defaultRowHeight="15" x14ac:dyDescent="0.25"/>
  <cols>
    <col min="1" max="2" width="14" style="34" customWidth="1"/>
    <col min="3" max="4" width="28" style="36" customWidth="1"/>
    <col min="5" max="6" width="28" style="34" customWidth="1"/>
    <col min="7" max="7" width="28" style="3" customWidth="1"/>
    <col min="8" max="8" width="10.28515625" style="35" bestFit="1" customWidth="1"/>
    <col min="9" max="9" width="15.7109375" bestFit="1" customWidth="1"/>
    <col min="11" max="11" width="11.140625" style="39" bestFit="1" customWidth="1"/>
    <col min="12" max="12" width="24.28515625" style="38" bestFit="1" customWidth="1"/>
    <col min="13" max="21" width="4.5703125" bestFit="1" customWidth="1"/>
    <col min="22" max="49" width="5.5703125" bestFit="1" customWidth="1"/>
    <col min="50" max="50" width="9.5703125" bestFit="1" customWidth="1"/>
  </cols>
  <sheetData>
    <row r="1" spans="1:12" x14ac:dyDescent="0.25">
      <c r="A1" t="s">
        <v>3847</v>
      </c>
      <c r="B1" t="s">
        <v>3848</v>
      </c>
      <c r="C1" s="36" t="s">
        <v>3849</v>
      </c>
      <c r="D1" s="36" t="s">
        <v>4280</v>
      </c>
      <c r="E1" t="s">
        <v>3850</v>
      </c>
      <c r="F1" t="s">
        <v>3851</v>
      </c>
      <c r="G1" t="s">
        <v>3852</v>
      </c>
      <c r="H1" s="35" t="s">
        <v>4274</v>
      </c>
      <c r="I1" s="3" t="s">
        <v>4275</v>
      </c>
    </row>
    <row r="2" spans="1:12" x14ac:dyDescent="0.25">
      <c r="A2" s="34" t="s">
        <v>3438</v>
      </c>
      <c r="B2" s="34" t="s">
        <v>3591</v>
      </c>
      <c r="C2" s="36" t="s">
        <v>4194</v>
      </c>
      <c r="D2" s="36" t="s">
        <v>4281</v>
      </c>
      <c r="E2" s="34" t="s">
        <v>3860</v>
      </c>
      <c r="F2" s="34" t="s">
        <v>3864</v>
      </c>
      <c r="G2" s="3">
        <v>45896.083333333299</v>
      </c>
      <c r="H2" s="35">
        <f ca="1">YEAR(TODAY()) - YEAR(G2) - (IF(DATE(YEAR(TODAY()), MONTH(G2), DAY(G2)) &gt; TODAY(), 1, 0))</f>
        <v>0</v>
      </c>
      <c r="I2" cm="1">
        <f t="array" ref="I2">SUMPRODUCT(--(BRON!$A$2:$A$1197=Table1[[#This Row],[Personeelsnummer]]))</f>
        <v>0</v>
      </c>
      <c r="K2" s="40" t="s">
        <v>3807</v>
      </c>
      <c r="L2" s="38" t="s">
        <v>4278</v>
      </c>
    </row>
    <row r="3" spans="1:12" x14ac:dyDescent="0.25">
      <c r="A3" s="34" t="s">
        <v>1583</v>
      </c>
      <c r="B3" s="34" t="s">
        <v>1582</v>
      </c>
      <c r="C3" s="36" t="s">
        <v>4242</v>
      </c>
      <c r="E3" s="34" t="s">
        <v>3860</v>
      </c>
      <c r="F3" s="34" t="s">
        <v>3863</v>
      </c>
      <c r="G3" s="3">
        <v>45673.041666666701</v>
      </c>
      <c r="H3" s="35">
        <f ca="1">YEAR(TODAY()) - YEAR(G3) - (IF(DATE(YEAR(TODAY()), MONTH(G3), DAY(G3)) &gt; TODAY(), 1, 0))</f>
        <v>0</v>
      </c>
      <c r="I3" cm="1">
        <f t="array" ref="I3">SUMPRODUCT(--(BRON!$A$2:$A$1197=Table1[[#This Row],[Personeelsnummer]]))</f>
        <v>0</v>
      </c>
      <c r="K3" s="41">
        <v>37</v>
      </c>
      <c r="L3" s="38">
        <v>1</v>
      </c>
    </row>
    <row r="4" spans="1:12" x14ac:dyDescent="0.25">
      <c r="A4" s="34" t="s">
        <v>1536</v>
      </c>
      <c r="B4" s="34" t="s">
        <v>1539</v>
      </c>
      <c r="C4" s="36" t="s">
        <v>4243</v>
      </c>
      <c r="E4" s="34" t="s">
        <v>3860</v>
      </c>
      <c r="F4" s="34" t="s">
        <v>3870</v>
      </c>
      <c r="G4" s="3">
        <v>45663.041666666701</v>
      </c>
      <c r="H4" s="35">
        <f ca="1">YEAR(TODAY()) - YEAR(G4) - (IF(DATE(YEAR(TODAY()), MONTH(G4), DAY(G4)) &gt; TODAY(), 1, 0))</f>
        <v>0</v>
      </c>
      <c r="I4" cm="1">
        <f t="array" ref="I4">SUMPRODUCT(--(BRON!$A$2:$A$1197=Table1[[#This Row],[Personeelsnummer]]))</f>
        <v>0</v>
      </c>
      <c r="K4" s="41">
        <v>36</v>
      </c>
      <c r="L4" s="38">
        <v>2</v>
      </c>
    </row>
    <row r="5" spans="1:12" x14ac:dyDescent="0.25">
      <c r="A5" s="34" t="s">
        <v>1770</v>
      </c>
      <c r="B5" s="34" t="s">
        <v>1769</v>
      </c>
      <c r="C5" s="36" t="s">
        <v>4249</v>
      </c>
      <c r="E5" s="34" t="s">
        <v>3860</v>
      </c>
      <c r="F5" s="34" t="s">
        <v>3864</v>
      </c>
      <c r="G5" s="3">
        <v>45783.083333333299</v>
      </c>
      <c r="H5" s="35">
        <f ca="1">YEAR(TODAY()) - YEAR(G5) - (IF(DATE(YEAR(TODAY()), MONTH(G5), DAY(G5)) &gt; TODAY(), 1, 0))</f>
        <v>0</v>
      </c>
      <c r="I5" cm="1">
        <f t="array" ref="I5">SUMPRODUCT(--(BRON!$A$2:$A$1197=Table1[[#This Row],[Personeelsnummer]]))</f>
        <v>0</v>
      </c>
      <c r="K5" s="41">
        <v>34</v>
      </c>
      <c r="L5" s="38">
        <v>2</v>
      </c>
    </row>
    <row r="6" spans="1:12" x14ac:dyDescent="0.25">
      <c r="A6" s="34" t="s">
        <v>2483</v>
      </c>
      <c r="B6" s="34" t="s">
        <v>2482</v>
      </c>
      <c r="C6" s="36" t="s">
        <v>4250</v>
      </c>
      <c r="E6" s="34" t="s">
        <v>3860</v>
      </c>
      <c r="F6" s="34" t="s">
        <v>3871</v>
      </c>
      <c r="G6" s="3">
        <v>45783.083333333299</v>
      </c>
      <c r="H6" s="35">
        <f ca="1">YEAR(TODAY()) - YEAR(G6) - (IF(DATE(YEAR(TODAY()), MONTH(G6), DAY(G6)) &gt; TODAY(), 1, 0))</f>
        <v>0</v>
      </c>
      <c r="I6" cm="1">
        <f t="array" ref="I6">SUMPRODUCT(--(BRON!$A$2:$A$1197=Table1[[#This Row],[Personeelsnummer]]))</f>
        <v>0</v>
      </c>
      <c r="K6" s="41">
        <v>33</v>
      </c>
      <c r="L6" s="38">
        <v>3</v>
      </c>
    </row>
    <row r="7" spans="1:12" x14ac:dyDescent="0.25">
      <c r="A7" s="34" t="s">
        <v>2887</v>
      </c>
      <c r="B7" s="34" t="s">
        <v>2140</v>
      </c>
      <c r="C7" s="36" t="s">
        <v>4251</v>
      </c>
      <c r="E7" s="34" t="s">
        <v>3860</v>
      </c>
      <c r="F7" s="34" t="s">
        <v>3870</v>
      </c>
      <c r="G7" s="3">
        <v>45735.041666666701</v>
      </c>
      <c r="H7" s="35">
        <f ca="1">YEAR(TODAY()) - YEAR(G7) - (IF(DATE(YEAR(TODAY()), MONTH(G7), DAY(G7)) &gt; TODAY(), 1, 0))</f>
        <v>0</v>
      </c>
      <c r="I7" cm="1">
        <f t="array" ref="I7">SUMPRODUCT(--(BRON!$A$2:$A$1197=Table1[[#This Row],[Personeelsnummer]]))</f>
        <v>0</v>
      </c>
      <c r="K7" s="41">
        <v>32</v>
      </c>
      <c r="L7" s="38">
        <v>1</v>
      </c>
    </row>
    <row r="8" spans="1:12" x14ac:dyDescent="0.25">
      <c r="A8" s="34" t="s">
        <v>1911</v>
      </c>
      <c r="B8" s="34" t="s">
        <v>1914</v>
      </c>
      <c r="C8" s="36" t="s">
        <v>4252</v>
      </c>
      <c r="E8" s="34" t="s">
        <v>3860</v>
      </c>
      <c r="F8" s="34" t="s">
        <v>3854</v>
      </c>
      <c r="G8" s="3">
        <v>45749.083333333299</v>
      </c>
      <c r="H8" s="35">
        <f ca="1">YEAR(TODAY()) - YEAR(G8) - (IF(DATE(YEAR(TODAY()), MONTH(G8), DAY(G8)) &gt; TODAY(), 1, 0))</f>
        <v>0</v>
      </c>
      <c r="I8" cm="1">
        <f t="array" ref="I8">SUMPRODUCT(--(BRON!$A$2:$A$1197=Table1[[#This Row],[Personeelsnummer]]))</f>
        <v>0</v>
      </c>
      <c r="K8" s="41">
        <v>30</v>
      </c>
      <c r="L8" s="38">
        <v>1</v>
      </c>
    </row>
    <row r="9" spans="1:12" x14ac:dyDescent="0.25">
      <c r="A9" s="34" t="s">
        <v>2074</v>
      </c>
      <c r="B9" s="34" t="s">
        <v>3588</v>
      </c>
      <c r="C9" s="36" t="s">
        <v>4253</v>
      </c>
      <c r="E9" s="34" t="s">
        <v>3860</v>
      </c>
      <c r="F9" s="34" t="s">
        <v>3863</v>
      </c>
      <c r="G9" s="3">
        <v>45763.083333333299</v>
      </c>
      <c r="H9" s="35">
        <f ca="1">YEAR(TODAY()) - YEAR(G9) - (IF(DATE(YEAR(TODAY()), MONTH(G9), DAY(G9)) &gt; TODAY(), 1, 0))</f>
        <v>0</v>
      </c>
      <c r="I9" cm="1">
        <f t="array" ref="I9">SUMPRODUCT(--(BRON!$A$2:$A$1197=Table1[[#This Row],[Personeelsnummer]]))</f>
        <v>0</v>
      </c>
      <c r="K9" s="41">
        <v>29</v>
      </c>
      <c r="L9" s="38">
        <v>5</v>
      </c>
    </row>
    <row r="10" spans="1:12" x14ac:dyDescent="0.25">
      <c r="A10" s="34" t="s">
        <v>1210</v>
      </c>
      <c r="B10" s="34" t="s">
        <v>1209</v>
      </c>
      <c r="C10" s="36" t="s">
        <v>4254</v>
      </c>
      <c r="E10" s="34" t="s">
        <v>3855</v>
      </c>
      <c r="F10" s="34" t="s">
        <v>3856</v>
      </c>
      <c r="G10" s="3">
        <v>45783.083333333299</v>
      </c>
      <c r="H10" s="35">
        <f ca="1">YEAR(TODAY()) - YEAR(G10) - (IF(DATE(YEAR(TODAY()), MONTH(G10), DAY(G10)) &gt; TODAY(), 1, 0))</f>
        <v>0</v>
      </c>
      <c r="I10" cm="1">
        <f t="array" ref="I10">SUMPRODUCT(--(BRON!$A$2:$A$1197=Table1[[#This Row],[Personeelsnummer]]))</f>
        <v>0</v>
      </c>
      <c r="K10" s="41">
        <v>28</v>
      </c>
      <c r="L10" s="38">
        <v>4</v>
      </c>
    </row>
    <row r="11" spans="1:12" x14ac:dyDescent="0.25">
      <c r="A11" s="34" t="s">
        <v>1440</v>
      </c>
      <c r="B11" s="34" t="s">
        <v>1439</v>
      </c>
      <c r="C11" s="36" t="s">
        <v>4255</v>
      </c>
      <c r="E11" s="34" t="s">
        <v>3860</v>
      </c>
      <c r="F11" s="34" t="s">
        <v>3874</v>
      </c>
      <c r="G11" s="3">
        <v>45798.083333333299</v>
      </c>
      <c r="H11" s="35">
        <f ca="1">YEAR(TODAY()) - YEAR(G11) - (IF(DATE(YEAR(TODAY()), MONTH(G11), DAY(G11)) &gt; TODAY(), 1, 0))</f>
        <v>0</v>
      </c>
      <c r="I11" cm="1">
        <f t="array" ref="I11">SUMPRODUCT(--(BRON!$A$2:$A$1197=Table1[[#This Row],[Personeelsnummer]]))</f>
        <v>0</v>
      </c>
      <c r="K11" s="41">
        <v>27</v>
      </c>
      <c r="L11" s="38">
        <v>3</v>
      </c>
    </row>
    <row r="12" spans="1:12" x14ac:dyDescent="0.25">
      <c r="A12" s="34" t="s">
        <v>1334</v>
      </c>
      <c r="B12" s="34" t="s">
        <v>3206</v>
      </c>
      <c r="C12" s="36" t="s">
        <v>4258</v>
      </c>
      <c r="E12" s="34" t="s">
        <v>3860</v>
      </c>
      <c r="F12" s="34" t="s">
        <v>3854</v>
      </c>
      <c r="G12" s="3">
        <v>45831.083333333299</v>
      </c>
      <c r="H12" s="35">
        <f ca="1">YEAR(TODAY()) - YEAR(G12) - (IF(DATE(YEAR(TODAY()), MONTH(G12), DAY(G12)) &gt; TODAY(), 1, 0))</f>
        <v>0</v>
      </c>
      <c r="I12" cm="1">
        <f t="array" ref="I12">SUMPRODUCT(--(BRON!$A$2:$A$1197=Table1[[#This Row],[Personeelsnummer]]))</f>
        <v>0</v>
      </c>
      <c r="K12" s="41">
        <v>26</v>
      </c>
      <c r="L12" s="38">
        <v>6</v>
      </c>
    </row>
    <row r="13" spans="1:12" x14ac:dyDescent="0.25">
      <c r="A13" s="34" t="s">
        <v>1793</v>
      </c>
      <c r="B13" s="34" t="s">
        <v>1792</v>
      </c>
      <c r="C13" s="36" t="s">
        <v>4259</v>
      </c>
      <c r="E13" s="34" t="s">
        <v>3860</v>
      </c>
      <c r="F13" s="34" t="s">
        <v>3863</v>
      </c>
      <c r="G13" s="3">
        <v>45831.083333333299</v>
      </c>
      <c r="H13" s="35">
        <f ca="1">YEAR(TODAY()) - YEAR(G13) - (IF(DATE(YEAR(TODAY()), MONTH(G13), DAY(G13)) &gt; TODAY(), 1, 0))</f>
        <v>0</v>
      </c>
      <c r="I13" cm="1">
        <f t="array" ref="I13">SUMPRODUCT(--(BRON!$A$2:$A$1197=Table1[[#This Row],[Personeelsnummer]]))</f>
        <v>0</v>
      </c>
      <c r="K13" s="41">
        <v>25</v>
      </c>
      <c r="L13" s="38">
        <v>7</v>
      </c>
    </row>
    <row r="14" spans="1:12" x14ac:dyDescent="0.25">
      <c r="A14" s="34" t="s">
        <v>3388</v>
      </c>
      <c r="B14" s="34" t="s">
        <v>3387</v>
      </c>
      <c r="C14" s="36" t="s">
        <v>4262</v>
      </c>
      <c r="E14" s="34" t="s">
        <v>3860</v>
      </c>
      <c r="F14" s="34" t="s">
        <v>3870</v>
      </c>
      <c r="G14" s="3">
        <v>45831.083333333299</v>
      </c>
      <c r="H14" s="35">
        <f ca="1">YEAR(TODAY()) - YEAR(G14) - (IF(DATE(YEAR(TODAY()), MONTH(G14), DAY(G14)) &gt; TODAY(), 1, 0))</f>
        <v>0</v>
      </c>
      <c r="I14" cm="1">
        <f t="array" ref="I14">SUMPRODUCT(--(BRON!$A$2:$A$1197=Table1[[#This Row],[Personeelsnummer]]))</f>
        <v>0</v>
      </c>
      <c r="K14" s="41">
        <v>24</v>
      </c>
      <c r="L14" s="38">
        <v>5</v>
      </c>
    </row>
    <row r="15" spans="1:12" x14ac:dyDescent="0.25">
      <c r="A15" s="34" t="s">
        <v>2513</v>
      </c>
      <c r="B15" s="34" t="s">
        <v>2512</v>
      </c>
      <c r="C15" s="36" t="s">
        <v>4263</v>
      </c>
      <c r="E15" s="34" t="s">
        <v>3860</v>
      </c>
      <c r="F15" s="34" t="s">
        <v>3881</v>
      </c>
      <c r="G15" s="3">
        <v>45854.083333333299</v>
      </c>
      <c r="H15" s="35">
        <f ca="1">YEAR(TODAY()) - YEAR(G15) - (IF(DATE(YEAR(TODAY()), MONTH(G15), DAY(G15)) &gt; TODAY(), 1, 0))</f>
        <v>0</v>
      </c>
      <c r="I15" cm="1">
        <f t="array" ref="I15">SUMPRODUCT(--(BRON!$A$2:$A$1197=Table1[[#This Row],[Personeelsnummer]]))</f>
        <v>0</v>
      </c>
      <c r="K15" s="41">
        <v>23</v>
      </c>
      <c r="L15" s="38">
        <v>8</v>
      </c>
    </row>
    <row r="16" spans="1:12" x14ac:dyDescent="0.25">
      <c r="A16" s="34" t="s">
        <v>2015</v>
      </c>
      <c r="B16" s="34" t="s">
        <v>2014</v>
      </c>
      <c r="C16" s="36" t="s">
        <v>4264</v>
      </c>
      <c r="E16" s="34" t="s">
        <v>3860</v>
      </c>
      <c r="F16" s="34" t="s">
        <v>3881</v>
      </c>
      <c r="G16" s="3">
        <v>45853.083333333299</v>
      </c>
      <c r="H16" s="35">
        <f ca="1">YEAR(TODAY()) - YEAR(G16) - (IF(DATE(YEAR(TODAY()), MONTH(G16), DAY(G16)) &gt; TODAY(), 1, 0))</f>
        <v>0</v>
      </c>
      <c r="I16" cm="1">
        <f t="array" ref="I16">SUMPRODUCT(--(BRON!$A$2:$A$1197=Table1[[#This Row],[Personeelsnummer]]))</f>
        <v>0</v>
      </c>
      <c r="K16" s="41">
        <v>22</v>
      </c>
      <c r="L16" s="38">
        <v>6</v>
      </c>
    </row>
    <row r="17" spans="1:12" x14ac:dyDescent="0.25">
      <c r="A17" s="34" t="s">
        <v>2972</v>
      </c>
      <c r="B17" s="34" t="s">
        <v>2971</v>
      </c>
      <c r="C17" s="36" t="s">
        <v>4265</v>
      </c>
      <c r="E17" s="34" t="s">
        <v>3860</v>
      </c>
      <c r="F17" s="34" t="s">
        <v>3854</v>
      </c>
      <c r="G17" s="3">
        <v>45860.083333333299</v>
      </c>
      <c r="H17" s="35">
        <f ca="1">YEAR(TODAY()) - YEAR(G17) - (IF(DATE(YEAR(TODAY()), MONTH(G17), DAY(G17)) &gt; TODAY(), 1, 0))</f>
        <v>0</v>
      </c>
      <c r="I17" cm="1">
        <f t="array" ref="I17">SUMPRODUCT(--(BRON!$A$2:$A$1197=Table1[[#This Row],[Personeelsnummer]]))</f>
        <v>0</v>
      </c>
      <c r="K17" s="41">
        <v>21</v>
      </c>
      <c r="L17" s="38">
        <v>6</v>
      </c>
    </row>
    <row r="18" spans="1:12" x14ac:dyDescent="0.25">
      <c r="A18" s="34" t="s">
        <v>3585</v>
      </c>
      <c r="B18" s="34" t="s">
        <v>3584</v>
      </c>
      <c r="C18" s="36" t="s">
        <v>4266</v>
      </c>
      <c r="E18" s="34" t="s">
        <v>3860</v>
      </c>
      <c r="F18" s="34" t="s">
        <v>3864</v>
      </c>
      <c r="G18" s="3">
        <v>45889.083333333299</v>
      </c>
      <c r="H18" s="35">
        <f ca="1">YEAR(TODAY()) - YEAR(G18) - (IF(DATE(YEAR(TODAY()), MONTH(G18), DAY(G18)) &gt; TODAY(), 1, 0))</f>
        <v>0</v>
      </c>
      <c r="I18" cm="1">
        <f t="array" ref="I18">SUMPRODUCT(--(BRON!$A$2:$A$1197=Table1[[#This Row],[Personeelsnummer]]))</f>
        <v>0</v>
      </c>
      <c r="K18" s="41">
        <v>20</v>
      </c>
      <c r="L18" s="38">
        <v>4</v>
      </c>
    </row>
    <row r="19" spans="1:12" x14ac:dyDescent="0.25">
      <c r="A19" s="34" t="s">
        <v>3564</v>
      </c>
      <c r="B19" s="34" t="s">
        <v>2006</v>
      </c>
      <c r="C19" s="36" t="s">
        <v>4269</v>
      </c>
      <c r="E19" s="34" t="s">
        <v>3860</v>
      </c>
      <c r="F19" s="34" t="s">
        <v>3871</v>
      </c>
      <c r="G19" s="3">
        <v>45903.083333333299</v>
      </c>
      <c r="H19" s="35">
        <f ca="1">YEAR(TODAY()) - YEAR(G19) - (IF(DATE(YEAR(TODAY()), MONTH(G19), DAY(G19)) &gt; TODAY(), 1, 0))</f>
        <v>0</v>
      </c>
      <c r="I19" cm="1">
        <f t="array" ref="I19">SUMPRODUCT(--(BRON!$A$2:$A$1197=Table1[[#This Row],[Personeelsnummer]]))</f>
        <v>0</v>
      </c>
      <c r="K19" s="41">
        <v>19</v>
      </c>
      <c r="L19" s="38">
        <v>8</v>
      </c>
    </row>
    <row r="20" spans="1:12" x14ac:dyDescent="0.25">
      <c r="A20" s="34" t="s">
        <v>1662</v>
      </c>
      <c r="B20" s="34" t="s">
        <v>3561</v>
      </c>
      <c r="C20" s="36" t="s">
        <v>4270</v>
      </c>
      <c r="E20" s="34" t="s">
        <v>3860</v>
      </c>
      <c r="F20" s="34" t="s">
        <v>3854</v>
      </c>
      <c r="G20" s="3">
        <v>45903.083333333299</v>
      </c>
      <c r="H20" s="35">
        <f ca="1">YEAR(TODAY()) - YEAR(G20) - (IF(DATE(YEAR(TODAY()), MONTH(G20), DAY(G20)) &gt; TODAY(), 1, 0))</f>
        <v>0</v>
      </c>
      <c r="I20" cm="1">
        <f t="array" ref="I20">SUMPRODUCT(--(BRON!$A$2:$A$1197=Table1[[#This Row],[Personeelsnummer]]))</f>
        <v>0</v>
      </c>
      <c r="K20" s="41">
        <v>18</v>
      </c>
      <c r="L20" s="38">
        <v>12</v>
      </c>
    </row>
    <row r="21" spans="1:12" x14ac:dyDescent="0.25">
      <c r="A21" s="34" t="s">
        <v>3553</v>
      </c>
      <c r="B21" s="34" t="s">
        <v>3552</v>
      </c>
      <c r="C21" s="36" t="s">
        <v>4272</v>
      </c>
      <c r="E21" s="34" t="s">
        <v>3860</v>
      </c>
      <c r="F21" s="34" t="s">
        <v>3881</v>
      </c>
      <c r="G21" s="3">
        <v>45918.083333333299</v>
      </c>
      <c r="H21" s="35">
        <f ca="1">YEAR(TODAY()) - YEAR(G21) - (IF(DATE(YEAR(TODAY()), MONTH(G21), DAY(G21)) &gt; TODAY(), 1, 0))</f>
        <v>0</v>
      </c>
      <c r="I21" cm="1">
        <f t="array" ref="I21">SUMPRODUCT(--(BRON!$A$2:$A$1197=Table1[[#This Row],[Personeelsnummer]]))</f>
        <v>0</v>
      </c>
      <c r="K21" s="41">
        <v>17</v>
      </c>
      <c r="L21" s="38">
        <v>11</v>
      </c>
    </row>
    <row r="22" spans="1:12" x14ac:dyDescent="0.25">
      <c r="A22" s="34" t="s">
        <v>3548</v>
      </c>
      <c r="B22" s="34" t="s">
        <v>3547</v>
      </c>
      <c r="C22" s="36" t="s">
        <v>4273</v>
      </c>
      <c r="E22" s="34" t="s">
        <v>3860</v>
      </c>
      <c r="F22" s="34" t="s">
        <v>3866</v>
      </c>
      <c r="G22" s="3">
        <v>45918.083333333299</v>
      </c>
      <c r="H22" s="35">
        <f ca="1">YEAR(TODAY()) - YEAR(G22) - (IF(DATE(YEAR(TODAY()), MONTH(G22), DAY(G22)) &gt; TODAY(), 1, 0))</f>
        <v>0</v>
      </c>
      <c r="I22" cm="1">
        <f t="array" ref="I22">SUMPRODUCT(--(BRON!$A$2:$A$1197=Table1[[#This Row],[Personeelsnummer]]))</f>
        <v>0</v>
      </c>
      <c r="K22" s="41">
        <v>16</v>
      </c>
      <c r="L22" s="38">
        <v>6</v>
      </c>
    </row>
    <row r="23" spans="1:12" x14ac:dyDescent="0.25">
      <c r="A23" s="34" t="s">
        <v>1399</v>
      </c>
      <c r="B23" s="34" t="s">
        <v>1398</v>
      </c>
      <c r="C23" s="36" t="s">
        <v>4247</v>
      </c>
      <c r="E23" s="34" t="s">
        <v>3860</v>
      </c>
      <c r="F23" s="34" t="s">
        <v>3854</v>
      </c>
      <c r="G23" s="3">
        <v>45749.083333333299</v>
      </c>
      <c r="H23" s="35">
        <f ca="1">YEAR(TODAY()) - YEAR(G23) - (IF(DATE(YEAR(TODAY()), MONTH(G23), DAY(G23)) &gt; TODAY(), 1, 0))</f>
        <v>0</v>
      </c>
      <c r="I23" cm="1">
        <f t="array" ref="I23">SUMPRODUCT(--(BRON!$A$2:$A$1197=Table1[[#This Row],[Personeelsnummer]]))</f>
        <v>0</v>
      </c>
      <c r="K23" s="41">
        <v>15</v>
      </c>
      <c r="L23" s="38">
        <v>5</v>
      </c>
    </row>
    <row r="24" spans="1:12" x14ac:dyDescent="0.25">
      <c r="A24" s="34" t="s">
        <v>2691</v>
      </c>
      <c r="B24" s="34" t="s">
        <v>2690</v>
      </c>
      <c r="C24" s="36" t="s">
        <v>4256</v>
      </c>
      <c r="E24" s="34" t="s">
        <v>3860</v>
      </c>
      <c r="F24" s="34" t="s">
        <v>3881</v>
      </c>
      <c r="G24" s="3">
        <v>45798.083333333299</v>
      </c>
      <c r="H24" s="35">
        <f ca="1">YEAR(TODAY()) - YEAR(G24) - (IF(DATE(YEAR(TODAY()), MONTH(G24), DAY(G24)) &gt; TODAY(), 1, 0))</f>
        <v>0</v>
      </c>
      <c r="I24" cm="1">
        <f t="array" ref="I24">SUMPRODUCT(--(BRON!$A$2:$A$1197=Table1[[#This Row],[Personeelsnummer]]))</f>
        <v>0</v>
      </c>
      <c r="K24" s="41">
        <v>14</v>
      </c>
      <c r="L24" s="38">
        <v>15</v>
      </c>
    </row>
    <row r="25" spans="1:12" x14ac:dyDescent="0.25">
      <c r="A25" s="34" t="s">
        <v>1452</v>
      </c>
      <c r="B25" s="34" t="s">
        <v>1464</v>
      </c>
      <c r="C25" s="36" t="s">
        <v>4260</v>
      </c>
      <c r="E25" s="34" t="s">
        <v>3860</v>
      </c>
      <c r="F25" s="34" t="s">
        <v>3871</v>
      </c>
      <c r="G25" s="3">
        <v>45831.083333333299</v>
      </c>
      <c r="H25" s="35">
        <f ca="1">YEAR(TODAY()) - YEAR(G25) - (IF(DATE(YEAR(TODAY()), MONTH(G25), DAY(G25)) &gt; TODAY(), 1, 0))</f>
        <v>0</v>
      </c>
      <c r="I25" cm="1">
        <f t="array" ref="I25">SUMPRODUCT(--(BRON!$A$2:$A$1197=Table1[[#This Row],[Personeelsnummer]]))</f>
        <v>0</v>
      </c>
      <c r="K25" s="41">
        <v>13</v>
      </c>
      <c r="L25" s="38">
        <v>6</v>
      </c>
    </row>
    <row r="26" spans="1:12" x14ac:dyDescent="0.25">
      <c r="A26" s="34" t="s">
        <v>2453</v>
      </c>
      <c r="B26" s="34" t="s">
        <v>2452</v>
      </c>
      <c r="C26" s="36" t="s">
        <v>4261</v>
      </c>
      <c r="E26" s="34" t="s">
        <v>3860</v>
      </c>
      <c r="F26" s="34" t="s">
        <v>3870</v>
      </c>
      <c r="G26" s="3">
        <v>45814.083333333299</v>
      </c>
      <c r="H26" s="35">
        <f ca="1">YEAR(TODAY()) - YEAR(G26) - (IF(DATE(YEAR(TODAY()), MONTH(G26), DAY(G26)) &gt; TODAY(), 1, 0))</f>
        <v>0</v>
      </c>
      <c r="I26" cm="1">
        <f t="array" ref="I26">SUMPRODUCT(--(BRON!$A$2:$A$1197=Table1[[#This Row],[Personeelsnummer]]))</f>
        <v>0</v>
      </c>
      <c r="K26" s="41">
        <v>12</v>
      </c>
      <c r="L26" s="38">
        <v>1</v>
      </c>
    </row>
    <row r="27" spans="1:12" x14ac:dyDescent="0.25">
      <c r="A27" s="34" t="s">
        <v>1682</v>
      </c>
      <c r="B27" s="34" t="s">
        <v>1681</v>
      </c>
      <c r="C27" s="36" t="s">
        <v>4267</v>
      </c>
      <c r="E27" s="34" t="s">
        <v>3860</v>
      </c>
      <c r="F27" s="34" t="s">
        <v>3874</v>
      </c>
      <c r="G27" s="3">
        <v>45874.083333333299</v>
      </c>
      <c r="H27" s="35">
        <f ca="1">YEAR(TODAY()) - YEAR(G27) - (IF(DATE(YEAR(TODAY()), MONTH(G27), DAY(G27)) &gt; TODAY(), 1, 0))</f>
        <v>0</v>
      </c>
      <c r="I27" cm="1">
        <f t="array" ref="I27">SUMPRODUCT(--(BRON!$A$2:$A$1197=Table1[[#This Row],[Personeelsnummer]]))</f>
        <v>0</v>
      </c>
      <c r="K27" s="41">
        <v>11</v>
      </c>
      <c r="L27" s="38">
        <v>9</v>
      </c>
    </row>
    <row r="28" spans="1:12" x14ac:dyDescent="0.25">
      <c r="A28" s="34" t="s">
        <v>2604</v>
      </c>
      <c r="B28" s="34" t="s">
        <v>1477</v>
      </c>
      <c r="C28" s="36" t="s">
        <v>3862</v>
      </c>
      <c r="E28" s="34" t="s">
        <v>3860</v>
      </c>
      <c r="F28" s="34" t="s">
        <v>3863</v>
      </c>
      <c r="G28" s="3">
        <v>45903.083333333299</v>
      </c>
      <c r="H28" s="35">
        <f ca="1">YEAR(TODAY()) - YEAR(G28) - (IF(DATE(YEAR(TODAY()), MONTH(G28), DAY(G28)) &gt; TODAY(), 1, 0))</f>
        <v>0</v>
      </c>
      <c r="I28" cm="1">
        <f t="array" ref="I28">SUMPRODUCT(--(BRON!$A$2:$A$1197=Table1[[#This Row],[Personeelsnummer]]))</f>
        <v>0</v>
      </c>
      <c r="K28" s="41">
        <v>10</v>
      </c>
      <c r="L28" s="38">
        <v>7</v>
      </c>
    </row>
    <row r="29" spans="1:12" x14ac:dyDescent="0.25">
      <c r="A29" s="34" t="s">
        <v>1444</v>
      </c>
      <c r="B29" s="34" t="s">
        <v>1443</v>
      </c>
      <c r="C29" s="36" t="s">
        <v>4240</v>
      </c>
      <c r="E29" s="34" t="s">
        <v>3860</v>
      </c>
      <c r="F29" s="34" t="s">
        <v>3881</v>
      </c>
      <c r="G29" s="3">
        <v>45663.041666666701</v>
      </c>
      <c r="H29" s="35">
        <f ca="1">YEAR(TODAY()) - YEAR(G29) - (IF(DATE(YEAR(TODAY()), MONTH(G29), DAY(G29)) &gt; TODAY(), 1, 0))</f>
        <v>0</v>
      </c>
      <c r="I29" cm="1">
        <f t="array" ref="I29">SUMPRODUCT(--(BRON!$A$2:$A$1197=Table1[[#This Row],[Personeelsnummer]]))</f>
        <v>0</v>
      </c>
      <c r="K29" s="41">
        <v>9</v>
      </c>
      <c r="L29" s="38">
        <v>9</v>
      </c>
    </row>
    <row r="30" spans="1:12" x14ac:dyDescent="0.25">
      <c r="A30" s="34" t="s">
        <v>2023</v>
      </c>
      <c r="B30" s="34" t="s">
        <v>2022</v>
      </c>
      <c r="C30" s="36" t="s">
        <v>4245</v>
      </c>
      <c r="E30" s="34" t="s">
        <v>3860</v>
      </c>
      <c r="F30" s="34" t="s">
        <v>3864</v>
      </c>
      <c r="G30" s="3">
        <v>45735.041666666701</v>
      </c>
      <c r="H30" s="35">
        <f ca="1">YEAR(TODAY()) - YEAR(G30) - (IF(DATE(YEAR(TODAY()), MONTH(G30), DAY(G30)) &gt; TODAY(), 1, 0))</f>
        <v>0</v>
      </c>
      <c r="I30" cm="1">
        <f t="array" ref="I30">SUMPRODUCT(--(BRON!$A$2:$A$1197=Table1[[#This Row],[Personeelsnummer]]))</f>
        <v>0</v>
      </c>
      <c r="K30" s="41">
        <v>8</v>
      </c>
      <c r="L30" s="38">
        <v>12</v>
      </c>
    </row>
    <row r="31" spans="1:12" x14ac:dyDescent="0.25">
      <c r="A31" s="34" t="s">
        <v>3306</v>
      </c>
      <c r="B31" s="34" t="s">
        <v>3305</v>
      </c>
      <c r="C31" s="36" t="s">
        <v>4246</v>
      </c>
      <c r="E31" s="34" t="s">
        <v>3860</v>
      </c>
      <c r="F31" s="34" t="s">
        <v>3863</v>
      </c>
      <c r="G31" s="3">
        <v>45720.041666666701</v>
      </c>
      <c r="H31" s="35">
        <f ca="1">YEAR(TODAY()) - YEAR(G31) - (IF(DATE(YEAR(TODAY()), MONTH(G31), DAY(G31)) &gt; TODAY(), 1, 0))</f>
        <v>0</v>
      </c>
      <c r="I31" cm="1">
        <f t="array" ref="I31">SUMPRODUCT(--(BRON!$A$2:$A$1197=Table1[[#This Row],[Personeelsnummer]]))</f>
        <v>0</v>
      </c>
      <c r="K31" s="41">
        <v>7</v>
      </c>
      <c r="L31" s="38">
        <v>8</v>
      </c>
    </row>
    <row r="32" spans="1:12" x14ac:dyDescent="0.25">
      <c r="A32" s="34" t="s">
        <v>2011</v>
      </c>
      <c r="B32" s="34" t="s">
        <v>2010</v>
      </c>
      <c r="C32" s="36" t="s">
        <v>4248</v>
      </c>
      <c r="E32" s="34" t="s">
        <v>3860</v>
      </c>
      <c r="F32" s="34" t="s">
        <v>3864</v>
      </c>
      <c r="G32" s="3">
        <v>45770.083333333299</v>
      </c>
      <c r="H32" s="35">
        <f ca="1">YEAR(TODAY()) - YEAR(G32) - (IF(DATE(YEAR(TODAY()), MONTH(G32), DAY(G32)) &gt; TODAY(), 1, 0))</f>
        <v>0</v>
      </c>
      <c r="I32" cm="1">
        <f t="array" ref="I32">SUMPRODUCT(--(BRON!$A$2:$A$1197=Table1[[#This Row],[Personeelsnummer]]))</f>
        <v>0</v>
      </c>
      <c r="K32" s="41">
        <v>6</v>
      </c>
      <c r="L32" s="38">
        <v>13</v>
      </c>
    </row>
    <row r="33" spans="1:12" x14ac:dyDescent="0.25">
      <c r="A33" s="34" t="s">
        <v>3181</v>
      </c>
      <c r="B33" s="34" t="s">
        <v>3180</v>
      </c>
      <c r="C33" s="36" t="s">
        <v>4257</v>
      </c>
      <c r="E33" s="34" t="s">
        <v>3860</v>
      </c>
      <c r="F33" s="34" t="s">
        <v>3881</v>
      </c>
      <c r="G33" s="3">
        <v>45814.083333333299</v>
      </c>
      <c r="H33" s="35">
        <f ca="1">YEAR(TODAY()) - YEAR(G33) - (IF(DATE(YEAR(TODAY()), MONTH(G33), DAY(G33)) &gt; TODAY(), 1, 0))</f>
        <v>0</v>
      </c>
      <c r="I33" cm="1">
        <f t="array" ref="I33">SUMPRODUCT(--(BRON!$A$2:$A$1197=Table1[[#This Row],[Personeelsnummer]]))</f>
        <v>0</v>
      </c>
      <c r="K33" s="41">
        <v>5</v>
      </c>
      <c r="L33" s="38">
        <v>24</v>
      </c>
    </row>
    <row r="34" spans="1:12" x14ac:dyDescent="0.25">
      <c r="A34" s="34" t="s">
        <v>2520</v>
      </c>
      <c r="B34" s="34" t="s">
        <v>2519</v>
      </c>
      <c r="C34" s="36" t="s">
        <v>4268</v>
      </c>
      <c r="E34" s="34" t="s">
        <v>3860</v>
      </c>
      <c r="F34" s="34" t="s">
        <v>3874</v>
      </c>
      <c r="G34" s="3">
        <v>45874.083333333299</v>
      </c>
      <c r="H34" s="35">
        <f ca="1">YEAR(TODAY()) - YEAR(G34) - (IF(DATE(YEAR(TODAY()), MONTH(G34), DAY(G34)) &gt; TODAY(), 1, 0))</f>
        <v>0</v>
      </c>
      <c r="I34" cm="1">
        <f t="array" ref="I34">SUMPRODUCT(--(BRON!$A$2:$A$1197=Table1[[#This Row],[Personeelsnummer]]))</f>
        <v>0</v>
      </c>
      <c r="K34" s="41">
        <v>4</v>
      </c>
      <c r="L34" s="38">
        <v>23</v>
      </c>
    </row>
    <row r="35" spans="1:12" x14ac:dyDescent="0.25">
      <c r="A35" s="34" t="s">
        <v>1590</v>
      </c>
      <c r="B35" s="34" t="s">
        <v>1589</v>
      </c>
      <c r="C35" s="36" t="s">
        <v>4244</v>
      </c>
      <c r="E35" s="34" t="s">
        <v>3860</v>
      </c>
      <c r="F35" s="34" t="s">
        <v>3863</v>
      </c>
      <c r="G35" s="3">
        <v>45677.041666666701</v>
      </c>
      <c r="H35" s="35">
        <f ca="1">YEAR(TODAY()) - YEAR(G35) - (IF(DATE(YEAR(TODAY()), MONTH(G35), DAY(G35)) &gt; TODAY(), 1, 0))</f>
        <v>0</v>
      </c>
      <c r="I35" cm="1">
        <f t="array" ref="I35">SUMPRODUCT(--(BRON!$A$2:$A$1197=Table1[[#This Row],[Personeelsnummer]]))</f>
        <v>0</v>
      </c>
      <c r="K35" s="41">
        <v>3</v>
      </c>
      <c r="L35" s="38">
        <v>30</v>
      </c>
    </row>
    <row r="36" spans="1:12" x14ac:dyDescent="0.25">
      <c r="A36" s="34" t="s">
        <v>3438</v>
      </c>
      <c r="B36" s="34" t="s">
        <v>3558</v>
      </c>
      <c r="C36" s="36" t="s">
        <v>4271</v>
      </c>
      <c r="E36" s="34" t="s">
        <v>3860</v>
      </c>
      <c r="F36" s="34" t="s">
        <v>3863</v>
      </c>
      <c r="G36" s="3">
        <v>45903.083333333299</v>
      </c>
      <c r="H36" s="35">
        <f ca="1">YEAR(TODAY()) - YEAR(G36) - (IF(DATE(YEAR(TODAY()), MONTH(G36), DAY(G36)) &gt; TODAY(), 1, 0))</f>
        <v>0</v>
      </c>
      <c r="I36" cm="1">
        <f t="array" ref="I36">SUMPRODUCT(--(BRON!$A$2:$A$1197=Table1[[#This Row],[Personeelsnummer]]))</f>
        <v>0</v>
      </c>
      <c r="K36" s="41">
        <v>2</v>
      </c>
      <c r="L36" s="38">
        <v>43</v>
      </c>
    </row>
    <row r="37" spans="1:12" x14ac:dyDescent="0.25">
      <c r="A37" s="34" t="s">
        <v>2816</v>
      </c>
      <c r="B37" s="34" t="s">
        <v>2815</v>
      </c>
      <c r="C37" s="36" t="s">
        <v>4016</v>
      </c>
      <c r="E37" s="34" t="s">
        <v>3853</v>
      </c>
      <c r="F37" s="34" t="s">
        <v>3881</v>
      </c>
      <c r="G37" s="3">
        <v>45341.041666666701</v>
      </c>
      <c r="H37" s="35">
        <f ca="1">YEAR(TODAY()) - YEAR(G37) - (IF(DATE(YEAR(TODAY()), MONTH(G37), DAY(G37)) &gt; TODAY(), 1, 0))</f>
        <v>1</v>
      </c>
      <c r="I37" cm="1">
        <f t="array" ref="I37">SUMPRODUCT(--(BRON!$A$2:$A$1197=Table1[[#This Row],[Personeelsnummer]]))</f>
        <v>0</v>
      </c>
      <c r="K37" s="41">
        <v>1</v>
      </c>
      <c r="L37" s="38">
        <v>61</v>
      </c>
    </row>
    <row r="38" spans="1:12" x14ac:dyDescent="0.25">
      <c r="A38" s="34" t="s">
        <v>2121</v>
      </c>
      <c r="B38" s="34" t="s">
        <v>2120</v>
      </c>
      <c r="C38" s="36" t="s">
        <v>4184</v>
      </c>
      <c r="E38" s="34" t="s">
        <v>3860</v>
      </c>
      <c r="F38" s="34" t="s">
        <v>3871</v>
      </c>
      <c r="G38" s="3">
        <v>45264.041666666701</v>
      </c>
      <c r="H38" s="35">
        <f ca="1">YEAR(TODAY()) - YEAR(G38) - (IF(DATE(YEAR(TODAY()), MONTH(G38), DAY(G38)) &gt; TODAY(), 1, 0))</f>
        <v>1</v>
      </c>
      <c r="I38" cm="1">
        <f t="array" ref="I38">SUMPRODUCT(--(BRON!$A$2:$A$1197=Table1[[#This Row],[Personeelsnummer]]))</f>
        <v>0</v>
      </c>
      <c r="K38" s="41">
        <v>0</v>
      </c>
      <c r="L38" s="38">
        <v>35</v>
      </c>
    </row>
    <row r="39" spans="1:12" x14ac:dyDescent="0.25">
      <c r="A39" s="34" t="s">
        <v>1853</v>
      </c>
      <c r="B39" s="34" t="s">
        <v>1852</v>
      </c>
      <c r="C39" s="36" t="s">
        <v>4189</v>
      </c>
      <c r="E39" s="34" t="s">
        <v>3860</v>
      </c>
      <c r="F39" s="34" t="s">
        <v>3874</v>
      </c>
      <c r="G39" s="3">
        <v>45293.041666666701</v>
      </c>
      <c r="H39" s="35">
        <f ca="1">YEAR(TODAY()) - YEAR(G39) - (IF(DATE(YEAR(TODAY()), MONTH(G39), DAY(G39)) &gt; TODAY(), 1, 0))</f>
        <v>1</v>
      </c>
      <c r="I39" cm="1">
        <f t="array" ref="I39">SUMPRODUCT(--(BRON!$A$2:$A$1197=Table1[[#This Row],[Personeelsnummer]]))</f>
        <v>0</v>
      </c>
      <c r="K39" s="41" t="s">
        <v>65</v>
      </c>
      <c r="L39" s="38">
        <v>402</v>
      </c>
    </row>
    <row r="40" spans="1:12" x14ac:dyDescent="0.25">
      <c r="A40" s="34" t="s">
        <v>3453</v>
      </c>
      <c r="B40" s="34" t="s">
        <v>3264</v>
      </c>
      <c r="C40" s="36" t="s">
        <v>4190</v>
      </c>
      <c r="E40" s="34" t="s">
        <v>3860</v>
      </c>
      <c r="F40" s="34" t="s">
        <v>3863</v>
      </c>
      <c r="G40" s="3">
        <v>45315.041666666701</v>
      </c>
      <c r="H40" s="35">
        <f ca="1">YEAR(TODAY()) - YEAR(G40) - (IF(DATE(YEAR(TODAY()), MONTH(G40), DAY(G40)) &gt; TODAY(), 1, 0))</f>
        <v>1</v>
      </c>
      <c r="I40" cm="1">
        <f t="array" ref="I40">SUMPRODUCT(--(BRON!$A$2:$A$1197=Table1[[#This Row],[Personeelsnummer]]))</f>
        <v>0</v>
      </c>
    </row>
    <row r="41" spans="1:12" x14ac:dyDescent="0.25">
      <c r="A41" s="34" t="s">
        <v>2646</v>
      </c>
      <c r="B41" s="34" t="s">
        <v>2645</v>
      </c>
      <c r="C41" s="36" t="s">
        <v>4191</v>
      </c>
      <c r="E41" s="34" t="s">
        <v>3860</v>
      </c>
      <c r="F41" s="34" t="s">
        <v>3863</v>
      </c>
      <c r="G41" s="3">
        <v>45307.041666666701</v>
      </c>
      <c r="H41" s="35">
        <f ca="1">YEAR(TODAY()) - YEAR(G41) - (IF(DATE(YEAR(TODAY()), MONTH(G41), DAY(G41)) &gt; TODAY(), 1, 0))</f>
        <v>1</v>
      </c>
      <c r="I41" cm="1">
        <f t="array" ref="I41">SUMPRODUCT(--(BRON!$A$2:$A$1197=Table1[[#This Row],[Personeelsnummer]]))</f>
        <v>0</v>
      </c>
    </row>
    <row r="42" spans="1:12" x14ac:dyDescent="0.25">
      <c r="A42" s="34" t="s">
        <v>3216</v>
      </c>
      <c r="B42" s="34" t="s">
        <v>3215</v>
      </c>
      <c r="C42" s="36" t="s">
        <v>4192</v>
      </c>
      <c r="E42" s="34" t="s">
        <v>3860</v>
      </c>
      <c r="F42" s="34" t="s">
        <v>3854</v>
      </c>
      <c r="G42" s="3">
        <v>45299.041666666701</v>
      </c>
      <c r="H42" s="35">
        <f ca="1">YEAR(TODAY()) - YEAR(G42) - (IF(DATE(YEAR(TODAY()), MONTH(G42), DAY(G42)) &gt; TODAY(), 1, 0))</f>
        <v>1</v>
      </c>
      <c r="I42" cm="1">
        <f t="array" ref="I42">SUMPRODUCT(--(BRON!$A$2:$A$1197=Table1[[#This Row],[Personeelsnummer]]))</f>
        <v>0</v>
      </c>
    </row>
    <row r="43" spans="1:12" x14ac:dyDescent="0.25">
      <c r="A43" s="34" t="s">
        <v>3251</v>
      </c>
      <c r="B43" s="34" t="s">
        <v>3101</v>
      </c>
      <c r="C43" s="36" t="s">
        <v>4198</v>
      </c>
      <c r="E43" s="34" t="s">
        <v>3860</v>
      </c>
      <c r="F43" s="34" t="s">
        <v>3863</v>
      </c>
      <c r="G43" s="3">
        <v>45307.041666666701</v>
      </c>
      <c r="H43" s="35">
        <f ca="1">YEAR(TODAY()) - YEAR(G43) - (IF(DATE(YEAR(TODAY()), MONTH(G43), DAY(G43)) &gt; TODAY(), 1, 0))</f>
        <v>1</v>
      </c>
      <c r="I43" cm="1">
        <f t="array" ref="I43">SUMPRODUCT(--(BRON!$A$2:$A$1197=Table1[[#This Row],[Personeelsnummer]]))</f>
        <v>0</v>
      </c>
    </row>
    <row r="44" spans="1:12" x14ac:dyDescent="0.25">
      <c r="A44" s="34" t="s">
        <v>3325</v>
      </c>
      <c r="B44" s="34" t="s">
        <v>3324</v>
      </c>
      <c r="C44" s="36" t="s">
        <v>4209</v>
      </c>
      <c r="E44" s="34" t="s">
        <v>3860</v>
      </c>
      <c r="F44" s="34" t="s">
        <v>3863</v>
      </c>
      <c r="G44" s="3">
        <v>45404.083333333299</v>
      </c>
      <c r="H44" s="35">
        <f ca="1">YEAR(TODAY()) - YEAR(G44) - (IF(DATE(YEAR(TODAY()), MONTH(G44), DAY(G44)) &gt; TODAY(), 1, 0))</f>
        <v>1</v>
      </c>
      <c r="I44" cm="1">
        <f t="array" ref="I44">SUMPRODUCT(--(BRON!$A$2:$A$1197=Table1[[#This Row],[Personeelsnummer]]))</f>
        <v>0</v>
      </c>
    </row>
    <row r="45" spans="1:12" x14ac:dyDescent="0.25">
      <c r="A45" s="34" t="s">
        <v>2913</v>
      </c>
      <c r="B45" s="34" t="s">
        <v>2912</v>
      </c>
      <c r="C45" s="36" t="s">
        <v>4211</v>
      </c>
      <c r="E45" s="34" t="s">
        <v>3860</v>
      </c>
      <c r="F45" s="34" t="s">
        <v>3881</v>
      </c>
      <c r="G45" s="3">
        <v>45408.083333333299</v>
      </c>
      <c r="H45" s="35">
        <f ca="1">YEAR(TODAY()) - YEAR(G45) - (IF(DATE(YEAR(TODAY()), MONTH(G45), DAY(G45)) &gt; TODAY(), 1, 0))</f>
        <v>1</v>
      </c>
      <c r="I45" cm="1">
        <f t="array" ref="I45">SUMPRODUCT(--(BRON!$A$2:$A$1197=Table1[[#This Row],[Personeelsnummer]]))</f>
        <v>0</v>
      </c>
    </row>
    <row r="46" spans="1:12" x14ac:dyDescent="0.25">
      <c r="A46" s="34" t="s">
        <v>2441</v>
      </c>
      <c r="B46" s="34" t="s">
        <v>2440</v>
      </c>
      <c r="C46" s="36" t="s">
        <v>4213</v>
      </c>
      <c r="E46" s="34" t="s">
        <v>3860</v>
      </c>
      <c r="F46" s="34" t="s">
        <v>3874</v>
      </c>
      <c r="G46" s="3">
        <v>45408.083333333299</v>
      </c>
      <c r="H46" s="35">
        <f ca="1">YEAR(TODAY()) - YEAR(G46) - (IF(DATE(YEAR(TODAY()), MONTH(G46), DAY(G46)) &gt; TODAY(), 1, 0))</f>
        <v>1</v>
      </c>
      <c r="I46" cm="1">
        <f t="array" ref="I46">SUMPRODUCT(--(BRON!$A$2:$A$1197=Table1[[#This Row],[Personeelsnummer]]))</f>
        <v>0</v>
      </c>
    </row>
    <row r="47" spans="1:12" x14ac:dyDescent="0.25">
      <c r="A47" s="34" t="s">
        <v>2311</v>
      </c>
      <c r="B47" s="34" t="s">
        <v>2314</v>
      </c>
      <c r="C47" s="36" t="s">
        <v>4214</v>
      </c>
      <c r="E47" s="34" t="s">
        <v>3860</v>
      </c>
      <c r="F47" s="34" t="s">
        <v>3864</v>
      </c>
      <c r="G47" s="3">
        <v>45408.083333333299</v>
      </c>
      <c r="H47" s="35">
        <f ca="1">YEAR(TODAY()) - YEAR(G47) - (IF(DATE(YEAR(TODAY()), MONTH(G47), DAY(G47)) &gt; TODAY(), 1, 0))</f>
        <v>1</v>
      </c>
      <c r="I47" cm="1">
        <f t="array" ref="I47">SUMPRODUCT(--(BRON!$A$2:$A$1197=Table1[[#This Row],[Personeelsnummer]]))</f>
        <v>0</v>
      </c>
    </row>
    <row r="48" spans="1:12" x14ac:dyDescent="0.25">
      <c r="A48" s="34" t="s">
        <v>2792</v>
      </c>
      <c r="B48" s="34" t="s">
        <v>1959</v>
      </c>
      <c r="C48" s="36" t="s">
        <v>4215</v>
      </c>
      <c r="E48" s="34" t="s">
        <v>3860</v>
      </c>
      <c r="F48" s="34" t="s">
        <v>3871</v>
      </c>
      <c r="G48" s="3">
        <v>45408.083333333299</v>
      </c>
      <c r="H48" s="35">
        <f ca="1">YEAR(TODAY()) - YEAR(G48) - (IF(DATE(YEAR(TODAY()), MONTH(G48), DAY(G48)) &gt; TODAY(), 1, 0))</f>
        <v>1</v>
      </c>
      <c r="I48" cm="1">
        <f t="array" ref="I48">SUMPRODUCT(--(BRON!$A$2:$A$1197=Table1[[#This Row],[Personeelsnummer]]))</f>
        <v>0</v>
      </c>
    </row>
    <row r="49" spans="1:9" x14ac:dyDescent="0.25">
      <c r="A49" s="34" t="s">
        <v>2292</v>
      </c>
      <c r="B49" s="34" t="s">
        <v>2291</v>
      </c>
      <c r="C49" s="36" t="s">
        <v>4217</v>
      </c>
      <c r="E49" s="34" t="s">
        <v>3860</v>
      </c>
      <c r="F49" s="34" t="s">
        <v>3863</v>
      </c>
      <c r="G49" s="3">
        <v>45427.083333333299</v>
      </c>
      <c r="H49" s="35">
        <f ca="1">YEAR(TODAY()) - YEAR(G49) - (IF(DATE(YEAR(TODAY()), MONTH(G49), DAY(G49)) &gt; TODAY(), 1, 0))</f>
        <v>1</v>
      </c>
      <c r="I49" cm="1">
        <f t="array" ref="I49">SUMPRODUCT(--(BRON!$A$2:$A$1197=Table1[[#This Row],[Personeelsnummer]]))</f>
        <v>0</v>
      </c>
    </row>
    <row r="50" spans="1:9" x14ac:dyDescent="0.25">
      <c r="A50" s="34" t="s">
        <v>3006</v>
      </c>
      <c r="B50" s="34" t="s">
        <v>3005</v>
      </c>
      <c r="C50" s="36" t="s">
        <v>4220</v>
      </c>
      <c r="E50" s="34" t="s">
        <v>3860</v>
      </c>
      <c r="F50" s="34" t="s">
        <v>3866</v>
      </c>
      <c r="G50" s="3">
        <v>45456.083333333299</v>
      </c>
      <c r="H50" s="35">
        <f ca="1">YEAR(TODAY()) - YEAR(G50) - (IF(DATE(YEAR(TODAY()), MONTH(G50), DAY(G50)) &gt; TODAY(), 1, 0))</f>
        <v>1</v>
      </c>
      <c r="I50" cm="1">
        <f t="array" ref="I50">SUMPRODUCT(--(BRON!$A$2:$A$1197=Table1[[#This Row],[Personeelsnummer]]))</f>
        <v>0</v>
      </c>
    </row>
    <row r="51" spans="1:9" x14ac:dyDescent="0.25">
      <c r="A51" s="34" t="s">
        <v>2657</v>
      </c>
      <c r="B51" s="34" t="s">
        <v>2656</v>
      </c>
      <c r="C51" s="36" t="s">
        <v>4224</v>
      </c>
      <c r="E51" s="34" t="s">
        <v>3860</v>
      </c>
      <c r="F51" s="34" t="s">
        <v>3864</v>
      </c>
      <c r="G51" s="3">
        <v>45498.083333333299</v>
      </c>
      <c r="H51" s="35">
        <f ca="1">YEAR(TODAY()) - YEAR(G51) - (IF(DATE(YEAR(TODAY()), MONTH(G51), DAY(G51)) &gt; TODAY(), 1, 0))</f>
        <v>1</v>
      </c>
      <c r="I51" cm="1">
        <f t="array" ref="I51">SUMPRODUCT(--(BRON!$A$2:$A$1197=Table1[[#This Row],[Personeelsnummer]]))</f>
        <v>0</v>
      </c>
    </row>
    <row r="52" spans="1:9" x14ac:dyDescent="0.25">
      <c r="A52" s="34" t="s">
        <v>1452</v>
      </c>
      <c r="B52" s="34" t="s">
        <v>1467</v>
      </c>
      <c r="C52" s="36" t="s">
        <v>4225</v>
      </c>
      <c r="E52" s="34" t="s">
        <v>3860</v>
      </c>
      <c r="F52" s="34" t="s">
        <v>3854</v>
      </c>
      <c r="G52" s="3">
        <v>45498.083333333299</v>
      </c>
      <c r="H52" s="35">
        <f ca="1">YEAR(TODAY()) - YEAR(G52) - (IF(DATE(YEAR(TODAY()), MONTH(G52), DAY(G52)) &gt; TODAY(), 1, 0))</f>
        <v>1</v>
      </c>
      <c r="I52" cm="1">
        <f t="array" ref="I52">SUMPRODUCT(--(BRON!$A$2:$A$1197=Table1[[#This Row],[Personeelsnummer]]))</f>
        <v>0</v>
      </c>
    </row>
    <row r="53" spans="1:9" x14ac:dyDescent="0.25">
      <c r="A53" s="34" t="s">
        <v>1241</v>
      </c>
      <c r="B53" s="34" t="s">
        <v>1240</v>
      </c>
      <c r="C53" s="36" t="s">
        <v>4230</v>
      </c>
      <c r="E53" s="34" t="s">
        <v>3855</v>
      </c>
      <c r="F53" s="34" t="s">
        <v>3856</v>
      </c>
      <c r="G53" s="3">
        <v>45559.083333333299</v>
      </c>
      <c r="H53" s="35">
        <f ca="1">YEAR(TODAY()) - YEAR(G53) - (IF(DATE(YEAR(TODAY()), MONTH(G53), DAY(G53)) &gt; TODAY(), 1, 0))</f>
        <v>1</v>
      </c>
      <c r="I53" cm="1">
        <f t="array" ref="I53">SUMPRODUCT(--(BRON!$A$2:$A$1197=Table1[[#This Row],[Personeelsnummer]]))</f>
        <v>0</v>
      </c>
    </row>
    <row r="54" spans="1:9" x14ac:dyDescent="0.25">
      <c r="A54" s="34" t="s">
        <v>1710</v>
      </c>
      <c r="B54" s="34" t="s">
        <v>1709</v>
      </c>
      <c r="C54" s="36" t="s">
        <v>4236</v>
      </c>
      <c r="E54" s="34" t="s">
        <v>3860</v>
      </c>
      <c r="F54" s="34" t="s">
        <v>3881</v>
      </c>
      <c r="G54" s="3">
        <v>45618.041666666701</v>
      </c>
      <c r="H54" s="35">
        <f ca="1">YEAR(TODAY()) - YEAR(G54) - (IF(DATE(YEAR(TODAY()), MONTH(G54), DAY(G54)) &gt; TODAY(), 1, 0))</f>
        <v>1</v>
      </c>
      <c r="I54" cm="1">
        <f t="array" ref="I54">SUMPRODUCT(--(BRON!$A$2:$A$1197=Table1[[#This Row],[Personeelsnummer]]))</f>
        <v>0</v>
      </c>
    </row>
    <row r="55" spans="1:9" x14ac:dyDescent="0.25">
      <c r="A55" s="34" t="s">
        <v>3015</v>
      </c>
      <c r="B55" s="34" t="s">
        <v>3018</v>
      </c>
      <c r="C55" s="36" t="s">
        <v>4237</v>
      </c>
      <c r="E55" s="34" t="s">
        <v>3860</v>
      </c>
      <c r="F55" s="34" t="s">
        <v>3881</v>
      </c>
      <c r="G55" s="3">
        <v>45616.041666666701</v>
      </c>
      <c r="H55" s="35">
        <f ca="1">YEAR(TODAY()) - YEAR(G55) - (IF(DATE(YEAR(TODAY()), MONTH(G55), DAY(G55)) &gt; TODAY(), 1, 0))</f>
        <v>1</v>
      </c>
      <c r="I55" cm="1">
        <f t="array" ref="I55">SUMPRODUCT(--(BRON!$A$2:$A$1197=Table1[[#This Row],[Personeelsnummer]]))</f>
        <v>0</v>
      </c>
    </row>
    <row r="56" spans="1:9" x14ac:dyDescent="0.25">
      <c r="A56" s="34" t="s">
        <v>2649</v>
      </c>
      <c r="B56" s="34" t="s">
        <v>1406</v>
      </c>
      <c r="C56" s="36" t="s">
        <v>4050</v>
      </c>
      <c r="E56" s="34" t="s">
        <v>3853</v>
      </c>
      <c r="F56" s="34" t="s">
        <v>3854</v>
      </c>
      <c r="G56" s="3">
        <v>45460.083333333299</v>
      </c>
      <c r="H56" s="35">
        <f ca="1">YEAR(TODAY()) - YEAR(G56) - (IF(DATE(YEAR(TODAY()), MONTH(G56), DAY(G56)) &gt; TODAY(), 1, 0))</f>
        <v>1</v>
      </c>
      <c r="I56" cm="1">
        <f t="array" ref="I56">SUMPRODUCT(--(BRON!$A$2:$A$1197=Table1[[#This Row],[Personeelsnummer]]))</f>
        <v>0</v>
      </c>
    </row>
    <row r="57" spans="1:9" x14ac:dyDescent="0.25">
      <c r="A57" s="34" t="s">
        <v>3347</v>
      </c>
      <c r="B57" s="34" t="s">
        <v>3349</v>
      </c>
      <c r="C57" s="36" t="s">
        <v>4054</v>
      </c>
      <c r="E57" s="34" t="s">
        <v>3853</v>
      </c>
      <c r="F57" s="34" t="s">
        <v>3870</v>
      </c>
      <c r="G57" s="3">
        <v>45372.041666666701</v>
      </c>
      <c r="H57" s="35">
        <f ca="1">YEAR(TODAY()) - YEAR(G57) - (IF(DATE(YEAR(TODAY()), MONTH(G57), DAY(G57)) &gt; TODAY(), 1, 0))</f>
        <v>1</v>
      </c>
      <c r="I57" cm="1">
        <f t="array" ref="I57">SUMPRODUCT(--(BRON!$A$2:$A$1197=Table1[[#This Row],[Personeelsnummer]]))</f>
        <v>0</v>
      </c>
    </row>
    <row r="58" spans="1:9" x14ac:dyDescent="0.25">
      <c r="A58" s="34" t="s">
        <v>1693</v>
      </c>
      <c r="B58" s="34" t="s">
        <v>1692</v>
      </c>
      <c r="C58" s="36" t="s">
        <v>4183</v>
      </c>
      <c r="E58" s="34" t="s">
        <v>3860</v>
      </c>
      <c r="F58" s="34" t="s">
        <v>3866</v>
      </c>
      <c r="G58" s="3">
        <v>45264.041666666701</v>
      </c>
      <c r="H58" s="35">
        <f ca="1">YEAR(TODAY()) - YEAR(G58) - (IF(DATE(YEAR(TODAY()), MONTH(G58), DAY(G58)) &gt; TODAY(), 1, 0))</f>
        <v>1</v>
      </c>
      <c r="I58" cm="1">
        <f t="array" ref="I58">SUMPRODUCT(--(BRON!$A$2:$A$1197=Table1[[#This Row],[Personeelsnummer]]))</f>
        <v>0</v>
      </c>
    </row>
    <row r="59" spans="1:9" x14ac:dyDescent="0.25">
      <c r="A59" s="34" t="s">
        <v>1478</v>
      </c>
      <c r="B59" s="34" t="s">
        <v>1477</v>
      </c>
      <c r="C59" s="36" t="s">
        <v>4185</v>
      </c>
      <c r="E59" s="34" t="s">
        <v>3860</v>
      </c>
      <c r="F59" s="34" t="s">
        <v>3881</v>
      </c>
      <c r="G59" s="3">
        <v>45264.041666666701</v>
      </c>
      <c r="H59" s="35">
        <f ca="1">YEAR(TODAY()) - YEAR(G59) - (IF(DATE(YEAR(TODAY()), MONTH(G59), DAY(G59)) &gt; TODAY(), 1, 0))</f>
        <v>1</v>
      </c>
      <c r="I59" cm="1">
        <f t="array" ref="I59">SUMPRODUCT(--(BRON!$A$2:$A$1197=Table1[[#This Row],[Personeelsnummer]]))</f>
        <v>0</v>
      </c>
    </row>
    <row r="60" spans="1:9" x14ac:dyDescent="0.25">
      <c r="A60" s="34" t="s">
        <v>3269</v>
      </c>
      <c r="B60" s="34" t="s">
        <v>3268</v>
      </c>
      <c r="C60" s="36" t="s">
        <v>4186</v>
      </c>
      <c r="E60" s="34" t="s">
        <v>3860</v>
      </c>
      <c r="F60" s="34" t="s">
        <v>3854</v>
      </c>
      <c r="G60" s="3">
        <v>45264.041666666701</v>
      </c>
      <c r="H60" s="35">
        <f ca="1">YEAR(TODAY()) - YEAR(G60) - (IF(DATE(YEAR(TODAY()), MONTH(G60), DAY(G60)) &gt; TODAY(), 1, 0))</f>
        <v>1</v>
      </c>
      <c r="I60" cm="1">
        <f t="array" ref="I60">SUMPRODUCT(--(BRON!$A$2:$A$1197=Table1[[#This Row],[Personeelsnummer]]))</f>
        <v>0</v>
      </c>
    </row>
    <row r="61" spans="1:9" x14ac:dyDescent="0.25">
      <c r="A61" s="34" t="s">
        <v>2953</v>
      </c>
      <c r="B61" s="34" t="s">
        <v>2952</v>
      </c>
      <c r="C61" s="36" t="s">
        <v>4187</v>
      </c>
      <c r="E61" s="34" t="s">
        <v>3860</v>
      </c>
      <c r="F61" s="34" t="s">
        <v>3871</v>
      </c>
      <c r="G61" s="3">
        <v>45264.041666666701</v>
      </c>
      <c r="H61" s="35">
        <f ca="1">YEAR(TODAY()) - YEAR(G61) - (IF(DATE(YEAR(TODAY()), MONTH(G61), DAY(G61)) &gt; TODAY(), 1, 0))</f>
        <v>1</v>
      </c>
      <c r="I61" cm="1">
        <f t="array" ref="I61">SUMPRODUCT(--(BRON!$A$2:$A$1197=Table1[[#This Row],[Personeelsnummer]]))</f>
        <v>0</v>
      </c>
    </row>
    <row r="62" spans="1:9" x14ac:dyDescent="0.25">
      <c r="A62" s="34" t="s">
        <v>2546</v>
      </c>
      <c r="B62" s="34" t="s">
        <v>2545</v>
      </c>
      <c r="C62" s="36" t="s">
        <v>4193</v>
      </c>
      <c r="E62" s="34" t="s">
        <v>3853</v>
      </c>
      <c r="F62" s="34" t="s">
        <v>3863</v>
      </c>
      <c r="G62" s="3">
        <v>45307.041666666701</v>
      </c>
      <c r="H62" s="35">
        <f ca="1">YEAR(TODAY()) - YEAR(G62) - (IF(DATE(YEAR(TODAY()), MONTH(G62), DAY(G62)) &gt; TODAY(), 1, 0))</f>
        <v>1</v>
      </c>
      <c r="I62" cm="1">
        <f t="array" ref="I62">SUMPRODUCT(--(BRON!$A$2:$A$1197=Table1[[#This Row],[Personeelsnummer]]))</f>
        <v>0</v>
      </c>
    </row>
    <row r="63" spans="1:9" x14ac:dyDescent="0.25">
      <c r="A63" s="34" t="s">
        <v>1895</v>
      </c>
      <c r="B63" s="34" t="s">
        <v>1894</v>
      </c>
      <c r="C63" s="36" t="s">
        <v>4196</v>
      </c>
      <c r="E63" s="34" t="s">
        <v>3860</v>
      </c>
      <c r="F63" s="34" t="s">
        <v>3863</v>
      </c>
      <c r="G63" s="3">
        <v>45307.041666666701</v>
      </c>
      <c r="H63" s="35">
        <f ca="1">YEAR(TODAY()) - YEAR(G63) - (IF(DATE(YEAR(TODAY()), MONTH(G63), DAY(G63)) &gt; TODAY(), 1, 0))</f>
        <v>1</v>
      </c>
      <c r="I63" cm="1">
        <f t="array" ref="I63">SUMPRODUCT(--(BRON!$A$2:$A$1197=Table1[[#This Row],[Personeelsnummer]]))</f>
        <v>0</v>
      </c>
    </row>
    <row r="64" spans="1:9" x14ac:dyDescent="0.25">
      <c r="A64" s="34" t="s">
        <v>1918</v>
      </c>
      <c r="B64" s="34" t="s">
        <v>1917</v>
      </c>
      <c r="C64" s="36" t="s">
        <v>4197</v>
      </c>
      <c r="E64" s="34" t="s">
        <v>3860</v>
      </c>
      <c r="F64" s="34" t="s">
        <v>3863</v>
      </c>
      <c r="G64" s="3">
        <v>45307.041666666701</v>
      </c>
      <c r="H64" s="35">
        <f ca="1">YEAR(TODAY()) - YEAR(G64) - (IF(DATE(YEAR(TODAY()), MONTH(G64), DAY(G64)) &gt; TODAY(), 1, 0))</f>
        <v>1</v>
      </c>
      <c r="I64" cm="1">
        <f t="array" ref="I64">SUMPRODUCT(--(BRON!$A$2:$A$1197=Table1[[#This Row],[Personeelsnummer]]))</f>
        <v>0</v>
      </c>
    </row>
    <row r="65" spans="1:9" x14ac:dyDescent="0.25">
      <c r="A65" s="34" t="s">
        <v>2049</v>
      </c>
      <c r="B65" s="34" t="s">
        <v>2048</v>
      </c>
      <c r="C65" s="36" t="s">
        <v>4199</v>
      </c>
      <c r="E65" s="34" t="s">
        <v>3860</v>
      </c>
      <c r="F65" s="34" t="s">
        <v>3881</v>
      </c>
      <c r="G65" s="3">
        <v>45364.041666666701</v>
      </c>
      <c r="H65" s="35">
        <f ca="1">YEAR(TODAY()) - YEAR(G65) - (IF(DATE(YEAR(TODAY()), MONTH(G65), DAY(G65)) &gt; TODAY(), 1, 0))</f>
        <v>1</v>
      </c>
      <c r="I65" cm="1">
        <f t="array" ref="I65">SUMPRODUCT(--(BRON!$A$2:$A$1197=Table1[[#This Row],[Personeelsnummer]]))</f>
        <v>0</v>
      </c>
    </row>
    <row r="66" spans="1:9" x14ac:dyDescent="0.25">
      <c r="A66" s="34" t="s">
        <v>3370</v>
      </c>
      <c r="B66" s="34" t="s">
        <v>3369</v>
      </c>
      <c r="C66" s="36" t="s">
        <v>4200</v>
      </c>
      <c r="E66" s="34" t="s">
        <v>3860</v>
      </c>
      <c r="F66" s="34" t="s">
        <v>3870</v>
      </c>
      <c r="G66" s="3">
        <v>45321.041666666701</v>
      </c>
      <c r="H66" s="35">
        <f ca="1">YEAR(TODAY()) - YEAR(G66) - (IF(DATE(YEAR(TODAY()), MONTH(G66), DAY(G66)) &gt; TODAY(), 1, 0))</f>
        <v>1</v>
      </c>
      <c r="I66" cm="1">
        <f t="array" ref="I66">SUMPRODUCT(--(BRON!$A$2:$A$1197=Table1[[#This Row],[Personeelsnummer]]))</f>
        <v>0</v>
      </c>
    </row>
    <row r="67" spans="1:9" x14ac:dyDescent="0.25">
      <c r="A67" s="34" t="s">
        <v>2445</v>
      </c>
      <c r="B67" s="34" t="s">
        <v>2444</v>
      </c>
      <c r="C67" s="36" t="s">
        <v>4205</v>
      </c>
      <c r="E67" s="34" t="s">
        <v>3860</v>
      </c>
      <c r="F67" s="34" t="s">
        <v>3881</v>
      </c>
      <c r="G67" s="3">
        <v>45345.041666666701</v>
      </c>
      <c r="H67" s="35">
        <f ca="1">YEAR(TODAY()) - YEAR(G67) - (IF(DATE(YEAR(TODAY()), MONTH(G67), DAY(G67)) &gt; TODAY(), 1, 0))</f>
        <v>1</v>
      </c>
      <c r="I67" cm="1">
        <f t="array" ref="I67">SUMPRODUCT(--(BRON!$A$2:$A$1197=Table1[[#This Row],[Personeelsnummer]]))</f>
        <v>0</v>
      </c>
    </row>
    <row r="68" spans="1:9" x14ac:dyDescent="0.25">
      <c r="A68" s="34" t="s">
        <v>1686</v>
      </c>
      <c r="B68" s="34" t="s">
        <v>1685</v>
      </c>
      <c r="C68" s="36" t="s">
        <v>4206</v>
      </c>
      <c r="E68" s="34" t="s">
        <v>3860</v>
      </c>
      <c r="F68" s="34" t="s">
        <v>3881</v>
      </c>
      <c r="G68" s="3">
        <v>45349.041666666701</v>
      </c>
      <c r="H68" s="35">
        <f ca="1">YEAR(TODAY()) - YEAR(G68) - (IF(DATE(YEAR(TODAY()), MONTH(G68), DAY(G68)) &gt; TODAY(), 1, 0))</f>
        <v>1</v>
      </c>
      <c r="I68" cm="1">
        <f t="array" ref="I68">SUMPRODUCT(--(BRON!$A$2:$A$1197=Table1[[#This Row],[Personeelsnummer]]))</f>
        <v>0</v>
      </c>
    </row>
    <row r="69" spans="1:9" x14ac:dyDescent="0.25">
      <c r="A69" s="34" t="s">
        <v>3378</v>
      </c>
      <c r="B69" s="34" t="s">
        <v>3377</v>
      </c>
      <c r="C69" s="36" t="s">
        <v>4218</v>
      </c>
      <c r="E69" s="34" t="s">
        <v>3860</v>
      </c>
      <c r="F69" s="34" t="s">
        <v>3866</v>
      </c>
      <c r="G69" s="3">
        <v>45419.083333333299</v>
      </c>
      <c r="H69" s="35">
        <f ca="1">YEAR(TODAY()) - YEAR(G69) - (IF(DATE(YEAR(TODAY()), MONTH(G69), DAY(G69)) &gt; TODAY(), 1, 0))</f>
        <v>1</v>
      </c>
      <c r="I69" cm="1">
        <f t="array" ref="I69">SUMPRODUCT(--(BRON!$A$2:$A$1197=Table1[[#This Row],[Personeelsnummer]]))</f>
        <v>0</v>
      </c>
    </row>
    <row r="70" spans="1:9" x14ac:dyDescent="0.25">
      <c r="A70" s="34" t="s">
        <v>2311</v>
      </c>
      <c r="B70" s="34" t="s">
        <v>2310</v>
      </c>
      <c r="C70" s="36" t="s">
        <v>4219</v>
      </c>
      <c r="E70" s="34" t="s">
        <v>3860</v>
      </c>
      <c r="F70" s="34" t="s">
        <v>3881</v>
      </c>
      <c r="G70" s="3">
        <v>45450.083333333299</v>
      </c>
      <c r="H70" s="35">
        <f ca="1">YEAR(TODAY()) - YEAR(G70) - (IF(DATE(YEAR(TODAY()), MONTH(G70), DAY(G70)) &gt; TODAY(), 1, 0))</f>
        <v>1</v>
      </c>
      <c r="I70" cm="1">
        <f t="array" ref="I70">SUMPRODUCT(--(BRON!$A$2:$A$1197=Table1[[#This Row],[Personeelsnummer]]))</f>
        <v>0</v>
      </c>
    </row>
    <row r="71" spans="1:9" x14ac:dyDescent="0.25">
      <c r="A71" s="34" t="s">
        <v>2623</v>
      </c>
      <c r="B71" s="34" t="s">
        <v>2622</v>
      </c>
      <c r="C71" s="36" t="s">
        <v>4221</v>
      </c>
      <c r="E71" s="34" t="s">
        <v>3860</v>
      </c>
      <c r="F71" s="34" t="s">
        <v>3871</v>
      </c>
      <c r="G71" s="3">
        <v>45544.083333333299</v>
      </c>
      <c r="H71" s="35">
        <f ca="1">YEAR(TODAY()) - YEAR(G71) - (IF(DATE(YEAR(TODAY()), MONTH(G71), DAY(G71)) &gt; TODAY(), 1, 0))</f>
        <v>1</v>
      </c>
      <c r="I71" cm="1">
        <f t="array" ref="I71">SUMPRODUCT(--(BRON!$A$2:$A$1197=Table1[[#This Row],[Personeelsnummer]]))</f>
        <v>0</v>
      </c>
    </row>
    <row r="72" spans="1:9" x14ac:dyDescent="0.25">
      <c r="A72" s="34" t="s">
        <v>1413</v>
      </c>
      <c r="B72" s="34" t="s">
        <v>1412</v>
      </c>
      <c r="C72" s="36" t="s">
        <v>4231</v>
      </c>
      <c r="E72" s="34" t="s">
        <v>3860</v>
      </c>
      <c r="F72" s="34" t="s">
        <v>3870</v>
      </c>
      <c r="G72" s="3">
        <v>45574.083333333299</v>
      </c>
      <c r="H72" s="35">
        <f ca="1">YEAR(TODAY()) - YEAR(G72) - (IF(DATE(YEAR(TODAY()), MONTH(G72), DAY(G72)) &gt; TODAY(), 1, 0))</f>
        <v>1</v>
      </c>
      <c r="I72" cm="1">
        <f t="array" ref="I72">SUMPRODUCT(--(BRON!$A$2:$A$1197=Table1[[#This Row],[Personeelsnummer]]))</f>
        <v>0</v>
      </c>
    </row>
    <row r="73" spans="1:9" x14ac:dyDescent="0.25">
      <c r="A73" s="34" t="s">
        <v>3314</v>
      </c>
      <c r="B73" s="34" t="s">
        <v>3313</v>
      </c>
      <c r="C73" s="36" t="s">
        <v>4233</v>
      </c>
      <c r="E73" s="34" t="s">
        <v>3860</v>
      </c>
      <c r="F73" s="34" t="s">
        <v>3881</v>
      </c>
      <c r="G73" s="3">
        <v>45588.083333333299</v>
      </c>
      <c r="H73" s="35">
        <f ca="1">YEAR(TODAY()) - YEAR(G73) - (IF(DATE(YEAR(TODAY()), MONTH(G73), DAY(G73)) &gt; TODAY(), 1, 0))</f>
        <v>1</v>
      </c>
      <c r="I73" cm="1">
        <f t="array" ref="I73">SUMPRODUCT(--(BRON!$A$2:$A$1197=Table1[[#This Row],[Personeelsnummer]]))</f>
        <v>0</v>
      </c>
    </row>
    <row r="74" spans="1:9" x14ac:dyDescent="0.25">
      <c r="A74" s="34" t="s">
        <v>1612</v>
      </c>
      <c r="B74" s="34" t="s">
        <v>1611</v>
      </c>
      <c r="C74" s="36" t="s">
        <v>4234</v>
      </c>
      <c r="E74" s="34" t="s">
        <v>3860</v>
      </c>
      <c r="F74" s="34" t="s">
        <v>3881</v>
      </c>
      <c r="G74" s="3">
        <v>45603.041666666701</v>
      </c>
      <c r="H74" s="35">
        <f ca="1">YEAR(TODAY()) - YEAR(G74) - (IF(DATE(YEAR(TODAY()), MONTH(G74), DAY(G74)) &gt; TODAY(), 1, 0))</f>
        <v>1</v>
      </c>
      <c r="I74" cm="1">
        <f t="array" ref="I74">SUMPRODUCT(--(BRON!$A$2:$A$1197=Table1[[#This Row],[Personeelsnummer]]))</f>
        <v>0</v>
      </c>
    </row>
    <row r="75" spans="1:9" x14ac:dyDescent="0.25">
      <c r="A75" s="34" t="s">
        <v>1351</v>
      </c>
      <c r="B75" s="34" t="s">
        <v>3279</v>
      </c>
      <c r="C75" s="36" t="s">
        <v>4239</v>
      </c>
      <c r="E75" s="34" t="s">
        <v>3860</v>
      </c>
      <c r="F75" s="34" t="s">
        <v>3881</v>
      </c>
      <c r="G75" s="3">
        <v>45603.041666666701</v>
      </c>
      <c r="H75" s="35">
        <f ca="1">YEAR(TODAY()) - YEAR(G75) - (IF(DATE(YEAR(TODAY()), MONTH(G75), DAY(G75)) &gt; TODAY(), 1, 0))</f>
        <v>1</v>
      </c>
      <c r="I75" cm="1">
        <f t="array" ref="I75">SUMPRODUCT(--(BRON!$A$2:$A$1197=Table1[[#This Row],[Personeelsnummer]]))</f>
        <v>0</v>
      </c>
    </row>
    <row r="76" spans="1:9" x14ac:dyDescent="0.25">
      <c r="A76" s="34" t="s">
        <v>2053</v>
      </c>
      <c r="B76" s="34" t="s">
        <v>2052</v>
      </c>
      <c r="C76" s="36" t="s">
        <v>4241</v>
      </c>
      <c r="E76" s="34" t="s">
        <v>3860</v>
      </c>
      <c r="F76" s="34" t="s">
        <v>3863</v>
      </c>
      <c r="G76" s="3">
        <v>45618.041666666701</v>
      </c>
      <c r="H76" s="35">
        <f ca="1">YEAR(TODAY()) - YEAR(G76) - (IF(DATE(YEAR(TODAY()), MONTH(G76), DAY(G76)) &gt; TODAY(), 1, 0))</f>
        <v>1</v>
      </c>
      <c r="I76" cm="1">
        <f t="array" ref="I76">SUMPRODUCT(--(BRON!$A$2:$A$1197=Table1[[#This Row],[Personeelsnummer]]))</f>
        <v>0</v>
      </c>
    </row>
    <row r="77" spans="1:9" x14ac:dyDescent="0.25">
      <c r="A77" s="34" t="s">
        <v>3177</v>
      </c>
      <c r="B77" s="34" t="s">
        <v>3176</v>
      </c>
      <c r="C77" s="36" t="s">
        <v>4201</v>
      </c>
      <c r="E77" s="34" t="s">
        <v>3860</v>
      </c>
      <c r="F77" s="34" t="s">
        <v>3863</v>
      </c>
      <c r="G77" s="3">
        <v>45321.041666666701</v>
      </c>
      <c r="H77" s="35">
        <f ca="1">YEAR(TODAY()) - YEAR(G77) - (IF(DATE(YEAR(TODAY()), MONTH(G77), DAY(G77)) &gt; TODAY(), 1, 0))</f>
        <v>1</v>
      </c>
      <c r="I77" cm="1">
        <f t="array" ref="I77">SUMPRODUCT(--(BRON!$A$2:$A$1197=Table1[[#This Row],[Personeelsnummer]]))</f>
        <v>0</v>
      </c>
    </row>
    <row r="78" spans="1:9" x14ac:dyDescent="0.25">
      <c r="A78" s="34" t="s">
        <v>1422</v>
      </c>
      <c r="B78" s="34" t="s">
        <v>1421</v>
      </c>
      <c r="C78" s="36" t="s">
        <v>4207</v>
      </c>
      <c r="E78" s="34" t="s">
        <v>3860</v>
      </c>
      <c r="F78" s="34" t="s">
        <v>3863</v>
      </c>
      <c r="G78" s="3">
        <v>45394.083333333299</v>
      </c>
      <c r="H78" s="35">
        <f ca="1">YEAR(TODAY()) - YEAR(G78) - (IF(DATE(YEAR(TODAY()), MONTH(G78), DAY(G78)) &gt; TODAY(), 1, 0))</f>
        <v>1</v>
      </c>
      <c r="I78" cm="1">
        <f t="array" ref="I78">SUMPRODUCT(--(BRON!$A$2:$A$1197=Table1[[#This Row],[Personeelsnummer]]))</f>
        <v>0</v>
      </c>
    </row>
    <row r="79" spans="1:9" x14ac:dyDescent="0.25">
      <c r="A79" s="34" t="s">
        <v>1701</v>
      </c>
      <c r="B79" s="34" t="s">
        <v>3163</v>
      </c>
      <c r="C79" s="36" t="s">
        <v>4210</v>
      </c>
      <c r="E79" s="34" t="s">
        <v>3860</v>
      </c>
      <c r="F79" s="34" t="s">
        <v>3854</v>
      </c>
      <c r="G79" s="3">
        <v>45394.083333333299</v>
      </c>
      <c r="H79" s="35">
        <f ca="1">YEAR(TODAY()) - YEAR(G79) - (IF(DATE(YEAR(TODAY()), MONTH(G79), DAY(G79)) &gt; TODAY(), 1, 0))</f>
        <v>1</v>
      </c>
      <c r="I79" cm="1">
        <f t="array" ref="I79">SUMPRODUCT(--(BRON!$A$2:$A$1197=Table1[[#This Row],[Personeelsnummer]]))</f>
        <v>0</v>
      </c>
    </row>
    <row r="80" spans="1:9" x14ac:dyDescent="0.25">
      <c r="A80" s="34" t="s">
        <v>2199</v>
      </c>
      <c r="B80" s="34" t="s">
        <v>2198</v>
      </c>
      <c r="C80" s="36" t="s">
        <v>4212</v>
      </c>
      <c r="E80" s="34" t="s">
        <v>3860</v>
      </c>
      <c r="F80" s="34" t="s">
        <v>3881</v>
      </c>
      <c r="G80" s="3">
        <v>45481.083333333299</v>
      </c>
      <c r="H80" s="35">
        <f ca="1">YEAR(TODAY()) - YEAR(G80) - (IF(DATE(YEAR(TODAY()), MONTH(G80), DAY(G80)) &gt; TODAY(), 1, 0))</f>
        <v>1</v>
      </c>
      <c r="I80" cm="1">
        <f t="array" ref="I80">SUMPRODUCT(--(BRON!$A$2:$A$1197=Table1[[#This Row],[Personeelsnummer]]))</f>
        <v>0</v>
      </c>
    </row>
    <row r="81" spans="1:9" x14ac:dyDescent="0.25">
      <c r="A81" s="34" t="s">
        <v>1722</v>
      </c>
      <c r="B81" s="34" t="s">
        <v>1721</v>
      </c>
      <c r="C81" s="36" t="s">
        <v>4229</v>
      </c>
      <c r="E81" s="34" t="s">
        <v>3860</v>
      </c>
      <c r="F81" s="34" t="s">
        <v>3854</v>
      </c>
      <c r="G81" s="3">
        <v>45530.083333333299</v>
      </c>
      <c r="H81" s="35">
        <f ca="1">YEAR(TODAY()) - YEAR(G81) - (IF(DATE(YEAR(TODAY()), MONTH(G81), DAY(G81)) &gt; TODAY(), 1, 0))</f>
        <v>1</v>
      </c>
      <c r="I81" cm="1">
        <f t="array" ref="I81">SUMPRODUCT(--(BRON!$A$2:$A$1197=Table1[[#This Row],[Personeelsnummer]]))</f>
        <v>0</v>
      </c>
    </row>
    <row r="82" spans="1:9" x14ac:dyDescent="0.25">
      <c r="A82" s="34" t="s">
        <v>1983</v>
      </c>
      <c r="B82" s="34" t="s">
        <v>1982</v>
      </c>
      <c r="C82" s="36" t="s">
        <v>4170</v>
      </c>
      <c r="E82" s="34" t="s">
        <v>3857</v>
      </c>
      <c r="F82" s="34" t="s">
        <v>3863</v>
      </c>
      <c r="G82" s="3">
        <v>45286.041666666701</v>
      </c>
      <c r="H82" s="35">
        <f ca="1">YEAR(TODAY()) - YEAR(G82) - (IF(DATE(YEAR(TODAY()), MONTH(G82), DAY(G82)) &gt; TODAY(), 1, 0))</f>
        <v>1</v>
      </c>
      <c r="I82" cm="1">
        <f t="array" ref="I82">SUMPRODUCT(--(BRON!$A$2:$A$1197=Table1[[#This Row],[Personeelsnummer]]))</f>
        <v>0</v>
      </c>
    </row>
    <row r="83" spans="1:9" x14ac:dyDescent="0.25">
      <c r="A83" s="34" t="s">
        <v>2483</v>
      </c>
      <c r="B83" s="34" t="s">
        <v>2486</v>
      </c>
      <c r="C83" s="36" t="s">
        <v>4188</v>
      </c>
      <c r="E83" s="34" t="s">
        <v>3860</v>
      </c>
      <c r="F83" s="34" t="s">
        <v>3864</v>
      </c>
      <c r="G83" s="3">
        <v>45264.041666666701</v>
      </c>
      <c r="H83" s="35">
        <f ca="1">YEAR(TODAY()) - YEAR(G83) - (IF(DATE(YEAR(TODAY()), MONTH(G83), DAY(G83)) &gt; TODAY(), 1, 0))</f>
        <v>1</v>
      </c>
      <c r="I83" cm="1">
        <f t="array" ref="I83">SUMPRODUCT(--(BRON!$A$2:$A$1197=Table1[[#This Row],[Personeelsnummer]]))</f>
        <v>0</v>
      </c>
    </row>
    <row r="84" spans="1:9" x14ac:dyDescent="0.25">
      <c r="A84" s="34" t="s">
        <v>1686</v>
      </c>
      <c r="B84" s="34" t="s">
        <v>1689</v>
      </c>
      <c r="C84" s="36" t="s">
        <v>4203</v>
      </c>
      <c r="E84" s="34" t="s">
        <v>3860</v>
      </c>
      <c r="F84" s="34" t="s">
        <v>3881</v>
      </c>
      <c r="G84" s="3">
        <v>45364.041666666701</v>
      </c>
      <c r="H84" s="35">
        <f ca="1">YEAR(TODAY()) - YEAR(G84) - (IF(DATE(YEAR(TODAY()), MONTH(G84), DAY(G84)) &gt; TODAY(), 1, 0))</f>
        <v>1</v>
      </c>
      <c r="I84" cm="1">
        <f t="array" ref="I84">SUMPRODUCT(--(BRON!$A$2:$A$1197=Table1[[#This Row],[Personeelsnummer]]))</f>
        <v>0</v>
      </c>
    </row>
    <row r="85" spans="1:9" x14ac:dyDescent="0.25">
      <c r="A85" s="34" t="s">
        <v>2876</v>
      </c>
      <c r="B85" s="34" t="s">
        <v>2875</v>
      </c>
      <c r="C85" s="36" t="s">
        <v>4208</v>
      </c>
      <c r="E85" s="34" t="s">
        <v>3860</v>
      </c>
      <c r="F85" s="34" t="s">
        <v>3863</v>
      </c>
      <c r="G85" s="3">
        <v>45378.041666666701</v>
      </c>
      <c r="H85" s="35">
        <f ca="1">YEAR(TODAY()) - YEAR(G85) - (IF(DATE(YEAR(TODAY()), MONTH(G85), DAY(G85)) &gt; TODAY(), 1, 0))</f>
        <v>1</v>
      </c>
      <c r="I85" cm="1">
        <f t="array" ref="I85">SUMPRODUCT(--(BRON!$A$2:$A$1197=Table1[[#This Row],[Personeelsnummer]]))</f>
        <v>0</v>
      </c>
    </row>
    <row r="86" spans="1:9" x14ac:dyDescent="0.25">
      <c r="A86" s="34" t="s">
        <v>3374</v>
      </c>
      <c r="B86" s="34" t="s">
        <v>3373</v>
      </c>
      <c r="C86" s="36" t="s">
        <v>4216</v>
      </c>
      <c r="E86" s="34" t="s">
        <v>3860</v>
      </c>
      <c r="F86" s="34" t="s">
        <v>3864</v>
      </c>
      <c r="G86" s="3">
        <v>45442.083333333299</v>
      </c>
      <c r="H86" s="35">
        <f ca="1">YEAR(TODAY()) - YEAR(G86) - (IF(DATE(YEAR(TODAY()), MONTH(G86), DAY(G86)) &gt; TODAY(), 1, 0))</f>
        <v>1</v>
      </c>
      <c r="I86" cm="1">
        <f t="array" ref="I86">SUMPRODUCT(--(BRON!$A$2:$A$1197=Table1[[#This Row],[Personeelsnummer]]))</f>
        <v>0</v>
      </c>
    </row>
    <row r="87" spans="1:9" x14ac:dyDescent="0.25">
      <c r="A87" s="34" t="s">
        <v>3469</v>
      </c>
      <c r="B87" s="34" t="s">
        <v>3468</v>
      </c>
      <c r="C87" s="36" t="s">
        <v>4227</v>
      </c>
      <c r="E87" s="34" t="s">
        <v>3860</v>
      </c>
      <c r="F87" s="34" t="s">
        <v>3870</v>
      </c>
      <c r="G87" s="3">
        <v>45544.083333333299</v>
      </c>
      <c r="H87" s="35">
        <f ca="1">YEAR(TODAY()) - YEAR(G87) - (IF(DATE(YEAR(TODAY()), MONTH(G87), DAY(G87)) &gt; TODAY(), 1, 0))</f>
        <v>1</v>
      </c>
      <c r="I87" cm="1">
        <f t="array" ref="I87">SUMPRODUCT(--(BRON!$A$2:$A$1197=Table1[[#This Row],[Personeelsnummer]]))</f>
        <v>0</v>
      </c>
    </row>
    <row r="88" spans="1:9" x14ac:dyDescent="0.25">
      <c r="A88" s="34" t="s">
        <v>2081</v>
      </c>
      <c r="B88" s="34" t="s">
        <v>2080</v>
      </c>
      <c r="C88" s="36" t="s">
        <v>4228</v>
      </c>
      <c r="E88" s="34" t="s">
        <v>3853</v>
      </c>
      <c r="F88" s="34" t="s">
        <v>3881</v>
      </c>
      <c r="G88" s="3">
        <v>45530.083333333299</v>
      </c>
      <c r="H88" s="35">
        <f ca="1">YEAR(TODAY()) - YEAR(G88) - (IF(DATE(YEAR(TODAY()), MONTH(G88), DAY(G88)) &gt; TODAY(), 1, 0))</f>
        <v>1</v>
      </c>
      <c r="I88" cm="1">
        <f t="array" ref="I88">SUMPRODUCT(--(BRON!$A$2:$A$1197=Table1[[#This Row],[Personeelsnummer]]))</f>
        <v>0</v>
      </c>
    </row>
    <row r="89" spans="1:9" x14ac:dyDescent="0.25">
      <c r="A89" s="34" t="s">
        <v>2343</v>
      </c>
      <c r="B89" s="34" t="s">
        <v>2342</v>
      </c>
      <c r="C89" s="36" t="s">
        <v>4232</v>
      </c>
      <c r="E89" s="34" t="s">
        <v>3860</v>
      </c>
      <c r="F89" s="34" t="s">
        <v>3870</v>
      </c>
      <c r="G89" s="3">
        <v>45559.083333333299</v>
      </c>
      <c r="H89" s="35">
        <f ca="1">YEAR(TODAY()) - YEAR(G89) - (IF(DATE(YEAR(TODAY()), MONTH(G89), DAY(G89)) &gt; TODAY(), 1, 0))</f>
        <v>1</v>
      </c>
      <c r="I89" cm="1">
        <f t="array" ref="I89">SUMPRODUCT(--(BRON!$A$2:$A$1197=Table1[[#This Row],[Personeelsnummer]]))</f>
        <v>0</v>
      </c>
    </row>
    <row r="90" spans="1:9" x14ac:dyDescent="0.25">
      <c r="A90" s="34" t="s">
        <v>1778</v>
      </c>
      <c r="B90" s="34" t="s">
        <v>1777</v>
      </c>
      <c r="C90" s="36" t="s">
        <v>4226</v>
      </c>
      <c r="E90" s="34" t="s">
        <v>3860</v>
      </c>
      <c r="F90" s="34" t="s">
        <v>3854</v>
      </c>
      <c r="G90" s="3">
        <v>45538.083333333299</v>
      </c>
      <c r="H90" s="35">
        <f ca="1">YEAR(TODAY()) - YEAR(G90) - (IF(DATE(YEAR(TODAY()), MONTH(G90), DAY(G90)) &gt; TODAY(), 1, 0))</f>
        <v>1</v>
      </c>
      <c r="I90" cm="1">
        <f t="array" ref="I90">SUMPRODUCT(--(BRON!$A$2:$A$1197=Table1[[#This Row],[Personeelsnummer]]))</f>
        <v>0</v>
      </c>
    </row>
    <row r="91" spans="1:9" x14ac:dyDescent="0.25">
      <c r="A91" s="34" t="s">
        <v>2596</v>
      </c>
      <c r="B91" s="34" t="s">
        <v>2595</v>
      </c>
      <c r="C91" s="36" t="s">
        <v>4238</v>
      </c>
      <c r="E91" s="34" t="s">
        <v>3860</v>
      </c>
      <c r="F91" s="34" t="s">
        <v>3881</v>
      </c>
      <c r="G91" s="3">
        <v>45603.041666666701</v>
      </c>
      <c r="H91" s="35">
        <f ca="1">YEAR(TODAY()) - YEAR(G91) - (IF(DATE(YEAR(TODAY()), MONTH(G91), DAY(G91)) &gt; TODAY(), 1, 0))</f>
        <v>1</v>
      </c>
      <c r="I91" cm="1">
        <f t="array" ref="I91">SUMPRODUCT(--(BRON!$A$2:$A$1197=Table1[[#This Row],[Personeelsnummer]]))</f>
        <v>0</v>
      </c>
    </row>
    <row r="92" spans="1:9" x14ac:dyDescent="0.25">
      <c r="A92" s="34" t="s">
        <v>1532</v>
      </c>
      <c r="B92" s="34" t="s">
        <v>1531</v>
      </c>
      <c r="C92" s="36" t="s">
        <v>4223</v>
      </c>
      <c r="E92" s="34" t="s">
        <v>3860</v>
      </c>
      <c r="F92" s="34" t="s">
        <v>3864</v>
      </c>
      <c r="G92" s="3">
        <v>45484.083333333299</v>
      </c>
      <c r="H92" s="35">
        <f ca="1">YEAR(TODAY()) - YEAR(G92) - (IF(DATE(YEAR(TODAY()), MONTH(G92), DAY(G92)) &gt; TODAY(), 1, 0))</f>
        <v>1</v>
      </c>
      <c r="I92" cm="1">
        <f t="array" ref="I92">SUMPRODUCT(--(BRON!$A$2:$A$1197=Table1[[#This Row],[Personeelsnummer]]))</f>
        <v>0</v>
      </c>
    </row>
    <row r="93" spans="1:9" x14ac:dyDescent="0.25">
      <c r="A93" s="34" t="s">
        <v>1733</v>
      </c>
      <c r="B93" s="34" t="s">
        <v>1738</v>
      </c>
      <c r="C93" s="36" t="s">
        <v>4202</v>
      </c>
      <c r="E93" s="34" t="s">
        <v>3860</v>
      </c>
      <c r="F93" s="34" t="s">
        <v>3863</v>
      </c>
      <c r="G93" s="3">
        <v>45335.041666666701</v>
      </c>
      <c r="H93" s="35">
        <f ca="1">YEAR(TODAY()) - YEAR(G93) - (IF(DATE(YEAR(TODAY()), MONTH(G93), DAY(G93)) &gt; TODAY(), 1, 0))</f>
        <v>1</v>
      </c>
      <c r="I93" cm="1">
        <f t="array" ref="I93">SUMPRODUCT(--(BRON!$A$2:$A$1197=Table1[[#This Row],[Personeelsnummer]]))</f>
        <v>0</v>
      </c>
    </row>
    <row r="94" spans="1:9" x14ac:dyDescent="0.25">
      <c r="A94" s="34" t="s">
        <v>2800</v>
      </c>
      <c r="B94" s="34" t="s">
        <v>1959</v>
      </c>
      <c r="C94" s="36" t="s">
        <v>4222</v>
      </c>
      <c r="E94" s="34" t="s">
        <v>3860</v>
      </c>
      <c r="F94" s="34" t="s">
        <v>3870</v>
      </c>
      <c r="G94" s="3">
        <v>45470.083333333299</v>
      </c>
      <c r="H94" s="35">
        <f ca="1">YEAR(TODAY()) - YEAR(G94) - (IF(DATE(YEAR(TODAY()), MONTH(G94), DAY(G94)) &gt; TODAY(), 1, 0))</f>
        <v>1</v>
      </c>
      <c r="I94" cm="1">
        <f t="array" ref="I94">SUMPRODUCT(--(BRON!$A$2:$A$1197=Table1[[#This Row],[Personeelsnummer]]))</f>
        <v>0</v>
      </c>
    </row>
    <row r="95" spans="1:9" x14ac:dyDescent="0.25">
      <c r="A95" s="34" t="s">
        <v>2987</v>
      </c>
      <c r="B95" s="34" t="s">
        <v>2986</v>
      </c>
      <c r="C95" s="36" t="s">
        <v>4235</v>
      </c>
      <c r="E95" s="34" t="s">
        <v>3860</v>
      </c>
      <c r="F95" s="34" t="s">
        <v>3881</v>
      </c>
      <c r="G95" s="3">
        <v>45574.083333333299</v>
      </c>
      <c r="H95" s="35">
        <f ca="1">YEAR(TODAY()) - YEAR(G95) - (IF(DATE(YEAR(TODAY()), MONTH(G95), DAY(G95)) &gt; TODAY(), 1, 0))</f>
        <v>1</v>
      </c>
      <c r="I95" cm="1">
        <f t="array" ref="I95">SUMPRODUCT(--(BRON!$A$2:$A$1197=Table1[[#This Row],[Personeelsnummer]]))</f>
        <v>0</v>
      </c>
    </row>
    <row r="96" spans="1:9" x14ac:dyDescent="0.25">
      <c r="A96" s="34" t="s">
        <v>2269</v>
      </c>
      <c r="B96" s="34" t="s">
        <v>2268</v>
      </c>
      <c r="C96" s="36" t="s">
        <v>4195</v>
      </c>
      <c r="E96" s="34" t="s">
        <v>3860</v>
      </c>
      <c r="F96" s="34" t="s">
        <v>3863</v>
      </c>
      <c r="G96" s="3">
        <v>45299.041666666701</v>
      </c>
      <c r="H96" s="35">
        <f ca="1">YEAR(TODAY()) - YEAR(G96) - (IF(DATE(YEAR(TODAY()), MONTH(G96), DAY(G96)) &gt; TODAY(), 1, 0))</f>
        <v>1</v>
      </c>
      <c r="I96" cm="1">
        <f t="array" ref="I96">SUMPRODUCT(--(BRON!$A$2:$A$1197=Table1[[#This Row],[Personeelsnummer]]))</f>
        <v>0</v>
      </c>
    </row>
    <row r="97" spans="1:9" x14ac:dyDescent="0.25">
      <c r="A97" s="34" t="s">
        <v>1579</v>
      </c>
      <c r="B97" s="34" t="s">
        <v>1578</v>
      </c>
      <c r="C97" s="36" t="s">
        <v>4204</v>
      </c>
      <c r="E97" s="34" t="s">
        <v>3860</v>
      </c>
      <c r="F97" s="34" t="s">
        <v>3863</v>
      </c>
      <c r="G97" s="3">
        <v>45335.041666666701</v>
      </c>
      <c r="H97" s="35">
        <f ca="1">YEAR(TODAY()) - YEAR(G97) - (IF(DATE(YEAR(TODAY()), MONTH(G97), DAY(G97)) &gt; TODAY(), 1, 0))</f>
        <v>1</v>
      </c>
      <c r="I97" cm="1">
        <f t="array" ref="I97">SUMPRODUCT(--(BRON!$A$2:$A$1197=Table1[[#This Row],[Personeelsnummer]]))</f>
        <v>0</v>
      </c>
    </row>
    <row r="98" spans="1:9" x14ac:dyDescent="0.25">
      <c r="A98" s="34" t="s">
        <v>2014</v>
      </c>
      <c r="B98" s="34" t="s">
        <v>3431</v>
      </c>
      <c r="C98" s="36" t="s">
        <v>4145</v>
      </c>
      <c r="E98" s="34" t="s">
        <v>3860</v>
      </c>
      <c r="F98" s="34" t="s">
        <v>3864</v>
      </c>
      <c r="G98" s="3">
        <v>44970.041666666701</v>
      </c>
      <c r="H98" s="35">
        <f ca="1">YEAR(TODAY()) - YEAR(G98) - (IF(DATE(YEAR(TODAY()), MONTH(G98), DAY(G98)) &gt; TODAY(), 1, 0))</f>
        <v>2</v>
      </c>
      <c r="I98" cm="1">
        <f t="array" ref="I98">SUMPRODUCT(--(BRON!$A$2:$A$1197=Table1[[#This Row],[Personeelsnummer]]))</f>
        <v>0</v>
      </c>
    </row>
    <row r="99" spans="1:9" x14ac:dyDescent="0.25">
      <c r="A99" s="34" t="s">
        <v>2307</v>
      </c>
      <c r="B99" s="34" t="s">
        <v>2306</v>
      </c>
      <c r="C99" s="36" t="s">
        <v>4146</v>
      </c>
      <c r="E99" s="34" t="s">
        <v>3853</v>
      </c>
      <c r="F99" s="34" t="s">
        <v>3870</v>
      </c>
      <c r="G99" s="3">
        <v>44984.041666666701</v>
      </c>
      <c r="H99" s="35">
        <f ca="1">YEAR(TODAY()) - YEAR(G99) - (IF(DATE(YEAR(TODAY()), MONTH(G99), DAY(G99)) &gt; TODAY(), 1, 0))</f>
        <v>2</v>
      </c>
      <c r="I99" cm="1">
        <f t="array" ref="I99">SUMPRODUCT(--(BRON!$A$2:$A$1197=Table1[[#This Row],[Personeelsnummer]]))</f>
        <v>0</v>
      </c>
    </row>
    <row r="100" spans="1:9" x14ac:dyDescent="0.25">
      <c r="A100" s="34" t="s">
        <v>1616</v>
      </c>
      <c r="B100" s="34" t="s">
        <v>1615</v>
      </c>
      <c r="C100" s="36" t="s">
        <v>4147</v>
      </c>
      <c r="E100" s="34" t="s">
        <v>3853</v>
      </c>
      <c r="F100" s="34" t="s">
        <v>3871</v>
      </c>
      <c r="G100" s="3">
        <v>45035.083333333299</v>
      </c>
      <c r="H100" s="35">
        <f ca="1">YEAR(TODAY()) - YEAR(G100) - (IF(DATE(YEAR(TODAY()), MONTH(G100), DAY(G100)) &gt; TODAY(), 1, 0))</f>
        <v>2</v>
      </c>
      <c r="I100" cm="1">
        <f t="array" ref="I100">SUMPRODUCT(--(BRON!$A$2:$A$1197=Table1[[#This Row],[Personeelsnummer]]))</f>
        <v>0</v>
      </c>
    </row>
    <row r="101" spans="1:9" x14ac:dyDescent="0.25">
      <c r="A101" s="34" t="s">
        <v>1763</v>
      </c>
      <c r="B101" s="34" t="s">
        <v>1762</v>
      </c>
      <c r="C101" s="36" t="s">
        <v>4148</v>
      </c>
      <c r="E101" s="34" t="s">
        <v>3860</v>
      </c>
      <c r="F101" s="34" t="s">
        <v>3871</v>
      </c>
      <c r="G101" s="3">
        <v>44998.041666666701</v>
      </c>
      <c r="H101" s="35">
        <f ca="1">YEAR(TODAY()) - YEAR(G101) - (IF(DATE(YEAR(TODAY()), MONTH(G101), DAY(G101)) &gt; TODAY(), 1, 0))</f>
        <v>2</v>
      </c>
      <c r="I101" cm="1">
        <f t="array" ref="I101">SUMPRODUCT(--(BRON!$A$2:$A$1197=Table1[[#This Row],[Personeelsnummer]]))</f>
        <v>0</v>
      </c>
    </row>
    <row r="102" spans="1:9" x14ac:dyDescent="0.25">
      <c r="A102" s="34" t="s">
        <v>1756</v>
      </c>
      <c r="B102" s="34" t="s">
        <v>1755</v>
      </c>
      <c r="C102" s="36" t="s">
        <v>4153</v>
      </c>
      <c r="E102" s="34" t="s">
        <v>3860</v>
      </c>
      <c r="F102" s="34" t="s">
        <v>3863</v>
      </c>
      <c r="G102" s="3">
        <v>45062.083333333299</v>
      </c>
      <c r="H102" s="35">
        <f ca="1">YEAR(TODAY()) - YEAR(G102) - (IF(DATE(YEAR(TODAY()), MONTH(G102), DAY(G102)) &gt; TODAY(), 1, 0))</f>
        <v>2</v>
      </c>
      <c r="I102" cm="1">
        <f t="array" ref="I102">SUMPRODUCT(--(BRON!$A$2:$A$1197=Table1[[#This Row],[Personeelsnummer]]))</f>
        <v>0</v>
      </c>
    </row>
    <row r="103" spans="1:9" x14ac:dyDescent="0.25">
      <c r="A103" s="34" t="s">
        <v>1789</v>
      </c>
      <c r="B103" s="34" t="s">
        <v>1788</v>
      </c>
      <c r="C103" s="36" t="s">
        <v>4162</v>
      </c>
      <c r="E103" s="34" t="s">
        <v>3853</v>
      </c>
      <c r="F103" s="34" t="s">
        <v>3863</v>
      </c>
      <c r="G103" s="3">
        <v>45166.083333333299</v>
      </c>
      <c r="H103" s="35">
        <f ca="1">YEAR(TODAY()) - YEAR(G103) - (IF(DATE(YEAR(TODAY()), MONTH(G103), DAY(G103)) &gt; TODAY(), 1, 0))</f>
        <v>2</v>
      </c>
      <c r="I103" cm="1">
        <f t="array" ref="I103">SUMPRODUCT(--(BRON!$A$2:$A$1197=Table1[[#This Row],[Personeelsnummer]]))</f>
        <v>0</v>
      </c>
    </row>
    <row r="104" spans="1:9" x14ac:dyDescent="0.25">
      <c r="A104" s="34" t="s">
        <v>2604</v>
      </c>
      <c r="B104" s="34" t="s">
        <v>1443</v>
      </c>
      <c r="C104" s="36" t="s">
        <v>4166</v>
      </c>
      <c r="E104" s="34" t="s">
        <v>3853</v>
      </c>
      <c r="F104" s="34" t="s">
        <v>3863</v>
      </c>
      <c r="G104" s="3">
        <v>45173.083333333299</v>
      </c>
      <c r="H104" s="35">
        <f ca="1">YEAR(TODAY()) - YEAR(G104) - (IF(DATE(YEAR(TODAY()), MONTH(G104), DAY(G104)) &gt; TODAY(), 1, 0))</f>
        <v>2</v>
      </c>
      <c r="I104" cm="1">
        <f t="array" ref="I104">SUMPRODUCT(--(BRON!$A$2:$A$1197=Table1[[#This Row],[Personeelsnummer]]))</f>
        <v>0</v>
      </c>
    </row>
    <row r="105" spans="1:9" x14ac:dyDescent="0.25">
      <c r="A105" s="34" t="s">
        <v>3273</v>
      </c>
      <c r="B105" s="34" t="s">
        <v>3272</v>
      </c>
      <c r="C105" s="36" t="s">
        <v>4174</v>
      </c>
      <c r="E105" s="34" t="s">
        <v>3853</v>
      </c>
      <c r="F105" s="34" t="s">
        <v>3864</v>
      </c>
      <c r="G105" s="3">
        <v>45208.083333333299</v>
      </c>
      <c r="H105" s="35">
        <f ca="1">YEAR(TODAY()) - YEAR(G105) - (IF(DATE(YEAR(TODAY()), MONTH(G105), DAY(G105)) &gt; TODAY(), 1, 0))</f>
        <v>2</v>
      </c>
      <c r="I105" cm="1">
        <f t="array" ref="I105">SUMPRODUCT(--(BRON!$A$2:$A$1197=Table1[[#This Row],[Personeelsnummer]]))</f>
        <v>0</v>
      </c>
    </row>
    <row r="106" spans="1:9" x14ac:dyDescent="0.25">
      <c r="A106" s="34" t="s">
        <v>2575</v>
      </c>
      <c r="B106" s="34" t="s">
        <v>2574</v>
      </c>
      <c r="C106" s="36" t="s">
        <v>4179</v>
      </c>
      <c r="E106" s="34" t="s">
        <v>3860</v>
      </c>
      <c r="F106" s="34" t="s">
        <v>3854</v>
      </c>
      <c r="G106" s="3">
        <v>45222.083333333299</v>
      </c>
      <c r="H106" s="35">
        <f ca="1">YEAR(TODAY()) - YEAR(G106) - (IF(DATE(YEAR(TODAY()), MONTH(G106), DAY(G106)) &gt; TODAY(), 1, 0))</f>
        <v>2</v>
      </c>
      <c r="I106" cm="1">
        <f t="array" ref="I106">SUMPRODUCT(--(BRON!$A$2:$A$1197=Table1[[#This Row],[Personeelsnummer]]))</f>
        <v>0</v>
      </c>
    </row>
    <row r="107" spans="1:9" x14ac:dyDescent="0.25">
      <c r="A107" s="34" t="s">
        <v>3136</v>
      </c>
      <c r="B107" s="34" t="s">
        <v>3139</v>
      </c>
      <c r="C107" s="36" t="s">
        <v>3968</v>
      </c>
      <c r="E107" s="34" t="s">
        <v>3860</v>
      </c>
      <c r="F107" s="34" t="s">
        <v>3881</v>
      </c>
      <c r="G107" s="3">
        <v>45181.083333333299</v>
      </c>
      <c r="H107" s="35">
        <f ca="1">YEAR(TODAY()) - YEAR(G107) - (IF(DATE(YEAR(TODAY()), MONTH(G107), DAY(G107)) &gt; TODAY(), 1, 0))</f>
        <v>2</v>
      </c>
      <c r="I107" cm="1">
        <f t="array" ref="I107">SUMPRODUCT(--(BRON!$A$2:$A$1197=Table1[[#This Row],[Personeelsnummer]]))</f>
        <v>0</v>
      </c>
    </row>
    <row r="108" spans="1:9" x14ac:dyDescent="0.25">
      <c r="A108" s="34" t="s">
        <v>2897</v>
      </c>
      <c r="B108" s="34" t="s">
        <v>2896</v>
      </c>
      <c r="C108" s="36" t="s">
        <v>3998</v>
      </c>
      <c r="E108" s="34" t="s">
        <v>3860</v>
      </c>
      <c r="F108" s="34" t="s">
        <v>3863</v>
      </c>
      <c r="G108" s="3">
        <v>45139.083333333299</v>
      </c>
      <c r="H108" s="35">
        <f ca="1">YEAR(TODAY()) - YEAR(G108) - (IF(DATE(YEAR(TODAY()), MONTH(G108), DAY(G108)) &gt; TODAY(), 1, 0))</f>
        <v>2</v>
      </c>
      <c r="I108" cm="1">
        <f t="array" ref="I108">SUMPRODUCT(--(BRON!$A$2:$A$1197=Table1[[#This Row],[Personeelsnummer]]))</f>
        <v>0</v>
      </c>
    </row>
    <row r="109" spans="1:9" x14ac:dyDescent="0.25">
      <c r="A109" s="34" t="s">
        <v>3335</v>
      </c>
      <c r="B109" s="34" t="s">
        <v>3334</v>
      </c>
      <c r="C109" s="36" t="s">
        <v>4154</v>
      </c>
      <c r="E109" s="34" t="s">
        <v>3853</v>
      </c>
      <c r="F109" s="34" t="s">
        <v>3863</v>
      </c>
      <c r="G109" s="3">
        <v>45027.083333333299</v>
      </c>
      <c r="H109" s="35">
        <f ca="1">YEAR(TODAY()) - YEAR(G109) - (IF(DATE(YEAR(TODAY()), MONTH(G109), DAY(G109)) &gt; TODAY(), 1, 0))</f>
        <v>2</v>
      </c>
      <c r="I109" cm="1">
        <f t="array" ref="I109">SUMPRODUCT(--(BRON!$A$2:$A$1197=Table1[[#This Row],[Personeelsnummer]]))</f>
        <v>0</v>
      </c>
    </row>
    <row r="110" spans="1:9" x14ac:dyDescent="0.25">
      <c r="A110" s="34" t="s">
        <v>2483</v>
      </c>
      <c r="B110" s="34" t="s">
        <v>2489</v>
      </c>
      <c r="C110" s="36" t="s">
        <v>4161</v>
      </c>
      <c r="E110" s="34" t="s">
        <v>3860</v>
      </c>
      <c r="F110" s="34" t="s">
        <v>3866</v>
      </c>
      <c r="G110" s="3">
        <v>45061.083333333299</v>
      </c>
      <c r="H110" s="35">
        <f ca="1">YEAR(TODAY()) - YEAR(G110) - (IF(DATE(YEAR(TODAY()), MONTH(G110), DAY(G110)) &gt; TODAY(), 1, 0))</f>
        <v>2</v>
      </c>
      <c r="I110" cm="1">
        <f t="array" ref="I110">SUMPRODUCT(--(BRON!$A$2:$A$1197=Table1[[#This Row],[Personeelsnummer]]))</f>
        <v>0</v>
      </c>
    </row>
    <row r="111" spans="1:9" x14ac:dyDescent="0.25">
      <c r="A111" s="34" t="s">
        <v>1427</v>
      </c>
      <c r="B111" s="34" t="s">
        <v>1426</v>
      </c>
      <c r="C111" s="36" t="s">
        <v>4165</v>
      </c>
      <c r="E111" s="34" t="s">
        <v>3853</v>
      </c>
      <c r="F111" s="34" t="s">
        <v>3863</v>
      </c>
      <c r="G111" s="3">
        <v>45097.083333333299</v>
      </c>
      <c r="H111" s="35">
        <f ca="1">YEAR(TODAY()) - YEAR(G111) - (IF(DATE(YEAR(TODAY()), MONTH(G111), DAY(G111)) &gt; TODAY(), 1, 0))</f>
        <v>2</v>
      </c>
      <c r="I111" cm="1">
        <f t="array" ref="I111">SUMPRODUCT(--(BRON!$A$2:$A$1197=Table1[[#This Row],[Personeelsnummer]]))</f>
        <v>0</v>
      </c>
    </row>
    <row r="112" spans="1:9" x14ac:dyDescent="0.25">
      <c r="A112" s="34" t="s">
        <v>2151</v>
      </c>
      <c r="B112" s="34" t="s">
        <v>2150</v>
      </c>
      <c r="C112" s="36" t="s">
        <v>4168</v>
      </c>
      <c r="E112" s="34" t="s">
        <v>3853</v>
      </c>
      <c r="F112" s="34" t="s">
        <v>3863</v>
      </c>
      <c r="G112" s="3">
        <v>45194.083333333299</v>
      </c>
      <c r="H112" s="35">
        <f ca="1">YEAR(TODAY()) - YEAR(G112) - (IF(DATE(YEAR(TODAY()), MONTH(G112), DAY(G112)) &gt; TODAY(), 1, 0))</f>
        <v>2</v>
      </c>
      <c r="I112" cm="1">
        <f t="array" ref="I112">SUMPRODUCT(--(BRON!$A$2:$A$1197=Table1[[#This Row],[Personeelsnummer]]))</f>
        <v>0</v>
      </c>
    </row>
    <row r="113" spans="1:9" x14ac:dyDescent="0.25">
      <c r="A113" s="34" t="s">
        <v>3169</v>
      </c>
      <c r="B113" s="34" t="s">
        <v>2975</v>
      </c>
      <c r="C113" s="36" t="s">
        <v>4172</v>
      </c>
      <c r="E113" s="34" t="s">
        <v>3860</v>
      </c>
      <c r="F113" s="34" t="s">
        <v>3874</v>
      </c>
      <c r="G113" s="3">
        <v>45208.083333333299</v>
      </c>
      <c r="H113" s="35">
        <f ca="1">YEAR(TODAY()) - YEAR(G113) - (IF(DATE(YEAR(TODAY()), MONTH(G113), DAY(G113)) &gt; TODAY(), 1, 0))</f>
        <v>2</v>
      </c>
      <c r="I113" cm="1">
        <f t="array" ref="I113">SUMPRODUCT(--(BRON!$A$2:$A$1197=Table1[[#This Row],[Personeelsnummer]]))</f>
        <v>0</v>
      </c>
    </row>
    <row r="114" spans="1:9" x14ac:dyDescent="0.25">
      <c r="A114" s="34" t="s">
        <v>2366</v>
      </c>
      <c r="B114" s="34" t="s">
        <v>2365</v>
      </c>
      <c r="C114" s="36" t="s">
        <v>4176</v>
      </c>
      <c r="E114" s="34" t="s">
        <v>3860</v>
      </c>
      <c r="F114" s="34" t="s">
        <v>3854</v>
      </c>
      <c r="G114" s="3">
        <v>45222.083333333299</v>
      </c>
      <c r="H114" s="35">
        <f ca="1">YEAR(TODAY()) - YEAR(G114) - (IF(DATE(YEAR(TODAY()), MONTH(G114), DAY(G114)) &gt; TODAY(), 1, 0))</f>
        <v>2</v>
      </c>
      <c r="I114" cm="1">
        <f t="array" ref="I114">SUMPRODUCT(--(BRON!$A$2:$A$1197=Table1[[#This Row],[Personeelsnummer]]))</f>
        <v>0</v>
      </c>
    </row>
    <row r="115" spans="1:9" x14ac:dyDescent="0.25">
      <c r="A115" s="34" t="s">
        <v>3295</v>
      </c>
      <c r="B115" s="34" t="s">
        <v>3294</v>
      </c>
      <c r="C115" s="36" t="s">
        <v>4181</v>
      </c>
      <c r="E115" s="34" t="s">
        <v>3860</v>
      </c>
      <c r="F115" s="34" t="s">
        <v>3866</v>
      </c>
      <c r="G115" s="3">
        <v>45250.041666666701</v>
      </c>
      <c r="H115" s="35">
        <f ca="1">YEAR(TODAY()) - YEAR(G115) - (IF(DATE(YEAR(TODAY()), MONTH(G115), DAY(G115)) &gt; TODAY(), 1, 0))</f>
        <v>2</v>
      </c>
      <c r="I115" cm="1">
        <f t="array" ref="I115">SUMPRODUCT(--(BRON!$A$2:$A$1197=Table1[[#This Row],[Personeelsnummer]]))</f>
        <v>0</v>
      </c>
    </row>
    <row r="116" spans="1:9" x14ac:dyDescent="0.25">
      <c r="A116" s="34" t="s">
        <v>3047</v>
      </c>
      <c r="B116" s="34" t="s">
        <v>2765</v>
      </c>
      <c r="C116" s="36" t="s">
        <v>3861</v>
      </c>
      <c r="E116" s="34" t="s">
        <v>3860</v>
      </c>
      <c r="F116" s="34" t="s">
        <v>3854</v>
      </c>
      <c r="G116" s="3">
        <v>44970.041666666701</v>
      </c>
      <c r="H116" s="35">
        <f ca="1">YEAR(TODAY()) - YEAR(G116) - (IF(DATE(YEAR(TODAY()), MONTH(G116), DAY(G116)) &gt; TODAY(), 1, 0))</f>
        <v>2</v>
      </c>
      <c r="I116" cm="1">
        <f t="array" ref="I116">SUMPRODUCT(--(BRON!$A$2:$A$1197=Table1[[#This Row],[Personeelsnummer]]))</f>
        <v>0</v>
      </c>
    </row>
    <row r="117" spans="1:9" x14ac:dyDescent="0.25">
      <c r="A117" s="34" t="s">
        <v>2245</v>
      </c>
      <c r="B117" s="34" t="s">
        <v>2244</v>
      </c>
      <c r="C117" s="36" t="s">
        <v>4149</v>
      </c>
      <c r="E117" s="34" t="s">
        <v>3860</v>
      </c>
      <c r="F117" s="34" t="s">
        <v>3871</v>
      </c>
      <c r="G117" s="3">
        <v>44970.041666666701</v>
      </c>
      <c r="H117" s="35">
        <f ca="1">YEAR(TODAY()) - YEAR(G117) - (IF(DATE(YEAR(TODAY()), MONTH(G117), DAY(G117)) &gt; TODAY(), 1, 0))</f>
        <v>2</v>
      </c>
      <c r="I117" cm="1">
        <f t="array" ref="I117">SUMPRODUCT(--(BRON!$A$2:$A$1197=Table1[[#This Row],[Personeelsnummer]]))</f>
        <v>0</v>
      </c>
    </row>
    <row r="118" spans="1:9" x14ac:dyDescent="0.25">
      <c r="A118" s="34" t="s">
        <v>1384</v>
      </c>
      <c r="B118" s="34" t="s">
        <v>1383</v>
      </c>
      <c r="C118" s="36" t="s">
        <v>4150</v>
      </c>
      <c r="E118" s="34" t="s">
        <v>3853</v>
      </c>
      <c r="F118" s="34" t="s">
        <v>3864</v>
      </c>
      <c r="G118" s="3">
        <v>45012.083333333299</v>
      </c>
      <c r="H118" s="35">
        <f ca="1">YEAR(TODAY()) - YEAR(G118) - (IF(DATE(YEAR(TODAY()), MONTH(G118), DAY(G118)) &gt; TODAY(), 1, 0))</f>
        <v>2</v>
      </c>
      <c r="I118" cm="1">
        <f t="array" ref="I118">SUMPRODUCT(--(BRON!$A$2:$A$1197=Table1[[#This Row],[Personeelsnummer]]))</f>
        <v>0</v>
      </c>
    </row>
    <row r="119" spans="1:9" x14ac:dyDescent="0.25">
      <c r="A119" s="34" t="s">
        <v>1706</v>
      </c>
      <c r="B119" s="34" t="s">
        <v>1705</v>
      </c>
      <c r="C119" s="36" t="s">
        <v>4152</v>
      </c>
      <c r="E119" s="34" t="s">
        <v>3860</v>
      </c>
      <c r="F119" s="34" t="s">
        <v>3871</v>
      </c>
      <c r="G119" s="3">
        <v>45027.083333333299</v>
      </c>
      <c r="H119" s="35">
        <f ca="1">YEAR(TODAY()) - YEAR(G119) - (IF(DATE(YEAR(TODAY()), MONTH(G119), DAY(G119)) &gt; TODAY(), 1, 0))</f>
        <v>2</v>
      </c>
      <c r="I119" cm="1">
        <f t="array" ref="I119">SUMPRODUCT(--(BRON!$A$2:$A$1197=Table1[[#This Row],[Personeelsnummer]]))</f>
        <v>0</v>
      </c>
    </row>
    <row r="120" spans="1:9" x14ac:dyDescent="0.25">
      <c r="A120" s="34" t="s">
        <v>2770</v>
      </c>
      <c r="B120" s="34" t="s">
        <v>2769</v>
      </c>
      <c r="C120" s="36" t="s">
        <v>4159</v>
      </c>
      <c r="E120" s="34" t="s">
        <v>3860</v>
      </c>
      <c r="F120" s="34" t="s">
        <v>3871</v>
      </c>
      <c r="G120" s="3">
        <v>45076.083333333299</v>
      </c>
      <c r="H120" s="35">
        <f ca="1">YEAR(TODAY()) - YEAR(G120) - (IF(DATE(YEAR(TODAY()), MONTH(G120), DAY(G120)) &gt; TODAY(), 1, 0))</f>
        <v>2</v>
      </c>
      <c r="I120" cm="1">
        <f t="array" ref="I120">SUMPRODUCT(--(BRON!$A$2:$A$1197=Table1[[#This Row],[Personeelsnummer]]))</f>
        <v>0</v>
      </c>
    </row>
    <row r="121" spans="1:9" x14ac:dyDescent="0.25">
      <c r="A121" s="34" t="s">
        <v>2390</v>
      </c>
      <c r="B121" s="34" t="s">
        <v>2389</v>
      </c>
      <c r="C121" s="36" t="s">
        <v>4160</v>
      </c>
      <c r="E121" s="34" t="s">
        <v>3860</v>
      </c>
      <c r="F121" s="34" t="s">
        <v>3864</v>
      </c>
      <c r="G121" s="3">
        <v>45076.083333333299</v>
      </c>
      <c r="H121" s="35">
        <f ca="1">YEAR(TODAY()) - YEAR(G121) - (IF(DATE(YEAR(TODAY()), MONTH(G121), DAY(G121)) &gt; TODAY(), 1, 0))</f>
        <v>2</v>
      </c>
      <c r="I121" cm="1">
        <f t="array" ref="I121">SUMPRODUCT(--(BRON!$A$2:$A$1197=Table1[[#This Row],[Personeelsnummer]]))</f>
        <v>0</v>
      </c>
    </row>
    <row r="122" spans="1:9" x14ac:dyDescent="0.25">
      <c r="A122" s="34" t="s">
        <v>3395</v>
      </c>
      <c r="B122" s="34" t="s">
        <v>3394</v>
      </c>
      <c r="C122" s="36" t="s">
        <v>4163</v>
      </c>
      <c r="E122" s="34" t="s">
        <v>3860</v>
      </c>
      <c r="F122" s="34" t="s">
        <v>3871</v>
      </c>
      <c r="G122" s="3">
        <v>45090.083333333299</v>
      </c>
      <c r="H122" s="35">
        <f ca="1">YEAR(TODAY()) - YEAR(G122) - (IF(DATE(YEAR(TODAY()), MONTH(G122), DAY(G122)) &gt; TODAY(), 1, 0))</f>
        <v>2</v>
      </c>
      <c r="I122" cm="1">
        <f t="array" ref="I122">SUMPRODUCT(--(BRON!$A$2:$A$1197=Table1[[#This Row],[Personeelsnummer]]))</f>
        <v>0</v>
      </c>
    </row>
    <row r="123" spans="1:9" x14ac:dyDescent="0.25">
      <c r="A123" s="34" t="s">
        <v>2495</v>
      </c>
      <c r="B123" s="34" t="s">
        <v>1964</v>
      </c>
      <c r="C123" s="36" t="s">
        <v>4143</v>
      </c>
      <c r="E123" s="34" t="s">
        <v>3860</v>
      </c>
      <c r="F123" s="34" t="s">
        <v>3871</v>
      </c>
      <c r="G123" s="3">
        <v>44942.041666666701</v>
      </c>
      <c r="H123" s="35">
        <f ca="1">YEAR(TODAY()) - YEAR(G123) - (IF(DATE(YEAR(TODAY()), MONTH(G123), DAY(G123)) &gt; TODAY(), 1, 0))</f>
        <v>2</v>
      </c>
      <c r="I123" cm="1">
        <f t="array" ref="I123">SUMPRODUCT(--(BRON!$A$2:$A$1197=Table1[[#This Row],[Personeelsnummer]]))</f>
        <v>0</v>
      </c>
    </row>
    <row r="124" spans="1:9" x14ac:dyDescent="0.25">
      <c r="A124" s="34" t="s">
        <v>2129</v>
      </c>
      <c r="B124" s="34" t="s">
        <v>2128</v>
      </c>
      <c r="C124" s="36" t="s">
        <v>4151</v>
      </c>
      <c r="E124" s="34" t="s">
        <v>3853</v>
      </c>
      <c r="F124" s="34" t="s">
        <v>3866</v>
      </c>
      <c r="G124" s="3">
        <v>45027.083333333299</v>
      </c>
      <c r="H124" s="35">
        <f ca="1">YEAR(TODAY()) - YEAR(G124) - (IF(DATE(YEAR(TODAY()), MONTH(G124), DAY(G124)) &gt; TODAY(), 1, 0))</f>
        <v>2</v>
      </c>
      <c r="I124" cm="1">
        <f t="array" ref="I124">SUMPRODUCT(--(BRON!$A$2:$A$1197=Table1[[#This Row],[Personeelsnummer]]))</f>
        <v>0</v>
      </c>
    </row>
    <row r="125" spans="1:9" x14ac:dyDescent="0.25">
      <c r="A125" s="34" t="s">
        <v>3173</v>
      </c>
      <c r="B125" s="34" t="s">
        <v>3172</v>
      </c>
      <c r="C125" s="36" t="s">
        <v>4155</v>
      </c>
      <c r="E125" s="34" t="s">
        <v>3860</v>
      </c>
      <c r="F125" s="34" t="s">
        <v>3863</v>
      </c>
      <c r="G125" s="3">
        <v>45027.083333333299</v>
      </c>
      <c r="H125" s="35">
        <f ca="1">YEAR(TODAY()) - YEAR(G125) - (IF(DATE(YEAR(TODAY()), MONTH(G125), DAY(G125)) &gt; TODAY(), 1, 0))</f>
        <v>2</v>
      </c>
      <c r="I125" cm="1">
        <f t="array" ref="I125">SUMPRODUCT(--(BRON!$A$2:$A$1197=Table1[[#This Row],[Personeelsnummer]]))</f>
        <v>0</v>
      </c>
    </row>
    <row r="126" spans="1:9" x14ac:dyDescent="0.25">
      <c r="A126" s="34" t="s">
        <v>2909</v>
      </c>
      <c r="B126" s="34" t="s">
        <v>2908</v>
      </c>
      <c r="C126" s="36" t="s">
        <v>4157</v>
      </c>
      <c r="E126" s="34" t="s">
        <v>3860</v>
      </c>
      <c r="F126" s="34" t="s">
        <v>3864</v>
      </c>
      <c r="G126" s="3">
        <v>45040.083333333299</v>
      </c>
      <c r="H126" s="35">
        <f ca="1">YEAR(TODAY()) - YEAR(G126) - (IF(DATE(YEAR(TODAY()), MONTH(G126), DAY(G126)) &gt; TODAY(), 1, 0))</f>
        <v>2</v>
      </c>
      <c r="I126" cm="1">
        <f t="array" ref="I126">SUMPRODUCT(--(BRON!$A$2:$A$1197=Table1[[#This Row],[Personeelsnummer]]))</f>
        <v>0</v>
      </c>
    </row>
    <row r="127" spans="1:9" x14ac:dyDescent="0.25">
      <c r="A127" s="34" t="s">
        <v>3362</v>
      </c>
      <c r="B127" s="34" t="s">
        <v>3361</v>
      </c>
      <c r="C127" s="36" t="s">
        <v>4164</v>
      </c>
      <c r="E127" s="34" t="s">
        <v>3860</v>
      </c>
      <c r="F127" s="34" t="s">
        <v>3863</v>
      </c>
      <c r="G127" s="3">
        <v>45103.083333333299</v>
      </c>
      <c r="H127" s="35">
        <f ca="1">YEAR(TODAY()) - YEAR(G127) - (IF(DATE(YEAR(TODAY()), MONTH(G127), DAY(G127)) &gt; TODAY(), 1, 0))</f>
        <v>2</v>
      </c>
      <c r="I127" cm="1">
        <f t="array" ref="I127">SUMPRODUCT(--(BRON!$A$2:$A$1197=Table1[[#This Row],[Personeelsnummer]]))</f>
        <v>0</v>
      </c>
    </row>
    <row r="128" spans="1:9" x14ac:dyDescent="0.25">
      <c r="A128" s="34" t="s">
        <v>1903</v>
      </c>
      <c r="B128" s="34" t="s">
        <v>1902</v>
      </c>
      <c r="C128" s="36" t="s">
        <v>4169</v>
      </c>
      <c r="E128" s="34" t="s">
        <v>3860</v>
      </c>
      <c r="F128" s="34" t="s">
        <v>3863</v>
      </c>
      <c r="G128" s="3">
        <v>45236.041666666701</v>
      </c>
      <c r="H128" s="35">
        <f ca="1">YEAR(TODAY()) - YEAR(G128) - (IF(DATE(YEAR(TODAY()), MONTH(G128), DAY(G128)) &gt; TODAY(), 1, 0))</f>
        <v>2</v>
      </c>
      <c r="I128" cm="1">
        <f t="array" ref="I128">SUMPRODUCT(--(BRON!$A$2:$A$1197=Table1[[#This Row],[Personeelsnummer]]))</f>
        <v>0</v>
      </c>
    </row>
    <row r="129" spans="1:9" x14ac:dyDescent="0.25">
      <c r="A129" s="34" t="s">
        <v>1622</v>
      </c>
      <c r="B129" s="34" t="s">
        <v>1621</v>
      </c>
      <c r="C129" s="36" t="s">
        <v>4175</v>
      </c>
      <c r="E129" s="34" t="s">
        <v>3860</v>
      </c>
      <c r="F129" s="34" t="s">
        <v>3854</v>
      </c>
      <c r="G129" s="3">
        <v>45208.083333333299</v>
      </c>
      <c r="H129" s="35">
        <f ca="1">YEAR(TODAY()) - YEAR(G129) - (IF(DATE(YEAR(TODAY()), MONTH(G129), DAY(G129)) &gt; TODAY(), 1, 0))</f>
        <v>2</v>
      </c>
      <c r="I129" cm="1">
        <f t="array" ref="I129">SUMPRODUCT(--(BRON!$A$2:$A$1197=Table1[[#This Row],[Personeelsnummer]]))</f>
        <v>0</v>
      </c>
    </row>
    <row r="130" spans="1:9" x14ac:dyDescent="0.25">
      <c r="A130" s="34" t="s">
        <v>1210</v>
      </c>
      <c r="B130" s="34" t="s">
        <v>1048</v>
      </c>
      <c r="C130" s="36" t="s">
        <v>4180</v>
      </c>
      <c r="E130" s="34" t="s">
        <v>3860</v>
      </c>
      <c r="F130" s="34" t="s">
        <v>3864</v>
      </c>
      <c r="G130" s="3">
        <v>45236.041666666701</v>
      </c>
      <c r="H130" s="35">
        <f ca="1">YEAR(TODAY()) - YEAR(G130) - (IF(DATE(YEAR(TODAY()), MONTH(G130), DAY(G130)) &gt; TODAY(), 1, 0))</f>
        <v>2</v>
      </c>
      <c r="I130" cm="1">
        <f t="array" ref="I130">SUMPRODUCT(--(BRON!$A$2:$A$1197=Table1[[#This Row],[Personeelsnummer]]))</f>
        <v>0</v>
      </c>
    </row>
    <row r="131" spans="1:9" x14ac:dyDescent="0.25">
      <c r="A131" s="34" t="s">
        <v>2249</v>
      </c>
      <c r="B131" s="34" t="s">
        <v>2248</v>
      </c>
      <c r="C131" s="36" t="s">
        <v>4061</v>
      </c>
      <c r="E131" s="34" t="s">
        <v>3853</v>
      </c>
      <c r="F131" s="34" t="s">
        <v>3874</v>
      </c>
      <c r="G131" s="3">
        <v>44971.041666666701</v>
      </c>
      <c r="H131" s="35">
        <f ca="1">YEAR(TODAY()) - YEAR(G131) - (IF(DATE(YEAR(TODAY()), MONTH(G131), DAY(G131)) &gt; TODAY(), 1, 0))</f>
        <v>2</v>
      </c>
      <c r="I131" cm="1">
        <f t="array" ref="I131">SUMPRODUCT(--(BRON!$A$2:$A$1197=Table1[[#This Row],[Personeelsnummer]]))</f>
        <v>0</v>
      </c>
    </row>
    <row r="132" spans="1:9" x14ac:dyDescent="0.25">
      <c r="A132" s="34" t="s">
        <v>2631</v>
      </c>
      <c r="B132" s="34" t="s">
        <v>2630</v>
      </c>
      <c r="C132" s="36" t="s">
        <v>4144</v>
      </c>
      <c r="E132" s="34" t="s">
        <v>3853</v>
      </c>
      <c r="F132" s="34" t="s">
        <v>3871</v>
      </c>
      <c r="G132" s="3">
        <v>44956.041666666701</v>
      </c>
      <c r="H132" s="35">
        <f ca="1">YEAR(TODAY()) - YEAR(G132) - (IF(DATE(YEAR(TODAY()), MONTH(G132), DAY(G132)) &gt; TODAY(), 1, 0))</f>
        <v>2</v>
      </c>
      <c r="I132" cm="1">
        <f t="array" ref="I132">SUMPRODUCT(--(BRON!$A$2:$A$1197=Table1[[#This Row],[Personeelsnummer]]))</f>
        <v>0</v>
      </c>
    </row>
    <row r="133" spans="1:9" x14ac:dyDescent="0.25">
      <c r="A133" s="34" t="s">
        <v>2604</v>
      </c>
      <c r="B133" s="34" t="s">
        <v>2607</v>
      </c>
      <c r="C133" s="36" t="s">
        <v>4156</v>
      </c>
      <c r="E133" s="34" t="s">
        <v>3860</v>
      </c>
      <c r="F133" s="34" t="s">
        <v>3871</v>
      </c>
      <c r="G133" s="3">
        <v>45090.083333333299</v>
      </c>
      <c r="H133" s="35">
        <f ca="1">YEAR(TODAY()) - YEAR(G133) - (IF(DATE(YEAR(TODAY()), MONTH(G133), DAY(G133)) &gt; TODAY(), 1, 0))</f>
        <v>2</v>
      </c>
      <c r="I133" cm="1">
        <f t="array" ref="I133">SUMPRODUCT(--(BRON!$A$2:$A$1197=Table1[[#This Row],[Personeelsnummer]]))</f>
        <v>0</v>
      </c>
    </row>
    <row r="134" spans="1:9" x14ac:dyDescent="0.25">
      <c r="A134" s="34" t="s">
        <v>2584</v>
      </c>
      <c r="B134" s="34" t="s">
        <v>2583</v>
      </c>
      <c r="C134" s="36" t="s">
        <v>4167</v>
      </c>
      <c r="E134" s="34" t="s">
        <v>3860</v>
      </c>
      <c r="F134" s="34" t="s">
        <v>3863</v>
      </c>
      <c r="G134" s="3">
        <v>45124.083333333299</v>
      </c>
      <c r="H134" s="35">
        <f ca="1">YEAR(TODAY()) - YEAR(G134) - (IF(DATE(YEAR(TODAY()), MONTH(G134), DAY(G134)) &gt; TODAY(), 1, 0))</f>
        <v>2</v>
      </c>
      <c r="I134" cm="1">
        <f t="array" ref="I134">SUMPRODUCT(--(BRON!$A$2:$A$1197=Table1[[#This Row],[Personeelsnummer]]))</f>
        <v>0</v>
      </c>
    </row>
    <row r="135" spans="1:9" x14ac:dyDescent="0.25">
      <c r="A135" s="34" t="s">
        <v>2370</v>
      </c>
      <c r="B135" s="34" t="s">
        <v>2369</v>
      </c>
      <c r="C135" s="36" t="s">
        <v>4173</v>
      </c>
      <c r="E135" s="34" t="s">
        <v>3860</v>
      </c>
      <c r="F135" s="34" t="s">
        <v>3871</v>
      </c>
      <c r="G135" s="3">
        <v>45194.083333333299</v>
      </c>
      <c r="H135" s="35">
        <f ca="1">YEAR(TODAY()) - YEAR(G135) - (IF(DATE(YEAR(TODAY()), MONTH(G135), DAY(G135)) &gt; TODAY(), 1, 0))</f>
        <v>2</v>
      </c>
      <c r="I135" cm="1">
        <f t="array" ref="I135">SUMPRODUCT(--(BRON!$A$2:$A$1197=Table1[[#This Row],[Personeelsnummer]]))</f>
        <v>0</v>
      </c>
    </row>
    <row r="136" spans="1:9" x14ac:dyDescent="0.25">
      <c r="A136" s="34" t="s">
        <v>2733</v>
      </c>
      <c r="B136" s="34" t="s">
        <v>2732</v>
      </c>
      <c r="C136" s="36" t="s">
        <v>4178</v>
      </c>
      <c r="E136" s="34" t="s">
        <v>3860</v>
      </c>
      <c r="F136" s="34" t="s">
        <v>3870</v>
      </c>
      <c r="G136" s="3">
        <v>45236.041666666701</v>
      </c>
      <c r="H136" s="35">
        <f ca="1">YEAR(TODAY()) - YEAR(G136) - (IF(DATE(YEAR(TODAY()), MONTH(G136), DAY(G136)) &gt; TODAY(), 1, 0))</f>
        <v>2</v>
      </c>
      <c r="I136" cm="1">
        <f t="array" ref="I136">SUMPRODUCT(--(BRON!$A$2:$A$1197=Table1[[#This Row],[Personeelsnummer]]))</f>
        <v>0</v>
      </c>
    </row>
    <row r="137" spans="1:9" x14ac:dyDescent="0.25">
      <c r="A137" s="34" t="s">
        <v>2030</v>
      </c>
      <c r="B137" s="34" t="s">
        <v>2029</v>
      </c>
      <c r="C137" s="36" t="s">
        <v>4171</v>
      </c>
      <c r="E137" s="34" t="s">
        <v>3853</v>
      </c>
      <c r="F137" s="34" t="s">
        <v>3863</v>
      </c>
      <c r="G137" s="3">
        <v>45208.083333333299</v>
      </c>
      <c r="H137" s="35">
        <f ca="1">YEAR(TODAY()) - YEAR(G137) - (IF(DATE(YEAR(TODAY()), MONTH(G137), DAY(G137)) &gt; TODAY(), 1, 0))</f>
        <v>2</v>
      </c>
      <c r="I137" cm="1">
        <f t="array" ref="I137">SUMPRODUCT(--(BRON!$A$2:$A$1197=Table1[[#This Row],[Personeelsnummer]]))</f>
        <v>0</v>
      </c>
    </row>
    <row r="138" spans="1:9" x14ac:dyDescent="0.25">
      <c r="A138" s="34" t="s">
        <v>2792</v>
      </c>
      <c r="B138" s="34" t="s">
        <v>2795</v>
      </c>
      <c r="C138" s="36" t="s">
        <v>4177</v>
      </c>
      <c r="E138" s="34" t="s">
        <v>3860</v>
      </c>
      <c r="F138" s="34" t="s">
        <v>3864</v>
      </c>
      <c r="G138" s="3">
        <v>45222.083333333299</v>
      </c>
      <c r="H138" s="35">
        <f ca="1">YEAR(TODAY()) - YEAR(G138) - (IF(DATE(YEAR(TODAY()), MONTH(G138), DAY(G138)) &gt; TODAY(), 1, 0))</f>
        <v>2</v>
      </c>
      <c r="I138" cm="1">
        <f t="array" ref="I138">SUMPRODUCT(--(BRON!$A$2:$A$1197=Table1[[#This Row],[Personeelsnummer]]))</f>
        <v>0</v>
      </c>
    </row>
    <row r="139" spans="1:9" x14ac:dyDescent="0.25">
      <c r="A139" s="34" t="s">
        <v>2762</v>
      </c>
      <c r="B139" s="34" t="s">
        <v>2761</v>
      </c>
      <c r="C139" s="36" t="s">
        <v>4158</v>
      </c>
      <c r="E139" s="34" t="s">
        <v>3853</v>
      </c>
      <c r="F139" s="34" t="s">
        <v>3866</v>
      </c>
      <c r="G139" s="3">
        <v>45061.083333333299</v>
      </c>
      <c r="H139" s="35">
        <f ca="1">YEAR(TODAY()) - YEAR(G139) - (IF(DATE(YEAR(TODAY()), MONTH(G139), DAY(G139)) &gt; TODAY(), 1, 0))</f>
        <v>2</v>
      </c>
      <c r="I139" cm="1">
        <f t="array" ref="I139">SUMPRODUCT(--(BRON!$A$2:$A$1197=Table1[[#This Row],[Personeelsnummer]]))</f>
        <v>0</v>
      </c>
    </row>
    <row r="140" spans="1:9" x14ac:dyDescent="0.25">
      <c r="A140" s="34" t="s">
        <v>2133</v>
      </c>
      <c r="B140" s="34" t="s">
        <v>2132</v>
      </c>
      <c r="C140" s="36" t="s">
        <v>4182</v>
      </c>
      <c r="E140" s="34" t="s">
        <v>3860</v>
      </c>
      <c r="F140" s="34" t="s">
        <v>3864</v>
      </c>
      <c r="G140" s="3">
        <v>45250.041666666701</v>
      </c>
      <c r="H140" s="35">
        <f ca="1">YEAR(TODAY()) - YEAR(G140) - (IF(DATE(YEAR(TODAY()), MONTH(G140), DAY(G140)) &gt; TODAY(), 1, 0))</f>
        <v>2</v>
      </c>
      <c r="I140" cm="1">
        <f t="array" ref="I140">SUMPRODUCT(--(BRON!$A$2:$A$1197=Table1[[#This Row],[Personeelsnummer]]))</f>
        <v>0</v>
      </c>
    </row>
    <row r="141" spans="1:9" x14ac:dyDescent="0.25">
      <c r="A141" s="34" t="s">
        <v>2789</v>
      </c>
      <c r="B141" s="34" t="s">
        <v>2788</v>
      </c>
      <c r="C141" s="36" t="s">
        <v>4117</v>
      </c>
      <c r="E141" s="34" t="s">
        <v>3853</v>
      </c>
      <c r="F141" s="34" t="s">
        <v>3854</v>
      </c>
      <c r="G141" s="3">
        <v>44641.041666666701</v>
      </c>
      <c r="H141" s="35">
        <f ca="1">YEAR(TODAY()) - YEAR(G141) - (IF(DATE(YEAR(TODAY()), MONTH(G141), DAY(G141)) &gt; TODAY(), 1, 0))</f>
        <v>3</v>
      </c>
      <c r="I141" cm="1">
        <f t="array" ref="I141">SUMPRODUCT(--(BRON!$A$2:$A$1197=Table1[[#This Row],[Personeelsnummer]]))</f>
        <v>0</v>
      </c>
    </row>
    <row r="142" spans="1:9" x14ac:dyDescent="0.25">
      <c r="A142" s="34" t="s">
        <v>1662</v>
      </c>
      <c r="B142" s="34" t="s">
        <v>1661</v>
      </c>
      <c r="C142" s="36" t="s">
        <v>4118</v>
      </c>
      <c r="E142" s="34" t="s">
        <v>3860</v>
      </c>
      <c r="F142" s="34" t="s">
        <v>3854</v>
      </c>
      <c r="G142" s="3">
        <v>44664.083333333299</v>
      </c>
      <c r="H142" s="35">
        <f ca="1">YEAR(TODAY()) - YEAR(G142) - (IF(DATE(YEAR(TODAY()), MONTH(G142), DAY(G142)) &gt; TODAY(), 1, 0))</f>
        <v>3</v>
      </c>
      <c r="I142" cm="1">
        <f t="array" ref="I142">SUMPRODUCT(--(BRON!$A$2:$A$1197=Table1[[#This Row],[Personeelsnummer]]))</f>
        <v>0</v>
      </c>
    </row>
    <row r="143" spans="1:9" x14ac:dyDescent="0.25">
      <c r="A143" s="34" t="s">
        <v>1326</v>
      </c>
      <c r="B143" s="34" t="s">
        <v>2992</v>
      </c>
      <c r="C143" s="36" t="s">
        <v>4119</v>
      </c>
      <c r="E143" s="34" t="s">
        <v>3860</v>
      </c>
      <c r="F143" s="34" t="s">
        <v>3866</v>
      </c>
      <c r="G143" s="3">
        <v>44599.041666666701</v>
      </c>
      <c r="H143" s="35">
        <f ca="1">YEAR(TODAY()) - YEAR(G143) - (IF(DATE(YEAR(TODAY()), MONTH(G143), DAY(G143)) &gt; TODAY(), 1, 0))</f>
        <v>3</v>
      </c>
      <c r="I143" cm="1">
        <f t="array" ref="I143">SUMPRODUCT(--(BRON!$A$2:$A$1197=Table1[[#This Row],[Personeelsnummer]]))</f>
        <v>0</v>
      </c>
    </row>
    <row r="144" spans="1:9" x14ac:dyDescent="0.25">
      <c r="A144" s="34" t="s">
        <v>2228</v>
      </c>
      <c r="B144" s="34" t="s">
        <v>2227</v>
      </c>
      <c r="C144" s="36" t="s">
        <v>4122</v>
      </c>
      <c r="E144" s="34" t="s">
        <v>3853</v>
      </c>
      <c r="F144" s="34" t="s">
        <v>3864</v>
      </c>
      <c r="G144" s="3">
        <v>44704.083333333299</v>
      </c>
      <c r="H144" s="35">
        <f ca="1">YEAR(TODAY()) - YEAR(G144) - (IF(DATE(YEAR(TODAY()), MONTH(G144), DAY(G144)) &gt; TODAY(), 1, 0))</f>
        <v>3</v>
      </c>
      <c r="I144" cm="1">
        <f t="array" ref="I144">SUMPRODUCT(--(BRON!$A$2:$A$1197=Table1[[#This Row],[Personeelsnummer]]))</f>
        <v>0</v>
      </c>
    </row>
    <row r="145" spans="1:9" x14ac:dyDescent="0.25">
      <c r="A145" s="34" t="s">
        <v>2085</v>
      </c>
      <c r="B145" s="34" t="s">
        <v>2084</v>
      </c>
      <c r="C145" s="36" t="s">
        <v>4129</v>
      </c>
      <c r="E145" s="34" t="s">
        <v>3860</v>
      </c>
      <c r="F145" s="34" t="s">
        <v>3870</v>
      </c>
      <c r="G145" s="3">
        <v>44683.083333333299</v>
      </c>
      <c r="H145" s="35">
        <f ca="1">YEAR(TODAY()) - YEAR(G145) - (IF(DATE(YEAR(TODAY()), MONTH(G145), DAY(G145)) &gt; TODAY(), 1, 0))</f>
        <v>3</v>
      </c>
      <c r="I145" cm="1">
        <f t="array" ref="I145">SUMPRODUCT(--(BRON!$A$2:$A$1197=Table1[[#This Row],[Personeelsnummer]]))</f>
        <v>0</v>
      </c>
    </row>
    <row r="146" spans="1:9" x14ac:dyDescent="0.25">
      <c r="A146" s="34" t="s">
        <v>3157</v>
      </c>
      <c r="B146" s="34" t="s">
        <v>2327</v>
      </c>
      <c r="C146" s="36" t="s">
        <v>4132</v>
      </c>
      <c r="E146" s="34" t="s">
        <v>3860</v>
      </c>
      <c r="F146" s="34" t="s">
        <v>3874</v>
      </c>
      <c r="G146" s="3">
        <v>44739.083333333299</v>
      </c>
      <c r="H146" s="35">
        <f ca="1">YEAR(TODAY()) - YEAR(G146) - (IF(DATE(YEAR(TODAY()), MONTH(G146), DAY(G146)) &gt; TODAY(), 1, 0))</f>
        <v>3</v>
      </c>
      <c r="I146" cm="1">
        <f t="array" ref="I146">SUMPRODUCT(--(BRON!$A$2:$A$1197=Table1[[#This Row],[Personeelsnummer]]))</f>
        <v>0</v>
      </c>
    </row>
    <row r="147" spans="1:9" x14ac:dyDescent="0.25">
      <c r="A147" s="34" t="s">
        <v>2866</v>
      </c>
      <c r="B147" s="34" t="s">
        <v>1811</v>
      </c>
      <c r="C147" s="36" t="s">
        <v>4133</v>
      </c>
      <c r="E147" s="34" t="s">
        <v>3853</v>
      </c>
      <c r="F147" s="34" t="s">
        <v>3881</v>
      </c>
      <c r="G147" s="3">
        <v>44753.083333333299</v>
      </c>
      <c r="H147" s="35">
        <f ca="1">YEAR(TODAY()) - YEAR(G147) - (IF(DATE(YEAR(TODAY()), MONTH(G147), DAY(G147)) &gt; TODAY(), 1, 0))</f>
        <v>3</v>
      </c>
      <c r="I147" cm="1">
        <f t="array" ref="I147">SUMPRODUCT(--(BRON!$A$2:$A$1197=Table1[[#This Row],[Personeelsnummer]]))</f>
        <v>0</v>
      </c>
    </row>
    <row r="148" spans="1:9" x14ac:dyDescent="0.25">
      <c r="A148" s="34" t="s">
        <v>2492</v>
      </c>
      <c r="B148" s="34" t="s">
        <v>1692</v>
      </c>
      <c r="C148" s="36" t="s">
        <v>4134</v>
      </c>
      <c r="E148" s="34" t="s">
        <v>3853</v>
      </c>
      <c r="F148" s="34" t="s">
        <v>3874</v>
      </c>
      <c r="G148" s="3">
        <v>44790.083333333299</v>
      </c>
      <c r="H148" s="35">
        <f ca="1">YEAR(TODAY()) - YEAR(G148) - (IF(DATE(YEAR(TODAY()), MONTH(G148), DAY(G148)) &gt; TODAY(), 1, 0))</f>
        <v>3</v>
      </c>
      <c r="I148" cm="1">
        <f t="array" ref="I148">SUMPRODUCT(--(BRON!$A$2:$A$1197=Table1[[#This Row],[Personeelsnummer]]))</f>
        <v>0</v>
      </c>
    </row>
    <row r="149" spans="1:9" x14ac:dyDescent="0.25">
      <c r="A149" s="34" t="s">
        <v>2093</v>
      </c>
      <c r="B149" s="34" t="s">
        <v>2096</v>
      </c>
      <c r="C149" s="36" t="s">
        <v>4135</v>
      </c>
      <c r="E149" s="34" t="s">
        <v>3860</v>
      </c>
      <c r="F149" s="34" t="s">
        <v>3870</v>
      </c>
      <c r="G149" s="3">
        <v>44795.083333333299</v>
      </c>
      <c r="H149" s="35">
        <f ca="1">YEAR(TODAY()) - YEAR(G149) - (IF(DATE(YEAR(TODAY()), MONTH(G149), DAY(G149)) &gt; TODAY(), 1, 0))</f>
        <v>3</v>
      </c>
      <c r="I149" cm="1">
        <f t="array" ref="I149">SUMPRODUCT(--(BRON!$A$2:$A$1197=Table1[[#This Row],[Personeelsnummer]]))</f>
        <v>0</v>
      </c>
    </row>
    <row r="150" spans="1:9" x14ac:dyDescent="0.25">
      <c r="A150" s="34" t="s">
        <v>2203</v>
      </c>
      <c r="B150" s="34" t="s">
        <v>2206</v>
      </c>
      <c r="C150" s="36" t="s">
        <v>4137</v>
      </c>
      <c r="E150" s="34" t="s">
        <v>3860</v>
      </c>
      <c r="F150" s="34" t="s">
        <v>3874</v>
      </c>
      <c r="G150" s="3">
        <v>44823.083333333299</v>
      </c>
      <c r="H150" s="35">
        <f ca="1">YEAR(TODAY()) - YEAR(G150) - (IF(DATE(YEAR(TODAY()), MONTH(G150), DAY(G150)) &gt; TODAY(), 1, 0))</f>
        <v>3</v>
      </c>
      <c r="I150" cm="1">
        <f t="array" ref="I150">SUMPRODUCT(--(BRON!$A$2:$A$1197=Table1[[#This Row],[Personeelsnummer]]))</f>
        <v>0</v>
      </c>
    </row>
    <row r="151" spans="1:9" x14ac:dyDescent="0.25">
      <c r="A151" s="34" t="s">
        <v>3132</v>
      </c>
      <c r="B151" s="34" t="s">
        <v>3131</v>
      </c>
      <c r="C151" s="36" t="s">
        <v>4140</v>
      </c>
      <c r="E151" s="34" t="s">
        <v>3860</v>
      </c>
      <c r="F151" s="34" t="s">
        <v>3866</v>
      </c>
      <c r="G151" s="3">
        <v>44837.083333333299</v>
      </c>
      <c r="H151" s="35">
        <f ca="1">YEAR(TODAY()) - YEAR(G151) - (IF(DATE(YEAR(TODAY()), MONTH(G151), DAY(G151)) &gt; TODAY(), 1, 0))</f>
        <v>3</v>
      </c>
      <c r="I151" cm="1">
        <f t="array" ref="I151">SUMPRODUCT(--(BRON!$A$2:$A$1197=Table1[[#This Row],[Personeelsnummer]]))</f>
        <v>0</v>
      </c>
    </row>
    <row r="152" spans="1:9" x14ac:dyDescent="0.25">
      <c r="A152" s="34" t="s">
        <v>1860</v>
      </c>
      <c r="B152" s="34" t="s">
        <v>3411</v>
      </c>
      <c r="C152" s="36" t="s">
        <v>4141</v>
      </c>
      <c r="E152" s="34" t="s">
        <v>3860</v>
      </c>
      <c r="F152" s="34" t="s">
        <v>3866</v>
      </c>
      <c r="G152" s="3">
        <v>44837.083333333299</v>
      </c>
      <c r="H152" s="35">
        <f ca="1">YEAR(TODAY()) - YEAR(G152) - (IF(DATE(YEAR(TODAY()), MONTH(G152), DAY(G152)) &gt; TODAY(), 1, 0))</f>
        <v>3</v>
      </c>
      <c r="I152" cm="1">
        <f t="array" ref="I152">SUMPRODUCT(--(BRON!$A$2:$A$1197=Table1[[#This Row],[Personeelsnummer]]))</f>
        <v>0</v>
      </c>
    </row>
    <row r="153" spans="1:9" x14ac:dyDescent="0.25">
      <c r="A153" s="34" t="s">
        <v>2667</v>
      </c>
      <c r="B153" s="34" t="s">
        <v>2666</v>
      </c>
      <c r="C153" s="36" t="s">
        <v>4142</v>
      </c>
      <c r="E153" s="34" t="s">
        <v>3860</v>
      </c>
      <c r="F153" s="34" t="s">
        <v>3864</v>
      </c>
      <c r="G153" s="3">
        <v>44837.083333333299</v>
      </c>
      <c r="H153" s="35">
        <f ca="1">YEAR(TODAY()) - YEAR(G153) - (IF(DATE(YEAR(TODAY()), MONTH(G153), DAY(G153)) &gt; TODAY(), 1, 0))</f>
        <v>3</v>
      </c>
      <c r="I153" cm="1">
        <f t="array" ref="I153">SUMPRODUCT(--(BRON!$A$2:$A$1197=Table1[[#This Row],[Personeelsnummer]]))</f>
        <v>0</v>
      </c>
    </row>
    <row r="154" spans="1:9" x14ac:dyDescent="0.25">
      <c r="A154" s="34" t="s">
        <v>3255</v>
      </c>
      <c r="B154" s="34" t="s">
        <v>3254</v>
      </c>
      <c r="C154" s="36" t="s">
        <v>4092</v>
      </c>
      <c r="E154" s="34" t="s">
        <v>3860</v>
      </c>
      <c r="F154" s="34" t="s">
        <v>3881</v>
      </c>
      <c r="G154" s="3">
        <v>44687.083333333299</v>
      </c>
      <c r="H154" s="35">
        <f ca="1">YEAR(TODAY()) - YEAR(G154) - (IF(DATE(YEAR(TODAY()), MONTH(G154), DAY(G154)) &gt; TODAY(), 1, 0))</f>
        <v>3</v>
      </c>
      <c r="I154" cm="1">
        <f t="array" ref="I154">SUMPRODUCT(--(BRON!$A$2:$A$1197=Table1[[#This Row],[Personeelsnummer]]))</f>
        <v>0</v>
      </c>
    </row>
    <row r="155" spans="1:9" x14ac:dyDescent="0.25">
      <c r="A155" s="34" t="s">
        <v>2224</v>
      </c>
      <c r="B155" s="34" t="s">
        <v>2223</v>
      </c>
      <c r="C155" s="36" t="s">
        <v>4114</v>
      </c>
      <c r="E155" s="34" t="s">
        <v>3853</v>
      </c>
      <c r="F155" s="34" t="s">
        <v>3854</v>
      </c>
      <c r="G155" s="3">
        <v>44585.041666666701</v>
      </c>
      <c r="H155" s="35">
        <f ca="1">YEAR(TODAY()) - YEAR(G155) - (IF(DATE(YEAR(TODAY()), MONTH(G155), DAY(G155)) &gt; TODAY(), 1, 0))</f>
        <v>3</v>
      </c>
      <c r="I155" cm="1">
        <f t="array" ref="I155">SUMPRODUCT(--(BRON!$A$2:$A$1197=Table1[[#This Row],[Personeelsnummer]]))</f>
        <v>0</v>
      </c>
    </row>
    <row r="156" spans="1:9" x14ac:dyDescent="0.25">
      <c r="A156" s="34" t="s">
        <v>2917</v>
      </c>
      <c r="B156" s="34" t="s">
        <v>2916</v>
      </c>
      <c r="C156" s="36" t="s">
        <v>4115</v>
      </c>
      <c r="E156" s="34" t="s">
        <v>3853</v>
      </c>
      <c r="F156" s="34" t="s">
        <v>3881</v>
      </c>
      <c r="G156" s="3">
        <v>44599.041666666701</v>
      </c>
      <c r="H156" s="35">
        <f ca="1">YEAR(TODAY()) - YEAR(G156) - (IF(DATE(YEAR(TODAY()), MONTH(G156), DAY(G156)) &gt; TODAY(), 1, 0))</f>
        <v>3</v>
      </c>
      <c r="I156" cm="1">
        <f t="array" ref="I156">SUMPRODUCT(--(BRON!$A$2:$A$1197=Table1[[#This Row],[Personeelsnummer]]))</f>
        <v>0</v>
      </c>
    </row>
    <row r="157" spans="1:9" x14ac:dyDescent="0.25">
      <c r="A157" s="34" t="s">
        <v>2137</v>
      </c>
      <c r="B157" s="34" t="s">
        <v>2136</v>
      </c>
      <c r="C157" s="36" t="s">
        <v>4116</v>
      </c>
      <c r="E157" s="34" t="s">
        <v>3853</v>
      </c>
      <c r="F157" s="34" t="s">
        <v>3864</v>
      </c>
      <c r="G157" s="3">
        <v>44571.041666666701</v>
      </c>
      <c r="H157" s="35">
        <f ca="1">YEAR(TODAY()) - YEAR(G157) - (IF(DATE(YEAR(TODAY()), MONTH(G157), DAY(G157)) &gt; TODAY(), 1, 0))</f>
        <v>3</v>
      </c>
      <c r="I157" cm="1">
        <f t="array" ref="I157">SUMPRODUCT(--(BRON!$A$2:$A$1197=Table1[[#This Row],[Personeelsnummer]]))</f>
        <v>0</v>
      </c>
    </row>
    <row r="158" spans="1:9" x14ac:dyDescent="0.25">
      <c r="A158" s="34" t="s">
        <v>1877</v>
      </c>
      <c r="B158" s="34" t="s">
        <v>1876</v>
      </c>
      <c r="C158" s="36" t="s">
        <v>4120</v>
      </c>
      <c r="E158" s="34" t="s">
        <v>3853</v>
      </c>
      <c r="F158" s="34" t="s">
        <v>3854</v>
      </c>
      <c r="G158" s="3">
        <v>44585.041666666701</v>
      </c>
      <c r="H158" s="35">
        <f ca="1">YEAR(TODAY()) - YEAR(G158) - (IF(DATE(YEAR(TODAY()), MONTH(G158), DAY(G158)) &gt; TODAY(), 1, 0))</f>
        <v>3</v>
      </c>
      <c r="I158" cm="1">
        <f t="array" ref="I158">SUMPRODUCT(--(BRON!$A$2:$A$1197=Table1[[#This Row],[Personeelsnummer]]))</f>
        <v>0</v>
      </c>
    </row>
    <row r="159" spans="1:9" x14ac:dyDescent="0.25">
      <c r="A159" s="34" t="s">
        <v>2972</v>
      </c>
      <c r="B159" s="34" t="s">
        <v>2975</v>
      </c>
      <c r="C159" s="36" t="s">
        <v>4130</v>
      </c>
      <c r="E159" s="34" t="s">
        <v>3853</v>
      </c>
      <c r="F159" s="34" t="s">
        <v>3854</v>
      </c>
      <c r="G159" s="3">
        <v>44704.083333333299</v>
      </c>
      <c r="H159" s="35">
        <f ca="1">YEAR(TODAY()) - YEAR(G159) - (IF(DATE(YEAR(TODAY()), MONTH(G159), DAY(G159)) &gt; TODAY(), 1, 0))</f>
        <v>3</v>
      </c>
      <c r="I159" cm="1">
        <f t="array" ref="I159">SUMPRODUCT(--(BRON!$A$2:$A$1197=Table1[[#This Row],[Personeelsnummer]]))</f>
        <v>0</v>
      </c>
    </row>
    <row r="160" spans="1:9" x14ac:dyDescent="0.25">
      <c r="A160" s="34" t="s">
        <v>3388</v>
      </c>
      <c r="B160" s="34" t="s">
        <v>3391</v>
      </c>
      <c r="C160" s="36" t="s">
        <v>4138</v>
      </c>
      <c r="E160" s="34" t="s">
        <v>3860</v>
      </c>
      <c r="F160" s="34" t="s">
        <v>3874</v>
      </c>
      <c r="G160" s="3">
        <v>44837.083333333299</v>
      </c>
      <c r="H160" s="35">
        <f ca="1">YEAR(TODAY()) - YEAR(G160) - (IF(DATE(YEAR(TODAY()), MONTH(G160), DAY(G160)) &gt; TODAY(), 1, 0))</f>
        <v>3</v>
      </c>
      <c r="I160" cm="1">
        <f t="array" ref="I160">SUMPRODUCT(--(BRON!$A$2:$A$1197=Table1[[#This Row],[Personeelsnummer]]))</f>
        <v>0</v>
      </c>
    </row>
    <row r="161" spans="1:9" x14ac:dyDescent="0.25">
      <c r="A161" s="34" t="s">
        <v>1869</v>
      </c>
      <c r="B161" s="34" t="s">
        <v>1868</v>
      </c>
      <c r="C161" s="36" t="s">
        <v>4123</v>
      </c>
      <c r="E161" s="34" t="s">
        <v>3853</v>
      </c>
      <c r="F161" s="34" t="s">
        <v>3866</v>
      </c>
      <c r="G161" s="3">
        <v>44655.083333333299</v>
      </c>
      <c r="H161" s="35">
        <f ca="1">YEAR(TODAY()) - YEAR(G161) - (IF(DATE(YEAR(TODAY()), MONTH(G161), DAY(G161)) &gt; TODAY(), 1, 0))</f>
        <v>3</v>
      </c>
      <c r="I161" cm="1">
        <f t="array" ref="I161">SUMPRODUCT(--(BRON!$A$2:$A$1197=Table1[[#This Row],[Personeelsnummer]]))</f>
        <v>0</v>
      </c>
    </row>
    <row r="162" spans="1:9" x14ac:dyDescent="0.25">
      <c r="A162" s="34" t="s">
        <v>1797</v>
      </c>
      <c r="B162" s="34" t="s">
        <v>1796</v>
      </c>
      <c r="C162" s="36" t="s">
        <v>4126</v>
      </c>
      <c r="E162" s="34" t="s">
        <v>3853</v>
      </c>
      <c r="F162" s="34" t="s">
        <v>3864</v>
      </c>
      <c r="G162" s="3">
        <v>44670.083333333299</v>
      </c>
      <c r="H162" s="35">
        <f ca="1">YEAR(TODAY()) - YEAR(G162) - (IF(DATE(YEAR(TODAY()), MONTH(G162), DAY(G162)) &gt; TODAY(), 1, 0))</f>
        <v>3</v>
      </c>
      <c r="I162" cm="1">
        <f t="array" ref="I162">SUMPRODUCT(--(BRON!$A$2:$A$1197=Table1[[#This Row],[Personeelsnummer]]))</f>
        <v>0</v>
      </c>
    </row>
    <row r="163" spans="1:9" x14ac:dyDescent="0.25">
      <c r="A163" s="34" t="s">
        <v>2462</v>
      </c>
      <c r="B163" s="34" t="s">
        <v>1557</v>
      </c>
      <c r="C163" s="36" t="s">
        <v>4136</v>
      </c>
      <c r="E163" s="34" t="s">
        <v>3860</v>
      </c>
      <c r="F163" s="34" t="s">
        <v>3874</v>
      </c>
      <c r="G163" s="3">
        <v>44809.083333333299</v>
      </c>
      <c r="H163" s="35">
        <f ca="1">YEAR(TODAY()) - YEAR(G163) - (IF(DATE(YEAR(TODAY()), MONTH(G163), DAY(G163)) &gt; TODAY(), 1, 0))</f>
        <v>3</v>
      </c>
      <c r="I163" cm="1">
        <f t="array" ref="I163">SUMPRODUCT(--(BRON!$A$2:$A$1197=Table1[[#This Row],[Personeelsnummer]]))</f>
        <v>0</v>
      </c>
    </row>
    <row r="164" spans="1:9" x14ac:dyDescent="0.25">
      <c r="A164" s="34" t="s">
        <v>3181</v>
      </c>
      <c r="B164" s="34" t="s">
        <v>3184</v>
      </c>
      <c r="C164" s="36" t="s">
        <v>4139</v>
      </c>
      <c r="E164" s="34" t="s">
        <v>3860</v>
      </c>
      <c r="F164" s="34" t="s">
        <v>3881</v>
      </c>
      <c r="G164" s="3">
        <v>44809.083333333299</v>
      </c>
      <c r="H164" s="35">
        <f ca="1">YEAR(TODAY()) - YEAR(G164) - (IF(DATE(YEAR(TODAY()), MONTH(G164), DAY(G164)) &gt; TODAY(), 1, 0))</f>
        <v>3</v>
      </c>
      <c r="I164" cm="1">
        <f t="array" ref="I164">SUMPRODUCT(--(BRON!$A$2:$A$1197=Table1[[#This Row],[Personeelsnummer]]))</f>
        <v>0</v>
      </c>
    </row>
    <row r="165" spans="1:9" x14ac:dyDescent="0.25">
      <c r="A165" s="34" t="s">
        <v>1417</v>
      </c>
      <c r="B165" s="34" t="s">
        <v>1416</v>
      </c>
      <c r="C165" s="36" t="s">
        <v>4121</v>
      </c>
      <c r="E165" s="34" t="s">
        <v>3853</v>
      </c>
      <c r="F165" s="34" t="s">
        <v>3881</v>
      </c>
      <c r="G165" s="3">
        <v>44599.041666666701</v>
      </c>
      <c r="H165" s="35">
        <f ca="1">YEAR(TODAY()) - YEAR(G165) - (IF(DATE(YEAR(TODAY()), MONTH(G165), DAY(G165)) &gt; TODAY(), 1, 0))</f>
        <v>3</v>
      </c>
      <c r="I165" cm="1">
        <f t="array" ref="I165">SUMPRODUCT(--(BRON!$A$2:$A$1197=Table1[[#This Row],[Personeelsnummer]]))</f>
        <v>0</v>
      </c>
    </row>
    <row r="166" spans="1:9" x14ac:dyDescent="0.25">
      <c r="A166" s="34" t="s">
        <v>2093</v>
      </c>
      <c r="B166" s="34" t="s">
        <v>2099</v>
      </c>
      <c r="C166" s="36" t="s">
        <v>4124</v>
      </c>
      <c r="E166" s="34" t="s">
        <v>3853</v>
      </c>
      <c r="F166" s="34" t="s">
        <v>3854</v>
      </c>
      <c r="G166" s="3">
        <v>44655.083333333299</v>
      </c>
      <c r="H166" s="35">
        <f ca="1">YEAR(TODAY()) - YEAR(G166) - (IF(DATE(YEAR(TODAY()), MONTH(G166), DAY(G166)) &gt; TODAY(), 1, 0))</f>
        <v>3</v>
      </c>
      <c r="I166" cm="1">
        <f t="array" ref="I166">SUMPRODUCT(--(BRON!$A$2:$A$1197=Table1[[#This Row],[Personeelsnummer]]))</f>
        <v>0</v>
      </c>
    </row>
    <row r="167" spans="1:9" x14ac:dyDescent="0.25">
      <c r="A167" s="34" t="s">
        <v>1474</v>
      </c>
      <c r="B167" s="34" t="s">
        <v>1473</v>
      </c>
      <c r="C167" s="36" t="s">
        <v>4125</v>
      </c>
      <c r="E167" s="34" t="s">
        <v>3853</v>
      </c>
      <c r="F167" s="34" t="s">
        <v>3881</v>
      </c>
      <c r="G167" s="3">
        <v>44700.083333333299</v>
      </c>
      <c r="H167" s="35">
        <f ca="1">YEAR(TODAY()) - YEAR(G167) - (IF(DATE(YEAR(TODAY()), MONTH(G167), DAY(G167)) &gt; TODAY(), 1, 0))</f>
        <v>3</v>
      </c>
      <c r="I167" cm="1">
        <f t="array" ref="I167">SUMPRODUCT(--(BRON!$A$2:$A$1197=Table1[[#This Row],[Personeelsnummer]]))</f>
        <v>0</v>
      </c>
    </row>
    <row r="168" spans="1:9" x14ac:dyDescent="0.25">
      <c r="A168" s="34" t="s">
        <v>2754</v>
      </c>
      <c r="B168" s="34" t="s">
        <v>2753</v>
      </c>
      <c r="C168" s="36" t="s">
        <v>4127</v>
      </c>
      <c r="E168" s="34" t="s">
        <v>3853</v>
      </c>
      <c r="F168" s="34" t="s">
        <v>3864</v>
      </c>
      <c r="G168" s="3">
        <v>44683.083333333299</v>
      </c>
      <c r="H168" s="35">
        <f ca="1">YEAR(TODAY()) - YEAR(G168) - (IF(DATE(YEAR(TODAY()), MONTH(G168), DAY(G168)) &gt; TODAY(), 1, 0))</f>
        <v>3</v>
      </c>
      <c r="I168" cm="1">
        <f t="array" ref="I168">SUMPRODUCT(--(BRON!$A$2:$A$1197=Table1[[#This Row],[Personeelsnummer]]))</f>
        <v>0</v>
      </c>
    </row>
    <row r="169" spans="1:9" x14ac:dyDescent="0.25">
      <c r="A169" s="34" t="s">
        <v>3228</v>
      </c>
      <c r="B169" s="34" t="s">
        <v>3227</v>
      </c>
      <c r="C169" s="36" t="s">
        <v>4128</v>
      </c>
      <c r="E169" s="34" t="s">
        <v>3860</v>
      </c>
      <c r="F169" s="34" t="s">
        <v>3854</v>
      </c>
      <c r="G169" s="3">
        <v>44683.083333333299</v>
      </c>
      <c r="H169" s="35">
        <f ca="1">YEAR(TODAY()) - YEAR(G169) - (IF(DATE(YEAR(TODAY()), MONTH(G169), DAY(G169)) &gt; TODAY(), 1, 0))</f>
        <v>3</v>
      </c>
      <c r="I169" cm="1">
        <f t="array" ref="I169">SUMPRODUCT(--(BRON!$A$2:$A$1197=Table1[[#This Row],[Personeelsnummer]]))</f>
        <v>0</v>
      </c>
    </row>
    <row r="170" spans="1:9" x14ac:dyDescent="0.25">
      <c r="A170" s="34" t="s">
        <v>1328</v>
      </c>
      <c r="B170" s="34" t="s">
        <v>1629</v>
      </c>
      <c r="C170" s="36" t="s">
        <v>4131</v>
      </c>
      <c r="E170" s="34" t="s">
        <v>3860</v>
      </c>
      <c r="F170" s="34" t="s">
        <v>3864</v>
      </c>
      <c r="G170" s="3">
        <v>44719.083333333299</v>
      </c>
      <c r="H170" s="35">
        <f ca="1">YEAR(TODAY()) - YEAR(G170) - (IF(DATE(YEAR(TODAY()), MONTH(G170), DAY(G170)) &gt; TODAY(), 1, 0))</f>
        <v>3</v>
      </c>
      <c r="I170" cm="1">
        <f t="array" ref="I170">SUMPRODUCT(--(BRON!$A$2:$A$1197=Table1[[#This Row],[Personeelsnummer]]))</f>
        <v>0</v>
      </c>
    </row>
    <row r="171" spans="1:9" x14ac:dyDescent="0.25">
      <c r="A171" s="34" t="s">
        <v>1616</v>
      </c>
      <c r="B171" s="34" t="s">
        <v>1495</v>
      </c>
      <c r="C171" s="36" t="s">
        <v>4090</v>
      </c>
      <c r="E171" s="34" t="s">
        <v>3857</v>
      </c>
      <c r="F171" s="34" t="s">
        <v>3866</v>
      </c>
      <c r="G171" s="3">
        <v>44214.041666666701</v>
      </c>
      <c r="H171" s="35">
        <f ca="1">YEAR(TODAY()) - YEAR(G171) - (IF(DATE(YEAR(TODAY()), MONTH(G171), DAY(G171)) &gt; TODAY(), 1, 0))</f>
        <v>4</v>
      </c>
      <c r="I171" cm="1">
        <f t="array" ref="I171">SUMPRODUCT(--(BRON!$A$2:$A$1197=Table1[[#This Row],[Personeelsnummer]]))</f>
        <v>0</v>
      </c>
    </row>
    <row r="172" spans="1:9" x14ac:dyDescent="0.25">
      <c r="A172" s="34" t="s">
        <v>3318</v>
      </c>
      <c r="B172" s="34" t="s">
        <v>3317</v>
      </c>
      <c r="C172" s="36" t="s">
        <v>4091</v>
      </c>
      <c r="E172" s="34" t="s">
        <v>3853</v>
      </c>
      <c r="F172" s="34" t="s">
        <v>3870</v>
      </c>
      <c r="G172" s="3">
        <v>44256.041666666701</v>
      </c>
      <c r="H172" s="35">
        <f ca="1">YEAR(TODAY()) - YEAR(G172) - (IF(DATE(YEAR(TODAY()), MONTH(G172), DAY(G172)) &gt; TODAY(), 1, 0))</f>
        <v>4</v>
      </c>
      <c r="I172" cm="1">
        <f t="array" ref="I172">SUMPRODUCT(--(BRON!$A$2:$A$1197=Table1[[#This Row],[Personeelsnummer]]))</f>
        <v>0</v>
      </c>
    </row>
    <row r="173" spans="1:9" x14ac:dyDescent="0.25">
      <c r="A173" s="34" t="s">
        <v>3105</v>
      </c>
      <c r="B173" s="34" t="s">
        <v>3104</v>
      </c>
      <c r="C173" s="36" t="s">
        <v>4094</v>
      </c>
      <c r="E173" s="34" t="s">
        <v>3857</v>
      </c>
      <c r="F173" s="34" t="s">
        <v>3854</v>
      </c>
      <c r="G173" s="3">
        <v>44284.083333333299</v>
      </c>
      <c r="H173" s="35">
        <f ca="1">YEAR(TODAY()) - YEAR(G173) - (IF(DATE(YEAR(TODAY()), MONTH(G173), DAY(G173)) &gt; TODAY(), 1, 0))</f>
        <v>4</v>
      </c>
      <c r="I173" cm="1">
        <f t="array" ref="I173">SUMPRODUCT(--(BRON!$A$2:$A$1197=Table1[[#This Row],[Personeelsnummer]]))</f>
        <v>0</v>
      </c>
    </row>
    <row r="174" spans="1:9" x14ac:dyDescent="0.25">
      <c r="A174" s="34" t="s">
        <v>2449</v>
      </c>
      <c r="B174" s="34" t="s">
        <v>2448</v>
      </c>
      <c r="C174" s="36" t="s">
        <v>4098</v>
      </c>
      <c r="E174" s="34" t="s">
        <v>3853</v>
      </c>
      <c r="F174" s="34" t="s">
        <v>3854</v>
      </c>
      <c r="G174" s="3">
        <v>44312.083333333299</v>
      </c>
      <c r="H174" s="35">
        <f ca="1">YEAR(TODAY()) - YEAR(G174) - (IF(DATE(YEAR(TODAY()), MONTH(G174), DAY(G174)) &gt; TODAY(), 1, 0))</f>
        <v>4</v>
      </c>
      <c r="I174" cm="1">
        <f t="array" ref="I174">SUMPRODUCT(--(BRON!$A$2:$A$1197=Table1[[#This Row],[Personeelsnummer]]))</f>
        <v>0</v>
      </c>
    </row>
    <row r="175" spans="1:9" x14ac:dyDescent="0.25">
      <c r="A175" s="34" t="s">
        <v>3034</v>
      </c>
      <c r="B175" s="34" t="s">
        <v>3033</v>
      </c>
      <c r="C175" s="36" t="s">
        <v>4100</v>
      </c>
      <c r="E175" s="34" t="s">
        <v>3853</v>
      </c>
      <c r="F175" s="34" t="s">
        <v>3863</v>
      </c>
      <c r="G175" s="3">
        <v>44333.083333333299</v>
      </c>
      <c r="H175" s="35">
        <f ca="1">YEAR(TODAY()) - YEAR(G175) - (IF(DATE(YEAR(TODAY()), MONTH(G175), DAY(G175)) &gt; TODAY(), 1, 0))</f>
        <v>4</v>
      </c>
      <c r="I175" cm="1">
        <f t="array" ref="I175">SUMPRODUCT(--(BRON!$A$2:$A$1197=Table1[[#This Row],[Personeelsnummer]]))</f>
        <v>0</v>
      </c>
    </row>
    <row r="176" spans="1:9" x14ac:dyDescent="0.25">
      <c r="A176" s="34" t="s">
        <v>1812</v>
      </c>
      <c r="B176" s="34" t="s">
        <v>1811</v>
      </c>
      <c r="C176" s="36" t="s">
        <v>4101</v>
      </c>
      <c r="E176" s="34" t="s">
        <v>3853</v>
      </c>
      <c r="F176" s="34" t="s">
        <v>3854</v>
      </c>
      <c r="G176" s="3">
        <v>44333.083333333299</v>
      </c>
      <c r="H176" s="35">
        <f ca="1">YEAR(TODAY()) - YEAR(G176) - (IF(DATE(YEAR(TODAY()), MONTH(G176), DAY(G176)) &gt; TODAY(), 1, 0))</f>
        <v>4</v>
      </c>
      <c r="I176" cm="1">
        <f t="array" ref="I176">SUMPRODUCT(--(BRON!$A$2:$A$1197=Table1[[#This Row],[Personeelsnummer]]))</f>
        <v>0</v>
      </c>
    </row>
    <row r="177" spans="1:9" x14ac:dyDescent="0.25">
      <c r="A177" s="34" t="s">
        <v>1880</v>
      </c>
      <c r="B177" s="34" t="s">
        <v>1240</v>
      </c>
      <c r="C177" s="36" t="s">
        <v>4103</v>
      </c>
      <c r="E177" s="34" t="s">
        <v>3860</v>
      </c>
      <c r="F177" s="34" t="s">
        <v>3854</v>
      </c>
      <c r="G177" s="3">
        <v>44333.083333333299</v>
      </c>
      <c r="H177" s="35">
        <f ca="1">YEAR(TODAY()) - YEAR(G177) - (IF(DATE(YEAR(TODAY()), MONTH(G177), DAY(G177)) &gt; TODAY(), 1, 0))</f>
        <v>4</v>
      </c>
      <c r="I177" cm="1">
        <f t="array" ref="I177">SUMPRODUCT(--(BRON!$A$2:$A$1197=Table1[[#This Row],[Personeelsnummer]]))</f>
        <v>0</v>
      </c>
    </row>
    <row r="178" spans="1:9" x14ac:dyDescent="0.25">
      <c r="A178" s="34" t="s">
        <v>2257</v>
      </c>
      <c r="B178" s="34" t="s">
        <v>2256</v>
      </c>
      <c r="C178" s="36" t="s">
        <v>4107</v>
      </c>
      <c r="E178" s="34" t="s">
        <v>3860</v>
      </c>
      <c r="F178" s="34" t="s">
        <v>3871</v>
      </c>
      <c r="G178" s="3">
        <v>44389.083333333299</v>
      </c>
      <c r="H178" s="35">
        <f ca="1">YEAR(TODAY()) - YEAR(G178) - (IF(DATE(YEAR(TODAY()), MONTH(G178), DAY(G178)) &gt; TODAY(), 1, 0))</f>
        <v>4</v>
      </c>
      <c r="I178" cm="1">
        <f t="array" ref="I178">SUMPRODUCT(--(BRON!$A$2:$A$1197=Table1[[#This Row],[Personeelsnummer]]))</f>
        <v>0</v>
      </c>
    </row>
    <row r="179" spans="1:9" x14ac:dyDescent="0.25">
      <c r="A179" s="34" t="s">
        <v>1918</v>
      </c>
      <c r="B179" s="34" t="s">
        <v>1922</v>
      </c>
      <c r="C179" s="36" t="s">
        <v>4113</v>
      </c>
      <c r="E179" s="34" t="s">
        <v>3860</v>
      </c>
      <c r="F179" s="34" t="s">
        <v>3874</v>
      </c>
      <c r="G179" s="3">
        <v>44473.083333333299</v>
      </c>
      <c r="H179" s="35">
        <f ca="1">YEAR(TODAY()) - YEAR(G179) - (IF(DATE(YEAR(TODAY()), MONTH(G179), DAY(G179)) &gt; TODAY(), 1, 0))</f>
        <v>4</v>
      </c>
      <c r="I179" cm="1">
        <f t="array" ref="I179">SUMPRODUCT(--(BRON!$A$2:$A$1197=Table1[[#This Row],[Personeelsnummer]]))</f>
        <v>0</v>
      </c>
    </row>
    <row r="180" spans="1:9" x14ac:dyDescent="0.25">
      <c r="A180" s="34" t="s">
        <v>2663</v>
      </c>
      <c r="B180" s="34" t="s">
        <v>2662</v>
      </c>
      <c r="C180" s="36" t="s">
        <v>3858</v>
      </c>
      <c r="E180" s="34" t="s">
        <v>3853</v>
      </c>
      <c r="F180" s="34" t="s">
        <v>3854</v>
      </c>
      <c r="G180" s="3">
        <v>44348.083333333299</v>
      </c>
      <c r="H180" s="35">
        <f ca="1">YEAR(TODAY()) - YEAR(G180) - (IF(DATE(YEAR(TODAY()), MONTH(G180), DAY(G180)) &gt; TODAY(), 1, 0))</f>
        <v>4</v>
      </c>
      <c r="I180" cm="1">
        <f t="array" ref="I180">SUMPRODUCT(--(BRON!$A$2:$A$1197=Table1[[#This Row],[Personeelsnummer]]))</f>
        <v>0</v>
      </c>
    </row>
    <row r="181" spans="1:9" x14ac:dyDescent="0.25">
      <c r="A181" s="34" t="s">
        <v>2957</v>
      </c>
      <c r="B181" s="34" t="s">
        <v>2956</v>
      </c>
      <c r="C181" s="36" t="s">
        <v>4095</v>
      </c>
      <c r="E181" s="34" t="s">
        <v>3853</v>
      </c>
      <c r="F181" s="34" t="s">
        <v>3871</v>
      </c>
      <c r="G181" s="3">
        <v>44270.041666666701</v>
      </c>
      <c r="H181" s="35">
        <f ca="1">YEAR(TODAY()) - YEAR(G181) - (IF(DATE(YEAR(TODAY()), MONTH(G181), DAY(G181)) &gt; TODAY(), 1, 0))</f>
        <v>4</v>
      </c>
      <c r="I181" cm="1">
        <f t="array" ref="I181">SUMPRODUCT(--(BRON!$A$2:$A$1197=Table1[[#This Row],[Personeelsnummer]]))</f>
        <v>0</v>
      </c>
    </row>
    <row r="182" spans="1:9" x14ac:dyDescent="0.25">
      <c r="A182" s="34" t="s">
        <v>1733</v>
      </c>
      <c r="B182" s="34" t="s">
        <v>1741</v>
      </c>
      <c r="C182" s="36" t="s">
        <v>4104</v>
      </c>
      <c r="E182" s="34" t="s">
        <v>3853</v>
      </c>
      <c r="F182" s="34" t="s">
        <v>3854</v>
      </c>
      <c r="G182" s="3">
        <v>44347.083333333299</v>
      </c>
      <c r="H182" s="35">
        <f ca="1">YEAR(TODAY()) - YEAR(G182) - (IF(DATE(YEAR(TODAY()), MONTH(G182), DAY(G182)) &gt; TODAY(), 1, 0))</f>
        <v>4</v>
      </c>
      <c r="I182" cm="1">
        <f t="array" ref="I182">SUMPRODUCT(--(BRON!$A$2:$A$1197=Table1[[#This Row],[Personeelsnummer]]))</f>
        <v>0</v>
      </c>
    </row>
    <row r="183" spans="1:9" x14ac:dyDescent="0.25">
      <c r="A183" s="34" t="s">
        <v>1647</v>
      </c>
      <c r="B183" s="34" t="s">
        <v>1646</v>
      </c>
      <c r="C183" s="36" t="s">
        <v>4093</v>
      </c>
      <c r="E183" s="34" t="s">
        <v>3853</v>
      </c>
      <c r="F183" s="34" t="s">
        <v>3870</v>
      </c>
      <c r="G183" s="3">
        <v>44284.083333333299</v>
      </c>
      <c r="H183" s="35">
        <f ca="1">YEAR(TODAY()) - YEAR(G183) - (IF(DATE(YEAR(TODAY()), MONTH(G183), DAY(G183)) &gt; TODAY(), 1, 0))</f>
        <v>4</v>
      </c>
      <c r="I183" cm="1">
        <f t="array" ref="I183">SUMPRODUCT(--(BRON!$A$2:$A$1197=Table1[[#This Row],[Personeelsnummer]]))</f>
        <v>0</v>
      </c>
    </row>
    <row r="184" spans="1:9" x14ac:dyDescent="0.25">
      <c r="A184" s="34" t="s">
        <v>3446</v>
      </c>
      <c r="B184" s="34" t="s">
        <v>3445</v>
      </c>
      <c r="C184" s="36" t="s">
        <v>4096</v>
      </c>
      <c r="E184" s="34" t="s">
        <v>3853</v>
      </c>
      <c r="F184" s="34" t="s">
        <v>3864</v>
      </c>
      <c r="G184" s="3">
        <v>44305.083333333299</v>
      </c>
      <c r="H184" s="35">
        <f ca="1">YEAR(TODAY()) - YEAR(G184) - (IF(DATE(YEAR(TODAY()), MONTH(G184), DAY(G184)) &gt; TODAY(), 1, 0))</f>
        <v>4</v>
      </c>
      <c r="I184" cm="1">
        <f t="array" ref="I184">SUMPRODUCT(--(BRON!$A$2:$A$1197=Table1[[#This Row],[Personeelsnummer]]))</f>
        <v>0</v>
      </c>
    </row>
    <row r="185" spans="1:9" x14ac:dyDescent="0.25">
      <c r="A185" s="34" t="s">
        <v>3220</v>
      </c>
      <c r="B185" s="34" t="s">
        <v>3219</v>
      </c>
      <c r="C185" s="36" t="s">
        <v>4099</v>
      </c>
      <c r="E185" s="34" t="s">
        <v>3853</v>
      </c>
      <c r="F185" s="34" t="s">
        <v>3864</v>
      </c>
      <c r="G185" s="3">
        <v>44298.083333333299</v>
      </c>
      <c r="H185" s="35">
        <f ca="1">YEAR(TODAY()) - YEAR(G185) - (IF(DATE(YEAR(TODAY()), MONTH(G185), DAY(G185)) &gt; TODAY(), 1, 0))</f>
        <v>4</v>
      </c>
      <c r="I185" cm="1">
        <f t="array" ref="I185">SUMPRODUCT(--(BRON!$A$2:$A$1197=Table1[[#This Row],[Personeelsnummer]]))</f>
        <v>0</v>
      </c>
    </row>
    <row r="186" spans="1:9" x14ac:dyDescent="0.25">
      <c r="A186" s="34" t="s">
        <v>3195</v>
      </c>
      <c r="B186" s="34" t="s">
        <v>3194</v>
      </c>
      <c r="C186" s="36" t="s">
        <v>4102</v>
      </c>
      <c r="E186" s="34" t="s">
        <v>3853</v>
      </c>
      <c r="F186" s="34" t="s">
        <v>3874</v>
      </c>
      <c r="G186" s="3">
        <v>44333.083333333299</v>
      </c>
      <c r="H186" s="35">
        <f ca="1">YEAR(TODAY()) - YEAR(G186) - (IF(DATE(YEAR(TODAY()), MONTH(G186), DAY(G186)) &gt; TODAY(), 1, 0))</f>
        <v>4</v>
      </c>
      <c r="I186" cm="1">
        <f t="array" ref="I186">SUMPRODUCT(--(BRON!$A$2:$A$1197=Table1[[#This Row],[Personeelsnummer]]))</f>
        <v>0</v>
      </c>
    </row>
    <row r="187" spans="1:9" x14ac:dyDescent="0.25">
      <c r="A187" s="34" t="s">
        <v>2394</v>
      </c>
      <c r="B187" s="34" t="s">
        <v>2397</v>
      </c>
      <c r="C187" s="36" t="s">
        <v>4108</v>
      </c>
      <c r="E187" s="34" t="s">
        <v>3860</v>
      </c>
      <c r="F187" s="34" t="s">
        <v>3881</v>
      </c>
      <c r="G187" s="3">
        <v>44375.083333333299</v>
      </c>
      <c r="H187" s="35">
        <f ca="1">YEAR(TODAY()) - YEAR(G187) - (IF(DATE(YEAR(TODAY()), MONTH(G187), DAY(G187)) &gt; TODAY(), 1, 0))</f>
        <v>4</v>
      </c>
      <c r="I187" cm="1">
        <f t="array" ref="I187">SUMPRODUCT(--(BRON!$A$2:$A$1197=Table1[[#This Row],[Personeelsnummer]]))</f>
        <v>0</v>
      </c>
    </row>
    <row r="188" spans="1:9" x14ac:dyDescent="0.25">
      <c r="A188" s="34" t="s">
        <v>2702</v>
      </c>
      <c r="B188" s="34" t="s">
        <v>2701</v>
      </c>
      <c r="C188" s="36" t="s">
        <v>4111</v>
      </c>
      <c r="E188" s="34" t="s">
        <v>3853</v>
      </c>
      <c r="F188" s="34" t="s">
        <v>3854</v>
      </c>
      <c r="G188" s="3">
        <v>44417.083333333299</v>
      </c>
      <c r="H188" s="35">
        <f ca="1">YEAR(TODAY()) - YEAR(G188) - (IF(DATE(YEAR(TODAY()), MONTH(G188), DAY(G188)) &gt; TODAY(), 1, 0))</f>
        <v>4</v>
      </c>
      <c r="I188" cm="1">
        <f t="array" ref="I188">SUMPRODUCT(--(BRON!$A$2:$A$1197=Table1[[#This Row],[Personeelsnummer]]))</f>
        <v>0</v>
      </c>
    </row>
    <row r="189" spans="1:9" x14ac:dyDescent="0.25">
      <c r="A189" s="34" t="s">
        <v>3435</v>
      </c>
      <c r="B189" s="34" t="s">
        <v>3434</v>
      </c>
      <c r="C189" s="36" t="s">
        <v>4112</v>
      </c>
      <c r="E189" s="34" t="s">
        <v>3853</v>
      </c>
      <c r="F189" s="34" t="s">
        <v>3881</v>
      </c>
      <c r="G189" s="3">
        <v>44431.083333333299</v>
      </c>
      <c r="H189" s="35">
        <f ca="1">YEAR(TODAY()) - YEAR(G189) - (IF(DATE(YEAR(TODAY()), MONTH(G189), DAY(G189)) &gt; TODAY(), 1, 0))</f>
        <v>4</v>
      </c>
      <c r="I189" cm="1">
        <f t="array" ref="I189">SUMPRODUCT(--(BRON!$A$2:$A$1197=Table1[[#This Row],[Personeelsnummer]]))</f>
        <v>0</v>
      </c>
    </row>
    <row r="190" spans="1:9" x14ac:dyDescent="0.25">
      <c r="A190" s="34" t="s">
        <v>2405</v>
      </c>
      <c r="B190" s="34" t="s">
        <v>3070</v>
      </c>
      <c r="C190" s="36" t="s">
        <v>4110</v>
      </c>
      <c r="E190" s="34" t="s">
        <v>3853</v>
      </c>
      <c r="F190" s="34" t="s">
        <v>3871</v>
      </c>
      <c r="G190" s="3">
        <v>44384.083333333299</v>
      </c>
      <c r="H190" s="35">
        <f ca="1">YEAR(TODAY()) - YEAR(G190) - (IF(DATE(YEAR(TODAY()), MONTH(G190), DAY(G190)) &gt; TODAY(), 1, 0))</f>
        <v>4</v>
      </c>
      <c r="I190" cm="1">
        <f t="array" ref="I190">SUMPRODUCT(--(BRON!$A$2:$A$1197=Table1[[#This Row],[Personeelsnummer]]))</f>
        <v>0</v>
      </c>
    </row>
    <row r="191" spans="1:9" x14ac:dyDescent="0.25">
      <c r="A191" s="34" t="s">
        <v>1884</v>
      </c>
      <c r="B191" s="34" t="s">
        <v>1883</v>
      </c>
      <c r="C191" s="36" t="s">
        <v>4097</v>
      </c>
      <c r="E191" s="34" t="s">
        <v>3853</v>
      </c>
      <c r="F191" s="34" t="s">
        <v>3866</v>
      </c>
      <c r="G191" s="3">
        <v>44312.083333333299</v>
      </c>
      <c r="H191" s="35">
        <f ca="1">YEAR(TODAY()) - YEAR(G191) - (IF(DATE(YEAR(TODAY()), MONTH(G191), DAY(G191)) &gt; TODAY(), 1, 0))</f>
        <v>4</v>
      </c>
      <c r="I191" cm="1">
        <f t="array" ref="I191">SUMPRODUCT(--(BRON!$A$2:$A$1197=Table1[[#This Row],[Personeelsnummer]]))</f>
        <v>0</v>
      </c>
    </row>
    <row r="192" spans="1:9" x14ac:dyDescent="0.25">
      <c r="A192" s="34" t="s">
        <v>3601</v>
      </c>
      <c r="B192" s="34" t="s">
        <v>4105</v>
      </c>
      <c r="C192" s="36" t="s">
        <v>4106</v>
      </c>
      <c r="E192" s="34" t="s">
        <v>3853</v>
      </c>
      <c r="F192" s="34" t="s">
        <v>3870</v>
      </c>
      <c r="G192" s="3">
        <v>44347.083333333299</v>
      </c>
      <c r="H192" s="35">
        <f ca="1">YEAR(TODAY()) - YEAR(G192) - (IF(DATE(YEAR(TODAY()), MONTH(G192), DAY(G192)) &gt; TODAY(), 1, 0))</f>
        <v>4</v>
      </c>
      <c r="I192" cm="1">
        <f t="array" ref="I192">SUMPRODUCT(--(BRON!$A$2:$A$1197=Table1[[#This Row],[Personeelsnummer]]))</f>
        <v>0</v>
      </c>
    </row>
    <row r="193" spans="1:9" x14ac:dyDescent="0.25">
      <c r="A193" s="34" t="s">
        <v>2524</v>
      </c>
      <c r="B193" s="34" t="s">
        <v>2523</v>
      </c>
      <c r="C193" s="36" t="s">
        <v>4109</v>
      </c>
      <c r="E193" s="34" t="s">
        <v>3853</v>
      </c>
      <c r="F193" s="34" t="s">
        <v>3871</v>
      </c>
      <c r="G193" s="3">
        <v>44389.083333333299</v>
      </c>
      <c r="H193" s="35">
        <f ca="1">YEAR(TODAY()) - YEAR(G193) - (IF(DATE(YEAR(TODAY()), MONTH(G193), DAY(G193)) &gt; TODAY(), 1, 0))</f>
        <v>4</v>
      </c>
      <c r="I193" cm="1">
        <f t="array" ref="I193">SUMPRODUCT(--(BRON!$A$2:$A$1197=Table1[[#This Row],[Personeelsnummer]]))</f>
        <v>0</v>
      </c>
    </row>
    <row r="194" spans="1:9" x14ac:dyDescent="0.25">
      <c r="A194" s="34" t="s">
        <v>1407</v>
      </c>
      <c r="B194" s="34" t="s">
        <v>1406</v>
      </c>
      <c r="C194" s="36" t="s">
        <v>4066</v>
      </c>
      <c r="E194" s="34" t="s">
        <v>3853</v>
      </c>
      <c r="F194" s="34" t="s">
        <v>3854</v>
      </c>
      <c r="G194" s="3">
        <v>43906.041666666701</v>
      </c>
      <c r="H194" s="35">
        <f ca="1">YEAR(TODAY()) - YEAR(G194) - (IF(DATE(YEAR(TODAY()), MONTH(G194), DAY(G194)) &gt; TODAY(), 1, 0))</f>
        <v>5</v>
      </c>
      <c r="I194" cm="1">
        <f t="array" ref="I194">SUMPRODUCT(--(BRON!$A$2:$A$1197=Table1[[#This Row],[Personeelsnummer]]))</f>
        <v>0</v>
      </c>
    </row>
    <row r="195" spans="1:9" x14ac:dyDescent="0.25">
      <c r="A195" s="34" t="s">
        <v>1326</v>
      </c>
      <c r="B195" s="34" t="s">
        <v>2995</v>
      </c>
      <c r="C195" s="36" t="s">
        <v>4068</v>
      </c>
      <c r="E195" s="34" t="s">
        <v>3853</v>
      </c>
      <c r="F195" s="34" t="s">
        <v>3864</v>
      </c>
      <c r="G195" s="3">
        <v>43864.041666666701</v>
      </c>
      <c r="H195" s="35">
        <f ca="1">YEAR(TODAY()) - YEAR(G195) - (IF(DATE(YEAR(TODAY()), MONTH(G195), DAY(G195)) &gt; TODAY(), 1, 0))</f>
        <v>5</v>
      </c>
      <c r="I195" cm="1">
        <f t="array" ref="I195">SUMPRODUCT(--(BRON!$A$2:$A$1197=Table1[[#This Row],[Personeelsnummer]]))</f>
        <v>0</v>
      </c>
    </row>
    <row r="196" spans="1:9" x14ac:dyDescent="0.25">
      <c r="A196" s="34" t="s">
        <v>3105</v>
      </c>
      <c r="B196" s="34" t="s">
        <v>3108</v>
      </c>
      <c r="C196" s="36" t="s">
        <v>4069</v>
      </c>
      <c r="E196" s="34" t="s">
        <v>3860</v>
      </c>
      <c r="F196" s="34" t="s">
        <v>3871</v>
      </c>
      <c r="G196" s="3">
        <v>43878.041666666701</v>
      </c>
      <c r="H196" s="35">
        <f ca="1">YEAR(TODAY()) - YEAR(G196) - (IF(DATE(YEAR(TODAY()), MONTH(G196), DAY(G196)) &gt; TODAY(), 1, 0))</f>
        <v>5</v>
      </c>
      <c r="I196" cm="1">
        <f t="array" ref="I196">SUMPRODUCT(--(BRON!$A$2:$A$1197=Table1[[#This Row],[Personeelsnummer]]))</f>
        <v>0</v>
      </c>
    </row>
    <row r="197" spans="1:9" x14ac:dyDescent="0.25">
      <c r="A197" s="34" t="s">
        <v>2931</v>
      </c>
      <c r="B197" s="34" t="s">
        <v>2936</v>
      </c>
      <c r="C197" s="36" t="s">
        <v>4070</v>
      </c>
      <c r="E197" s="34" t="s">
        <v>3857</v>
      </c>
      <c r="F197" s="34" t="s">
        <v>3866</v>
      </c>
      <c r="G197" s="3">
        <v>43891.041666666701</v>
      </c>
      <c r="H197" s="35">
        <f ca="1">YEAR(TODAY()) - YEAR(G197) - (IF(DATE(YEAR(TODAY()), MONTH(G197), DAY(G197)) &gt; TODAY(), 1, 0))</f>
        <v>5</v>
      </c>
      <c r="I197" cm="1">
        <f t="array" ref="I197">SUMPRODUCT(--(BRON!$A$2:$A$1197=Table1[[#This Row],[Personeelsnummer]]))</f>
        <v>0</v>
      </c>
    </row>
    <row r="198" spans="1:9" x14ac:dyDescent="0.25">
      <c r="A198" s="34" t="s">
        <v>2220</v>
      </c>
      <c r="B198" s="34" t="s">
        <v>2219</v>
      </c>
      <c r="C198" s="36" t="s">
        <v>4071</v>
      </c>
      <c r="E198" s="34" t="s">
        <v>3853</v>
      </c>
      <c r="F198" s="34" t="s">
        <v>3866</v>
      </c>
      <c r="G198" s="3">
        <v>43892.041666666701</v>
      </c>
      <c r="H198" s="35">
        <f ca="1">YEAR(TODAY()) - YEAR(G198) - (IF(DATE(YEAR(TODAY()), MONTH(G198), DAY(G198)) &gt; TODAY(), 1, 0))</f>
        <v>5</v>
      </c>
      <c r="I198" cm="1">
        <f t="array" ref="I198">SUMPRODUCT(--(BRON!$A$2:$A$1197=Table1[[#This Row],[Personeelsnummer]]))</f>
        <v>0</v>
      </c>
    </row>
    <row r="199" spans="1:9" x14ac:dyDescent="0.25">
      <c r="A199" s="34" t="s">
        <v>3299</v>
      </c>
      <c r="B199" s="34" t="s">
        <v>3298</v>
      </c>
      <c r="C199" s="36" t="s">
        <v>4077</v>
      </c>
      <c r="E199" s="34" t="s">
        <v>3853</v>
      </c>
      <c r="F199" s="34" t="s">
        <v>3881</v>
      </c>
      <c r="G199" s="3">
        <v>44081.083333333299</v>
      </c>
      <c r="H199" s="35">
        <f ca="1">YEAR(TODAY()) - YEAR(G199) - (IF(DATE(YEAR(TODAY()), MONTH(G199), DAY(G199)) &gt; TODAY(), 1, 0))</f>
        <v>5</v>
      </c>
      <c r="I199" cm="1">
        <f t="array" ref="I199">SUMPRODUCT(--(BRON!$A$2:$A$1197=Table1[[#This Row],[Personeelsnummer]]))</f>
        <v>0</v>
      </c>
    </row>
    <row r="200" spans="1:9" x14ac:dyDescent="0.25">
      <c r="A200" s="34" t="s">
        <v>3191</v>
      </c>
      <c r="B200" s="34" t="s">
        <v>3190</v>
      </c>
      <c r="C200" s="36" t="s">
        <v>4080</v>
      </c>
      <c r="E200" s="34" t="s">
        <v>3860</v>
      </c>
      <c r="F200" s="34" t="s">
        <v>3874</v>
      </c>
      <c r="G200" s="3">
        <v>44025.083333333299</v>
      </c>
      <c r="H200" s="35">
        <f ca="1">YEAR(TODAY()) - YEAR(G200) - (IF(DATE(YEAR(TODAY()), MONTH(G200), DAY(G200)) &gt; TODAY(), 1, 0))</f>
        <v>5</v>
      </c>
      <c r="I200" cm="1">
        <f t="array" ref="I200">SUMPRODUCT(--(BRON!$A$2:$A$1197=Table1[[#This Row],[Personeelsnummer]]))</f>
        <v>0</v>
      </c>
    </row>
    <row r="201" spans="1:9" x14ac:dyDescent="0.25">
      <c r="A201" s="34" t="s">
        <v>2288</v>
      </c>
      <c r="B201" s="34" t="s">
        <v>2287</v>
      </c>
      <c r="C201" s="36" t="s">
        <v>4082</v>
      </c>
      <c r="E201" s="34" t="s">
        <v>3853</v>
      </c>
      <c r="F201" s="34" t="s">
        <v>3866</v>
      </c>
      <c r="G201" s="3">
        <v>44039.083333333299</v>
      </c>
      <c r="H201" s="35">
        <f ca="1">YEAR(TODAY()) - YEAR(G201) - (IF(DATE(YEAR(TODAY()), MONTH(G201), DAY(G201)) &gt; TODAY(), 1, 0))</f>
        <v>5</v>
      </c>
      <c r="I201" cm="1">
        <f t="array" ref="I201">SUMPRODUCT(--(BRON!$A$2:$A$1197=Table1[[#This Row],[Personeelsnummer]]))</f>
        <v>0</v>
      </c>
    </row>
    <row r="202" spans="1:9" x14ac:dyDescent="0.25">
      <c r="A202" s="34" t="s">
        <v>2311</v>
      </c>
      <c r="B202" s="34" t="s">
        <v>2320</v>
      </c>
      <c r="C202" s="36" t="s">
        <v>4083</v>
      </c>
      <c r="E202" s="34" t="s">
        <v>3853</v>
      </c>
      <c r="F202" s="34" t="s">
        <v>3854</v>
      </c>
      <c r="G202" s="3">
        <v>44025.083333333299</v>
      </c>
      <c r="H202" s="35">
        <f ca="1">YEAR(TODAY()) - YEAR(G202) - (IF(DATE(YEAR(TODAY()), MONTH(G202), DAY(G202)) &gt; TODAY(), 1, 0))</f>
        <v>5</v>
      </c>
      <c r="I202" cm="1">
        <f t="array" ref="I202">SUMPRODUCT(--(BRON!$A$2:$A$1197=Table1[[#This Row],[Personeelsnummer]]))</f>
        <v>0</v>
      </c>
    </row>
    <row r="203" spans="1:9" x14ac:dyDescent="0.25">
      <c r="A203" s="34" t="s">
        <v>1448</v>
      </c>
      <c r="B203" s="34" t="s">
        <v>1447</v>
      </c>
      <c r="C203" s="36" t="s">
        <v>4085</v>
      </c>
      <c r="E203" s="34" t="s">
        <v>3853</v>
      </c>
      <c r="F203" s="34" t="s">
        <v>3881</v>
      </c>
      <c r="G203" s="3">
        <v>44039.083333333299</v>
      </c>
      <c r="H203" s="35">
        <f ca="1">YEAR(TODAY()) - YEAR(G203) - (IF(DATE(YEAR(TODAY()), MONTH(G203), DAY(G203)) &gt; TODAY(), 1, 0))</f>
        <v>5</v>
      </c>
      <c r="I203" cm="1">
        <f t="array" ref="I203">SUMPRODUCT(--(BRON!$A$2:$A$1197=Table1[[#This Row],[Personeelsnummer]]))</f>
        <v>0</v>
      </c>
    </row>
    <row r="204" spans="1:9" x14ac:dyDescent="0.25">
      <c r="A204" s="34" t="s">
        <v>1389</v>
      </c>
      <c r="B204" s="34" t="s">
        <v>1388</v>
      </c>
      <c r="C204" s="36" t="s">
        <v>4086</v>
      </c>
      <c r="E204" s="34" t="s">
        <v>3853</v>
      </c>
      <c r="F204" s="34" t="s">
        <v>3874</v>
      </c>
      <c r="G204" s="3">
        <v>44067.083333333299</v>
      </c>
      <c r="H204" s="35">
        <f ca="1">YEAR(TODAY()) - YEAR(G204) - (IF(DATE(YEAR(TODAY()), MONTH(G204), DAY(G204)) &gt; TODAY(), 1, 0))</f>
        <v>5</v>
      </c>
      <c r="I204" cm="1">
        <f t="array" ref="I204">SUMPRODUCT(--(BRON!$A$2:$A$1197=Table1[[#This Row],[Personeelsnummer]]))</f>
        <v>0</v>
      </c>
    </row>
    <row r="205" spans="1:9" x14ac:dyDescent="0.25">
      <c r="A205" s="34" t="s">
        <v>1760</v>
      </c>
      <c r="B205" s="34" t="s">
        <v>1759</v>
      </c>
      <c r="C205" s="36" t="s">
        <v>4088</v>
      </c>
      <c r="E205" s="34" t="s">
        <v>3860</v>
      </c>
      <c r="F205" s="34" t="s">
        <v>3870</v>
      </c>
      <c r="G205" s="3">
        <v>44075.083333333299</v>
      </c>
      <c r="H205" s="35">
        <f ca="1">YEAR(TODAY()) - YEAR(G205) - (IF(DATE(YEAR(TODAY()), MONTH(G205), DAY(G205)) &gt; TODAY(), 1, 0))</f>
        <v>5</v>
      </c>
      <c r="I205" cm="1">
        <f t="array" ref="I205">SUMPRODUCT(--(BRON!$A$2:$A$1197=Table1[[#This Row],[Personeelsnummer]]))</f>
        <v>0</v>
      </c>
    </row>
    <row r="206" spans="1:9" x14ac:dyDescent="0.25">
      <c r="A206" s="34" t="s">
        <v>3442</v>
      </c>
      <c r="B206" s="34" t="s">
        <v>3441</v>
      </c>
      <c r="C206" s="36" t="s">
        <v>4067</v>
      </c>
      <c r="E206" s="34" t="s">
        <v>3853</v>
      </c>
      <c r="F206" s="34" t="s">
        <v>3870</v>
      </c>
      <c r="G206" s="3">
        <v>43864.041666666701</v>
      </c>
      <c r="H206" s="35">
        <f ca="1">YEAR(TODAY()) - YEAR(G206) - (IF(DATE(YEAR(TODAY()), MONTH(G206), DAY(G206)) &gt; TODAY(), 1, 0))</f>
        <v>5</v>
      </c>
      <c r="I206" cm="1">
        <f t="array" ref="I206">SUMPRODUCT(--(BRON!$A$2:$A$1197=Table1[[#This Row],[Personeelsnummer]]))</f>
        <v>0</v>
      </c>
    </row>
    <row r="207" spans="1:9" x14ac:dyDescent="0.25">
      <c r="A207" s="34" t="s">
        <v>2516</v>
      </c>
      <c r="B207" s="34" t="s">
        <v>1255</v>
      </c>
      <c r="C207" s="36" t="s">
        <v>4072</v>
      </c>
      <c r="E207" s="34" t="s">
        <v>3853</v>
      </c>
      <c r="F207" s="34" t="s">
        <v>3870</v>
      </c>
      <c r="G207" s="3">
        <v>43906.041666666701</v>
      </c>
      <c r="H207" s="35">
        <f ca="1">YEAR(TODAY()) - YEAR(G207) - (IF(DATE(YEAR(TODAY()), MONTH(G207), DAY(G207)) &gt; TODAY(), 1, 0))</f>
        <v>5</v>
      </c>
      <c r="I207" cm="1">
        <f t="array" ref="I207">SUMPRODUCT(--(BRON!$A$2:$A$1197=Table1[[#This Row],[Personeelsnummer]]))</f>
        <v>0</v>
      </c>
    </row>
    <row r="208" spans="1:9" x14ac:dyDescent="0.25">
      <c r="A208" s="34" t="s">
        <v>1766</v>
      </c>
      <c r="B208" s="34" t="s">
        <v>1490</v>
      </c>
      <c r="C208" s="36" t="s">
        <v>4073</v>
      </c>
      <c r="E208" s="34" t="s">
        <v>3853</v>
      </c>
      <c r="F208" s="34" t="s">
        <v>3870</v>
      </c>
      <c r="G208" s="3">
        <v>43969.083333333299</v>
      </c>
      <c r="H208" s="35">
        <f ca="1">YEAR(TODAY()) - YEAR(G208) - (IF(DATE(YEAR(TODAY()), MONTH(G208), DAY(G208)) &gt; TODAY(), 1, 0))</f>
        <v>5</v>
      </c>
      <c r="I208" cm="1">
        <f t="array" ref="I208">SUMPRODUCT(--(BRON!$A$2:$A$1197=Table1[[#This Row],[Personeelsnummer]]))</f>
        <v>0</v>
      </c>
    </row>
    <row r="209" spans="1:9" x14ac:dyDescent="0.25">
      <c r="A209" s="34" t="s">
        <v>2745</v>
      </c>
      <c r="B209" s="34" t="s">
        <v>2744</v>
      </c>
      <c r="C209" s="36" t="s">
        <v>4074</v>
      </c>
      <c r="E209" s="34" t="s">
        <v>3857</v>
      </c>
      <c r="F209" s="34" t="s">
        <v>3874</v>
      </c>
      <c r="G209" s="3">
        <v>43980.083333333299</v>
      </c>
      <c r="H209" s="35">
        <f ca="1">YEAR(TODAY()) - YEAR(G209) - (IF(DATE(YEAR(TODAY()), MONTH(G209), DAY(G209)) &gt; TODAY(), 1, 0))</f>
        <v>5</v>
      </c>
      <c r="I209" cm="1">
        <f t="array" ref="I209">SUMPRODUCT(--(BRON!$A$2:$A$1197=Table1[[#This Row],[Personeelsnummer]]))</f>
        <v>0</v>
      </c>
    </row>
    <row r="210" spans="1:9" x14ac:dyDescent="0.25">
      <c r="A210" s="34" t="s">
        <v>3408</v>
      </c>
      <c r="B210" s="34" t="s">
        <v>3407</v>
      </c>
      <c r="C210" s="36" t="s">
        <v>4075</v>
      </c>
      <c r="E210" s="34" t="s">
        <v>3853</v>
      </c>
      <c r="F210" s="34" t="s">
        <v>3866</v>
      </c>
      <c r="G210" s="3">
        <v>43984.083333333299</v>
      </c>
      <c r="H210" s="35">
        <f ca="1">YEAR(TODAY()) - YEAR(G210) - (IF(DATE(YEAR(TODAY()), MONTH(G210), DAY(G210)) &gt; TODAY(), 1, 0))</f>
        <v>5</v>
      </c>
      <c r="I210" cm="1">
        <f t="array" ref="I210">SUMPRODUCT(--(BRON!$A$2:$A$1197=Table1[[#This Row],[Personeelsnummer]]))</f>
        <v>0</v>
      </c>
    </row>
    <row r="211" spans="1:9" x14ac:dyDescent="0.25">
      <c r="A211" s="34" t="s">
        <v>3015</v>
      </c>
      <c r="B211" s="34" t="s">
        <v>3021</v>
      </c>
      <c r="C211" s="36" t="s">
        <v>4076</v>
      </c>
      <c r="E211" s="34" t="s">
        <v>3860</v>
      </c>
      <c r="F211" s="34" t="s">
        <v>3870</v>
      </c>
      <c r="G211" s="3">
        <v>44011.083333333299</v>
      </c>
      <c r="H211" s="35">
        <f ca="1">YEAR(TODAY()) - YEAR(G211) - (IF(DATE(YEAR(TODAY()), MONTH(G211), DAY(G211)) &gt; TODAY(), 1, 0))</f>
        <v>5</v>
      </c>
      <c r="I211" cm="1">
        <f t="array" ref="I211">SUMPRODUCT(--(BRON!$A$2:$A$1197=Table1[[#This Row],[Personeelsnummer]]))</f>
        <v>0</v>
      </c>
    </row>
    <row r="212" spans="1:9" x14ac:dyDescent="0.25">
      <c r="A212" s="34" t="s">
        <v>1394</v>
      </c>
      <c r="B212" s="34" t="s">
        <v>1393</v>
      </c>
      <c r="C212" s="36" t="s">
        <v>4081</v>
      </c>
      <c r="E212" s="34" t="s">
        <v>3860</v>
      </c>
      <c r="F212" s="34" t="s">
        <v>3870</v>
      </c>
      <c r="G212" s="3">
        <v>44025.083333333299</v>
      </c>
      <c r="H212" s="35">
        <f ca="1">YEAR(TODAY()) - YEAR(G212) - (IF(DATE(YEAR(TODAY()), MONTH(G212), DAY(G212)) &gt; TODAY(), 1, 0))</f>
        <v>5</v>
      </c>
      <c r="I212" cm="1">
        <f t="array" ref="I212">SUMPRODUCT(--(BRON!$A$2:$A$1197=Table1[[#This Row],[Personeelsnummer]]))</f>
        <v>0</v>
      </c>
    </row>
    <row r="213" spans="1:9" x14ac:dyDescent="0.25">
      <c r="A213" s="34" t="s">
        <v>2841</v>
      </c>
      <c r="B213" s="34" t="s">
        <v>2840</v>
      </c>
      <c r="C213" s="36" t="s">
        <v>4089</v>
      </c>
      <c r="E213" s="34" t="s">
        <v>3860</v>
      </c>
      <c r="F213" s="34" t="s">
        <v>3866</v>
      </c>
      <c r="G213" s="3">
        <v>44151.041666666701</v>
      </c>
      <c r="H213" s="35">
        <f ca="1">YEAR(TODAY()) - YEAR(G213) - (IF(DATE(YEAR(TODAY()), MONTH(G213), DAY(G213)) &gt; TODAY(), 1, 0))</f>
        <v>5</v>
      </c>
      <c r="I213" cm="1">
        <f t="array" ref="I213">SUMPRODUCT(--(BRON!$A$2:$A$1197=Table1[[#This Row],[Personeelsnummer]]))</f>
        <v>0</v>
      </c>
    </row>
    <row r="214" spans="1:9" x14ac:dyDescent="0.25">
      <c r="A214" s="34" t="s">
        <v>2792</v>
      </c>
      <c r="B214" s="34" t="s">
        <v>2068</v>
      </c>
      <c r="C214" s="36" t="s">
        <v>4084</v>
      </c>
      <c r="E214" s="34" t="s">
        <v>3853</v>
      </c>
      <c r="F214" s="34" t="s">
        <v>3866</v>
      </c>
      <c r="G214" s="3">
        <v>44039.083333333299</v>
      </c>
      <c r="H214" s="35">
        <f ca="1">YEAR(TODAY()) - YEAR(G214) - (IF(DATE(YEAR(TODAY()), MONTH(G214), DAY(G214)) &gt; TODAY(), 1, 0))</f>
        <v>5</v>
      </c>
      <c r="I214" cm="1">
        <f t="array" ref="I214">SUMPRODUCT(--(BRON!$A$2:$A$1197=Table1[[#This Row],[Personeelsnummer]]))</f>
        <v>0</v>
      </c>
    </row>
    <row r="215" spans="1:9" x14ac:dyDescent="0.25">
      <c r="A215" s="34" t="s">
        <v>2706</v>
      </c>
      <c r="B215" s="34" t="s">
        <v>2705</v>
      </c>
      <c r="C215" s="36" t="s">
        <v>4078</v>
      </c>
      <c r="E215" s="34" t="s">
        <v>3860</v>
      </c>
      <c r="F215" s="34" t="s">
        <v>3871</v>
      </c>
      <c r="G215" s="3">
        <v>43997.083333333299</v>
      </c>
      <c r="H215" s="35">
        <f ca="1">YEAR(TODAY()) - YEAR(G215) - (IF(DATE(YEAR(TODAY()), MONTH(G215), DAY(G215)) &gt; TODAY(), 1, 0))</f>
        <v>5</v>
      </c>
      <c r="I215" cm="1">
        <f t="array" ref="I215">SUMPRODUCT(--(BRON!$A$2:$A$1197=Table1[[#This Row],[Personeelsnummer]]))</f>
        <v>0</v>
      </c>
    </row>
    <row r="216" spans="1:9" x14ac:dyDescent="0.25">
      <c r="A216" s="34" t="s">
        <v>1550</v>
      </c>
      <c r="B216" s="34" t="s">
        <v>1554</v>
      </c>
      <c r="C216" s="36" t="s">
        <v>4079</v>
      </c>
      <c r="E216" s="34" t="s">
        <v>3853</v>
      </c>
      <c r="F216" s="34" t="s">
        <v>3881</v>
      </c>
      <c r="G216" s="3">
        <v>44025.083333333299</v>
      </c>
      <c r="H216" s="35">
        <f ca="1">YEAR(TODAY()) - YEAR(G216) - (IF(DATE(YEAR(TODAY()), MONTH(G216), DAY(G216)) &gt; TODAY(), 1, 0))</f>
        <v>5</v>
      </c>
      <c r="I216" cm="1">
        <f t="array" ref="I216">SUMPRODUCT(--(BRON!$A$2:$A$1197=Table1[[#This Row],[Personeelsnummer]]))</f>
        <v>0</v>
      </c>
    </row>
    <row r="217" spans="1:9" x14ac:dyDescent="0.25">
      <c r="A217" s="34" t="s">
        <v>1435</v>
      </c>
      <c r="B217" s="34" t="s">
        <v>1434</v>
      </c>
      <c r="C217" s="36" t="s">
        <v>4087</v>
      </c>
      <c r="E217" s="34" t="s">
        <v>3860</v>
      </c>
      <c r="F217" s="34" t="s">
        <v>3874</v>
      </c>
      <c r="G217" s="3">
        <v>44070.083333333299</v>
      </c>
      <c r="H217" s="35">
        <f ca="1">YEAR(TODAY()) - YEAR(G217) - (IF(DATE(YEAR(TODAY()), MONTH(G217), DAY(G217)) &gt; TODAY(), 1, 0))</f>
        <v>5</v>
      </c>
      <c r="I217" cm="1">
        <f t="array" ref="I217">SUMPRODUCT(--(BRON!$A$2:$A$1197=Table1[[#This Row],[Personeelsnummer]]))</f>
        <v>0</v>
      </c>
    </row>
    <row r="218" spans="1:9" x14ac:dyDescent="0.25">
      <c r="A218" s="34" t="s">
        <v>1960</v>
      </c>
      <c r="B218" s="34" t="s">
        <v>1964</v>
      </c>
      <c r="C218" s="36" t="s">
        <v>4055</v>
      </c>
      <c r="E218" s="34" t="s">
        <v>3860</v>
      </c>
      <c r="F218" s="34" t="s">
        <v>3874</v>
      </c>
      <c r="G218" s="3">
        <v>43528.041666666701</v>
      </c>
      <c r="H218" s="35">
        <f ca="1">YEAR(TODAY()) - YEAR(G218) - (IF(DATE(YEAR(TODAY()), MONTH(G218), DAY(G218)) &gt; TODAY(), 1, 0))</f>
        <v>6</v>
      </c>
      <c r="I218" cm="1">
        <f t="array" ref="I218">SUMPRODUCT(--(BRON!$A$2:$A$1197=Table1[[#This Row],[Personeelsnummer]]))</f>
        <v>0</v>
      </c>
    </row>
    <row r="219" spans="1:9" x14ac:dyDescent="0.25">
      <c r="A219" s="34" t="s">
        <v>1550</v>
      </c>
      <c r="B219" s="34" t="s">
        <v>1560</v>
      </c>
      <c r="C219" s="36" t="s">
        <v>4057</v>
      </c>
      <c r="E219" s="34" t="s">
        <v>3867</v>
      </c>
      <c r="F219" s="34" t="s">
        <v>3863</v>
      </c>
      <c r="G219" s="3">
        <v>43627.083333333299</v>
      </c>
      <c r="H219" s="35">
        <f ca="1">YEAR(TODAY()) - YEAR(G219) - (IF(DATE(YEAR(TODAY()), MONTH(G219), DAY(G219)) &gt; TODAY(), 1, 0))</f>
        <v>6</v>
      </c>
      <c r="I219" cm="1">
        <f t="array" ref="I219">SUMPRODUCT(--(BRON!$A$2:$A$1197=Table1[[#This Row],[Personeelsnummer]]))</f>
        <v>0</v>
      </c>
    </row>
    <row r="220" spans="1:9" x14ac:dyDescent="0.25">
      <c r="A220" s="34" t="s">
        <v>549</v>
      </c>
      <c r="B220" s="34" t="s">
        <v>1439</v>
      </c>
      <c r="C220" s="36" t="s">
        <v>4064</v>
      </c>
      <c r="E220" s="34" t="s">
        <v>3855</v>
      </c>
      <c r="F220" s="34" t="s">
        <v>3856</v>
      </c>
      <c r="G220" s="3">
        <v>43697.083333333299</v>
      </c>
      <c r="H220" s="35">
        <f ca="1">YEAR(TODAY()) - YEAR(G220) - (IF(DATE(YEAR(TODAY()), MONTH(G220), DAY(G220)) &gt; TODAY(), 1, 0))</f>
        <v>6</v>
      </c>
      <c r="I220" cm="1">
        <f t="array" ref="I220">SUMPRODUCT(--(BRON!$A$2:$A$1197=Table1[[#This Row],[Personeelsnummer]]))</f>
        <v>0</v>
      </c>
    </row>
    <row r="221" spans="1:9" x14ac:dyDescent="0.25">
      <c r="A221" s="34" t="s">
        <v>3151</v>
      </c>
      <c r="B221" s="34" t="s">
        <v>3150</v>
      </c>
      <c r="C221" s="36" t="s">
        <v>4052</v>
      </c>
      <c r="E221" s="34" t="s">
        <v>3853</v>
      </c>
      <c r="F221" s="34" t="s">
        <v>3854</v>
      </c>
      <c r="G221" s="3">
        <v>43472.041666666701</v>
      </c>
      <c r="H221" s="35">
        <f ca="1">YEAR(TODAY()) - YEAR(G221) - (IF(DATE(YEAR(TODAY()), MONTH(G221), DAY(G221)) &gt; TODAY(), 1, 0))</f>
        <v>6</v>
      </c>
      <c r="I221" cm="1">
        <f t="array" ref="I221">SUMPRODUCT(--(BRON!$A$2:$A$1197=Table1[[#This Row],[Personeelsnummer]]))</f>
        <v>0</v>
      </c>
    </row>
    <row r="222" spans="1:9" x14ac:dyDescent="0.25">
      <c r="A222" s="34" t="s">
        <v>1956</v>
      </c>
      <c r="B222" s="34" t="s">
        <v>1955</v>
      </c>
      <c r="C222" s="36" t="s">
        <v>4053</v>
      </c>
      <c r="E222" s="34" t="s">
        <v>3860</v>
      </c>
      <c r="F222" s="34" t="s">
        <v>3870</v>
      </c>
      <c r="G222" s="3">
        <v>43486.041666666701</v>
      </c>
      <c r="H222" s="35">
        <f ca="1">YEAR(TODAY()) - YEAR(G222) - (IF(DATE(YEAR(TODAY()), MONTH(G222), DAY(G222)) &gt; TODAY(), 1, 0))</f>
        <v>6</v>
      </c>
      <c r="I222" cm="1">
        <f t="array" ref="I222">SUMPRODUCT(--(BRON!$A$2:$A$1197=Table1[[#This Row],[Personeelsnummer]]))</f>
        <v>0</v>
      </c>
    </row>
    <row r="223" spans="1:9" x14ac:dyDescent="0.25">
      <c r="A223" s="34" t="s">
        <v>2453</v>
      </c>
      <c r="B223" s="34" t="s">
        <v>2456</v>
      </c>
      <c r="C223" s="36" t="s">
        <v>4058</v>
      </c>
      <c r="E223" s="34" t="s">
        <v>3853</v>
      </c>
      <c r="F223" s="34" t="s">
        <v>3863</v>
      </c>
      <c r="G223" s="3">
        <v>43640.083333333299</v>
      </c>
      <c r="H223" s="35">
        <f ca="1">YEAR(TODAY()) - YEAR(G223) - (IF(DATE(YEAR(TODAY()), MONTH(G223), DAY(G223)) &gt; TODAY(), 1, 0))</f>
        <v>6</v>
      </c>
      <c r="I223" cm="1">
        <f t="array" ref="I223">SUMPRODUCT(--(BRON!$A$2:$A$1197=Table1[[#This Row],[Personeelsnummer]]))</f>
        <v>0</v>
      </c>
    </row>
    <row r="224" spans="1:9" x14ac:dyDescent="0.25">
      <c r="A224" s="34" t="s">
        <v>1575</v>
      </c>
      <c r="B224" s="34" t="s">
        <v>1574</v>
      </c>
      <c r="C224" s="36" t="s">
        <v>4059</v>
      </c>
      <c r="E224" s="34" t="s">
        <v>3853</v>
      </c>
      <c r="F224" s="34" t="s">
        <v>3870</v>
      </c>
      <c r="G224" s="3">
        <v>43669.083333333299</v>
      </c>
      <c r="H224" s="35">
        <f ca="1">YEAR(TODAY()) - YEAR(G224) - (IF(DATE(YEAR(TODAY()), MONTH(G224), DAY(G224)) &gt; TODAY(), 1, 0))</f>
        <v>6</v>
      </c>
      <c r="I224" cm="1">
        <f t="array" ref="I224">SUMPRODUCT(--(BRON!$A$2:$A$1197=Table1[[#This Row],[Personeelsnummer]]))</f>
        <v>0</v>
      </c>
    </row>
    <row r="225" spans="1:9" x14ac:dyDescent="0.25">
      <c r="A225" s="34" t="s">
        <v>2141</v>
      </c>
      <c r="B225" s="34" t="s">
        <v>2140</v>
      </c>
      <c r="C225" s="36" t="s">
        <v>4060</v>
      </c>
      <c r="E225" s="34" t="s">
        <v>3853</v>
      </c>
      <c r="F225" s="34" t="s">
        <v>3874</v>
      </c>
      <c r="G225" s="3">
        <v>43724.083333333299</v>
      </c>
      <c r="H225" s="35">
        <f ca="1">YEAR(TODAY()) - YEAR(G225) - (IF(DATE(YEAR(TODAY()), MONTH(G225), DAY(G225)) &gt; TODAY(), 1, 0))</f>
        <v>6</v>
      </c>
      <c r="I225" cm="1">
        <f t="array" ref="I225">SUMPRODUCT(--(BRON!$A$2:$A$1197=Table1[[#This Row],[Personeelsnummer]]))</f>
        <v>0</v>
      </c>
    </row>
    <row r="226" spans="1:9" x14ac:dyDescent="0.25">
      <c r="A226" s="34" t="s">
        <v>3116</v>
      </c>
      <c r="B226" s="34" t="s">
        <v>3115</v>
      </c>
      <c r="C226" s="36" t="s">
        <v>4051</v>
      </c>
      <c r="E226" s="34" t="s">
        <v>3853</v>
      </c>
      <c r="F226" s="34" t="s">
        <v>3863</v>
      </c>
      <c r="G226" s="3">
        <v>43444.041666666701</v>
      </c>
      <c r="H226" s="35">
        <f ca="1">YEAR(TODAY()) - YEAR(G226) - (IF(DATE(YEAR(TODAY()), MONTH(G226), DAY(G226)) &gt; TODAY(), 1, 0))</f>
        <v>6</v>
      </c>
      <c r="I226" cm="1">
        <f t="array" ref="I226">SUMPRODUCT(--(BRON!$A$2:$A$1197=Table1[[#This Row],[Personeelsnummer]]))</f>
        <v>0</v>
      </c>
    </row>
    <row r="227" spans="1:9" x14ac:dyDescent="0.25">
      <c r="A227" s="34" t="s">
        <v>3038</v>
      </c>
      <c r="B227" s="34" t="s">
        <v>3037</v>
      </c>
      <c r="C227" s="36" t="s">
        <v>4063</v>
      </c>
      <c r="E227" s="34" t="s">
        <v>3853</v>
      </c>
      <c r="F227" s="34" t="s">
        <v>3870</v>
      </c>
      <c r="G227" s="3">
        <v>43710.083333333299</v>
      </c>
      <c r="H227" s="35">
        <f ca="1">YEAR(TODAY()) - YEAR(G227) - (IF(DATE(YEAR(TODAY()), MONTH(G227), DAY(G227)) &gt; TODAY(), 1, 0))</f>
        <v>6</v>
      </c>
      <c r="I227" cm="1">
        <f t="array" ref="I227">SUMPRODUCT(--(BRON!$A$2:$A$1197=Table1[[#This Row],[Personeelsnummer]]))</f>
        <v>0</v>
      </c>
    </row>
    <row r="228" spans="1:9" x14ac:dyDescent="0.25">
      <c r="A228" s="34" t="s">
        <v>2125</v>
      </c>
      <c r="B228" s="34" t="s">
        <v>2124</v>
      </c>
      <c r="C228" s="36" t="s">
        <v>4056</v>
      </c>
      <c r="E228" s="34" t="s">
        <v>3853</v>
      </c>
      <c r="F228" s="34" t="s">
        <v>3854</v>
      </c>
      <c r="G228" s="3">
        <v>43605.083333333299</v>
      </c>
      <c r="H228" s="35">
        <f ca="1">YEAR(TODAY()) - YEAR(G228) - (IF(DATE(YEAR(TODAY()), MONTH(G228), DAY(G228)) &gt; TODAY(), 1, 0))</f>
        <v>6</v>
      </c>
      <c r="I228" cm="1">
        <f t="array" ref="I228">SUMPRODUCT(--(BRON!$A$2:$A$1197=Table1[[#This Row],[Personeelsnummer]]))</f>
        <v>0</v>
      </c>
    </row>
    <row r="229" spans="1:9" x14ac:dyDescent="0.25">
      <c r="A229" s="34" t="s">
        <v>2531</v>
      </c>
      <c r="B229" s="34" t="s">
        <v>2530</v>
      </c>
      <c r="C229" s="36" t="s">
        <v>4062</v>
      </c>
      <c r="E229" s="34" t="s">
        <v>3857</v>
      </c>
      <c r="F229" s="34" t="s">
        <v>3854</v>
      </c>
      <c r="G229" s="3">
        <v>43710.083333333299</v>
      </c>
      <c r="H229" s="35">
        <f ca="1">YEAR(TODAY()) - YEAR(G229) - (IF(DATE(YEAR(TODAY()), MONTH(G229), DAY(G229)) &gt; TODAY(), 1, 0))</f>
        <v>6</v>
      </c>
      <c r="I229" cm="1">
        <f t="array" ref="I229">SUMPRODUCT(--(BRON!$A$2:$A$1197=Table1[[#This Row],[Personeelsnummer]]))</f>
        <v>0</v>
      </c>
    </row>
    <row r="230" spans="1:9" x14ac:dyDescent="0.25">
      <c r="A230" s="34" t="s">
        <v>2683</v>
      </c>
      <c r="B230" s="34" t="s">
        <v>2682</v>
      </c>
      <c r="C230" s="36" t="s">
        <v>4065</v>
      </c>
      <c r="E230" s="34" t="s">
        <v>3853</v>
      </c>
      <c r="F230" s="34" t="s">
        <v>3881</v>
      </c>
      <c r="G230" s="3">
        <v>43752.083333333299</v>
      </c>
      <c r="H230" s="35">
        <f ca="1">YEAR(TODAY()) - YEAR(G230) - (IF(DATE(YEAR(TODAY()), MONTH(G230), DAY(G230)) &gt; TODAY(), 1, 0))</f>
        <v>6</v>
      </c>
      <c r="I230" cm="1">
        <f t="array" ref="I230">SUMPRODUCT(--(BRON!$A$2:$A$1197=Table1[[#This Row],[Personeelsnummer]]))</f>
        <v>0</v>
      </c>
    </row>
    <row r="231" spans="1:9" x14ac:dyDescent="0.25">
      <c r="A231" s="34" t="s">
        <v>3236</v>
      </c>
      <c r="B231" s="34" t="s">
        <v>3235</v>
      </c>
      <c r="C231" s="36" t="s">
        <v>4042</v>
      </c>
      <c r="E231" s="34" t="s">
        <v>3853</v>
      </c>
      <c r="F231" s="34" t="s">
        <v>3870</v>
      </c>
      <c r="G231" s="3">
        <v>43073.041666666701</v>
      </c>
      <c r="H231" s="35">
        <f ca="1">YEAR(TODAY()) - YEAR(G231) - (IF(DATE(YEAR(TODAY()), MONTH(G231), DAY(G231)) &gt; TODAY(), 1, 0))</f>
        <v>7</v>
      </c>
      <c r="I231" cm="1">
        <f t="array" ref="I231">SUMPRODUCT(--(BRON!$A$2:$A$1197=Table1[[#This Row],[Personeelsnummer]]))</f>
        <v>0</v>
      </c>
    </row>
    <row r="232" spans="1:9" x14ac:dyDescent="0.25">
      <c r="A232" s="34" t="s">
        <v>1960</v>
      </c>
      <c r="B232" s="34" t="s">
        <v>1967</v>
      </c>
      <c r="C232" s="36" t="s">
        <v>4043</v>
      </c>
      <c r="E232" s="34" t="s">
        <v>3860</v>
      </c>
      <c r="F232" s="34" t="s">
        <v>3870</v>
      </c>
      <c r="G232" s="3">
        <v>43108.041666666701</v>
      </c>
      <c r="H232" s="35">
        <f ca="1">YEAR(TODAY()) - YEAR(G232) - (IF(DATE(YEAR(TODAY()), MONTH(G232), DAY(G232)) &gt; TODAY(), 1, 0))</f>
        <v>7</v>
      </c>
      <c r="I232" cm="1">
        <f t="array" ref="I232">SUMPRODUCT(--(BRON!$A$2:$A$1197=Table1[[#This Row],[Personeelsnummer]]))</f>
        <v>0</v>
      </c>
    </row>
    <row r="233" spans="1:9" x14ac:dyDescent="0.25">
      <c r="A233" s="34" t="s">
        <v>3465</v>
      </c>
      <c r="B233" s="34" t="s">
        <v>3464</v>
      </c>
      <c r="C233" s="36" t="s">
        <v>4045</v>
      </c>
      <c r="E233" s="34" t="s">
        <v>3860</v>
      </c>
      <c r="F233" s="34" t="s">
        <v>3874</v>
      </c>
      <c r="G233" s="3">
        <v>43164.041666666701</v>
      </c>
      <c r="H233" s="35">
        <f ca="1">YEAR(TODAY()) - YEAR(G233) - (IF(DATE(YEAR(TODAY()), MONTH(G233), DAY(G233)) &gt; TODAY(), 1, 0))</f>
        <v>7</v>
      </c>
      <c r="I233" cm="1">
        <f t="array" ref="I233">SUMPRODUCT(--(BRON!$A$2:$A$1197=Table1[[#This Row],[Personeelsnummer]]))</f>
        <v>0</v>
      </c>
    </row>
    <row r="234" spans="1:9" x14ac:dyDescent="0.25">
      <c r="A234" s="34" t="s">
        <v>2462</v>
      </c>
      <c r="B234" s="34" t="s">
        <v>2468</v>
      </c>
      <c r="C234" s="36" t="s">
        <v>4046</v>
      </c>
      <c r="E234" s="34" t="s">
        <v>3857</v>
      </c>
      <c r="F234" s="34" t="s">
        <v>3881</v>
      </c>
      <c r="G234" s="3">
        <v>43150.041666666701</v>
      </c>
      <c r="H234" s="35">
        <f ca="1">YEAR(TODAY()) - YEAR(G234) - (IF(DATE(YEAR(TODAY()), MONTH(G234), DAY(G234)) &gt; TODAY(), 1, 0))</f>
        <v>7</v>
      </c>
      <c r="I234" cm="1">
        <f t="array" ref="I234">SUMPRODUCT(--(BRON!$A$2:$A$1197=Table1[[#This Row],[Personeelsnummer]]))</f>
        <v>0</v>
      </c>
    </row>
    <row r="235" spans="1:9" x14ac:dyDescent="0.25">
      <c r="A235" s="34" t="s">
        <v>2007</v>
      </c>
      <c r="B235" s="34" t="s">
        <v>2006</v>
      </c>
      <c r="C235" s="36" t="s">
        <v>4047</v>
      </c>
      <c r="E235" s="34" t="s">
        <v>3853</v>
      </c>
      <c r="F235" s="34" t="s">
        <v>3854</v>
      </c>
      <c r="G235" s="3">
        <v>43178.041666666701</v>
      </c>
      <c r="H235" s="35">
        <f ca="1">YEAR(TODAY()) - YEAR(G235) - (IF(DATE(YEAR(TODAY()), MONTH(G235), DAY(G235)) &gt; TODAY(), 1, 0))</f>
        <v>7</v>
      </c>
      <c r="I235" cm="1">
        <f t="array" ref="I235">SUMPRODUCT(--(BRON!$A$2:$A$1197=Table1[[#This Row],[Personeelsnummer]]))</f>
        <v>0</v>
      </c>
    </row>
    <row r="236" spans="1:9" x14ac:dyDescent="0.25">
      <c r="A236" s="34" t="s">
        <v>2964</v>
      </c>
      <c r="B236" s="34" t="s">
        <v>2963</v>
      </c>
      <c r="C236" s="36" t="s">
        <v>4048</v>
      </c>
      <c r="E236" s="34" t="s">
        <v>3853</v>
      </c>
      <c r="F236" s="34" t="s">
        <v>3870</v>
      </c>
      <c r="G236" s="3">
        <v>43193.083333333299</v>
      </c>
      <c r="H236" s="35">
        <f ca="1">YEAR(TODAY()) - YEAR(G236) - (IF(DATE(YEAR(TODAY()), MONTH(G236), DAY(G236)) &gt; TODAY(), 1, 0))</f>
        <v>7</v>
      </c>
      <c r="I236" cm="1">
        <f t="array" ref="I236">SUMPRODUCT(--(BRON!$A$2:$A$1197=Table1[[#This Row],[Personeelsnummer]]))</f>
        <v>0</v>
      </c>
    </row>
    <row r="237" spans="1:9" x14ac:dyDescent="0.25">
      <c r="A237" s="34" t="s">
        <v>2725</v>
      </c>
      <c r="B237" s="34" t="s">
        <v>2724</v>
      </c>
      <c r="C237" s="36" t="s">
        <v>4044</v>
      </c>
      <c r="E237" s="34" t="s">
        <v>3853</v>
      </c>
      <c r="F237" s="34" t="s">
        <v>3874</v>
      </c>
      <c r="G237" s="3">
        <v>43108.041666666701</v>
      </c>
      <c r="H237" s="35">
        <f ca="1">YEAR(TODAY()) - YEAR(G237) - (IF(DATE(YEAR(TODAY()), MONTH(G237), DAY(G237)) &gt; TODAY(), 1, 0))</f>
        <v>7</v>
      </c>
      <c r="I237" cm="1">
        <f t="array" ref="I237">SUMPRODUCT(--(BRON!$A$2:$A$1197=Table1[[#This Row],[Personeelsnummer]]))</f>
        <v>0</v>
      </c>
    </row>
    <row r="238" spans="1:9" x14ac:dyDescent="0.25">
      <c r="A238" s="34" t="s">
        <v>1674</v>
      </c>
      <c r="B238" s="34" t="s">
        <v>1673</v>
      </c>
      <c r="C238" s="36" t="s">
        <v>4049</v>
      </c>
      <c r="E238" s="34" t="s">
        <v>3860</v>
      </c>
      <c r="F238" s="34" t="s">
        <v>3866</v>
      </c>
      <c r="G238" s="3">
        <v>43304.083333333299</v>
      </c>
      <c r="H238" s="35">
        <f ca="1">YEAR(TODAY()) - YEAR(G238) - (IF(DATE(YEAR(TODAY()), MONTH(G238), DAY(G238)) &gt; TODAY(), 1, 0))</f>
        <v>7</v>
      </c>
      <c r="I238" cm="1">
        <f t="array" ref="I238">SUMPRODUCT(--(BRON!$A$2:$A$1197=Table1[[#This Row],[Personeelsnummer]]))</f>
        <v>0</v>
      </c>
    </row>
    <row r="239" spans="1:9" x14ac:dyDescent="0.25">
      <c r="A239" s="34" t="s">
        <v>2034</v>
      </c>
      <c r="B239" s="34" t="s">
        <v>2033</v>
      </c>
      <c r="C239" s="36" t="s">
        <v>4032</v>
      </c>
      <c r="E239" s="34" t="s">
        <v>3853</v>
      </c>
      <c r="F239" s="34" t="s">
        <v>3870</v>
      </c>
      <c r="G239" s="3">
        <v>42863.083333333299</v>
      </c>
      <c r="H239" s="35">
        <f ca="1">YEAR(TODAY()) - YEAR(G239) - (IF(DATE(YEAR(TODAY()), MONTH(G239), DAY(G239)) &gt; TODAY(), 1, 0))</f>
        <v>8</v>
      </c>
      <c r="I239" cm="1">
        <f t="array" ref="I239">SUMPRODUCT(--(BRON!$A$2:$A$1197=Table1[[#This Row],[Personeelsnummer]]))</f>
        <v>0</v>
      </c>
    </row>
    <row r="240" spans="1:9" x14ac:dyDescent="0.25">
      <c r="A240" s="34" t="s">
        <v>2615</v>
      </c>
      <c r="B240" s="34" t="s">
        <v>2614</v>
      </c>
      <c r="C240" s="36" t="s">
        <v>4035</v>
      </c>
      <c r="E240" s="34" t="s">
        <v>3853</v>
      </c>
      <c r="F240" s="34" t="s">
        <v>3874</v>
      </c>
      <c r="G240" s="3">
        <v>42892.083333333299</v>
      </c>
      <c r="H240" s="35">
        <f ca="1">YEAR(TODAY()) - YEAR(G240) - (IF(DATE(YEAR(TODAY()), MONTH(G240), DAY(G240)) &gt; TODAY(), 1, 0))</f>
        <v>8</v>
      </c>
      <c r="I240" cm="1">
        <f t="array" ref="I240">SUMPRODUCT(--(BRON!$A$2:$A$1197=Table1[[#This Row],[Personeelsnummer]]))</f>
        <v>0</v>
      </c>
    </row>
    <row r="241" spans="1:9" x14ac:dyDescent="0.25">
      <c r="A241" s="34" t="s">
        <v>1647</v>
      </c>
      <c r="B241" s="34" t="s">
        <v>1650</v>
      </c>
      <c r="C241" s="36" t="s">
        <v>4038</v>
      </c>
      <c r="E241" s="34" t="s">
        <v>3853</v>
      </c>
      <c r="F241" s="34" t="s">
        <v>3881</v>
      </c>
      <c r="G241" s="3">
        <v>42933.083333333299</v>
      </c>
      <c r="H241" s="35">
        <f ca="1">YEAR(TODAY()) - YEAR(G241) - (IF(DATE(YEAR(TODAY()), MONTH(G241), DAY(G241)) &gt; TODAY(), 1, 0))</f>
        <v>8</v>
      </c>
      <c r="I241" cm="1">
        <f t="array" ref="I241">SUMPRODUCT(--(BRON!$A$2:$A$1197=Table1[[#This Row],[Personeelsnummer]]))</f>
        <v>0</v>
      </c>
    </row>
    <row r="242" spans="1:9" x14ac:dyDescent="0.25">
      <c r="A242" s="34" t="s">
        <v>2940</v>
      </c>
      <c r="B242" s="34" t="s">
        <v>2939</v>
      </c>
      <c r="C242" s="36" t="s">
        <v>4040</v>
      </c>
      <c r="E242" s="34" t="s">
        <v>3853</v>
      </c>
      <c r="F242" s="34" t="s">
        <v>3854</v>
      </c>
      <c r="G242" s="3">
        <v>43003.083333333299</v>
      </c>
      <c r="H242" s="35">
        <f ca="1">YEAR(TODAY()) - YEAR(G242) - (IF(DATE(YEAR(TODAY()), MONTH(G242), DAY(G242)) &gt; TODAY(), 1, 0))</f>
        <v>8</v>
      </c>
      <c r="I242" cm="1">
        <f t="array" ref="I242">SUMPRODUCT(--(BRON!$A$2:$A$1197=Table1[[#This Row],[Personeelsnummer]]))</f>
        <v>0</v>
      </c>
    </row>
    <row r="243" spans="1:9" x14ac:dyDescent="0.25">
      <c r="A243" s="34" t="s">
        <v>1377</v>
      </c>
      <c r="B243" s="34" t="s">
        <v>1376</v>
      </c>
      <c r="C243" s="36" t="s">
        <v>4041</v>
      </c>
      <c r="E243" s="34" t="s">
        <v>3853</v>
      </c>
      <c r="F243" s="34" t="s">
        <v>3854</v>
      </c>
      <c r="G243" s="3">
        <v>43045.041666666701</v>
      </c>
      <c r="H243" s="35">
        <f ca="1">YEAR(TODAY()) - YEAR(G243) - (IF(DATE(YEAR(TODAY()), MONTH(G243), DAY(G243)) &gt; TODAY(), 1, 0))</f>
        <v>8</v>
      </c>
      <c r="I243" cm="1">
        <f t="array" ref="I243">SUMPRODUCT(--(BRON!$A$2:$A$1197=Table1[[#This Row],[Personeelsnummer]]))</f>
        <v>0</v>
      </c>
    </row>
    <row r="244" spans="1:9" x14ac:dyDescent="0.25">
      <c r="A244" s="34" t="s">
        <v>1550</v>
      </c>
      <c r="B244" s="34" t="s">
        <v>1563</v>
      </c>
      <c r="C244" s="36" t="s">
        <v>4031</v>
      </c>
      <c r="E244" s="34" t="s">
        <v>3853</v>
      </c>
      <c r="F244" s="34" t="s">
        <v>3871</v>
      </c>
      <c r="G244" s="3">
        <v>42843.083333333299</v>
      </c>
      <c r="H244" s="35">
        <f ca="1">YEAR(TODAY()) - YEAR(G244) - (IF(DATE(YEAR(TODAY()), MONTH(G244), DAY(G244)) &gt; TODAY(), 1, 0))</f>
        <v>8</v>
      </c>
      <c r="I244" cm="1">
        <f t="array" ref="I244">SUMPRODUCT(--(BRON!$A$2:$A$1197=Table1[[#This Row],[Personeelsnummer]]))</f>
        <v>0</v>
      </c>
    </row>
    <row r="245" spans="1:9" x14ac:dyDescent="0.25">
      <c r="A245" s="34" t="s">
        <v>2188</v>
      </c>
      <c r="B245" s="34" t="s">
        <v>2187</v>
      </c>
      <c r="C245" s="36" t="s">
        <v>4033</v>
      </c>
      <c r="E245" s="34" t="s">
        <v>3860</v>
      </c>
      <c r="F245" s="34" t="s">
        <v>3870</v>
      </c>
      <c r="G245" s="3">
        <v>42863.083333333299</v>
      </c>
      <c r="H245" s="35">
        <f ca="1">YEAR(TODAY()) - YEAR(G245) - (IF(DATE(YEAR(TODAY()), MONTH(G245), DAY(G245)) &gt; TODAY(), 1, 0))</f>
        <v>8</v>
      </c>
      <c r="I245" cm="1">
        <f t="array" ref="I245">SUMPRODUCT(--(BRON!$A$2:$A$1197=Table1[[#This Row],[Personeelsnummer]]))</f>
        <v>0</v>
      </c>
    </row>
    <row r="246" spans="1:9" x14ac:dyDescent="0.25">
      <c r="A246" s="34" t="s">
        <v>2284</v>
      </c>
      <c r="B246" s="34" t="s">
        <v>2283</v>
      </c>
      <c r="C246" s="36" t="s">
        <v>4036</v>
      </c>
      <c r="E246" s="34" t="s">
        <v>3853</v>
      </c>
      <c r="F246" s="34" t="s">
        <v>3870</v>
      </c>
      <c r="G246" s="3">
        <v>42919.083333333299</v>
      </c>
      <c r="H246" s="35">
        <f ca="1">YEAR(TODAY()) - YEAR(G246) - (IF(DATE(YEAR(TODAY()), MONTH(G246), DAY(G246)) &gt; TODAY(), 1, 0))</f>
        <v>8</v>
      </c>
      <c r="I246" cm="1">
        <f t="array" ref="I246">SUMPRODUCT(--(BRON!$A$2:$A$1197=Table1[[#This Row],[Personeelsnummer]]))</f>
        <v>0</v>
      </c>
    </row>
    <row r="247" spans="1:9" x14ac:dyDescent="0.25">
      <c r="A247" s="34" t="s">
        <v>1347</v>
      </c>
      <c r="B247" s="34" t="s">
        <v>2412</v>
      </c>
      <c r="C247" s="36" t="s">
        <v>4037</v>
      </c>
      <c r="E247" s="34" t="s">
        <v>3853</v>
      </c>
      <c r="F247" s="34" t="s">
        <v>3881</v>
      </c>
      <c r="G247" s="3">
        <v>42919.083333333299</v>
      </c>
      <c r="H247" s="35">
        <f ca="1">YEAR(TODAY()) - YEAR(G247) - (IF(DATE(YEAR(TODAY()), MONTH(G247), DAY(G247)) &gt; TODAY(), 1, 0))</f>
        <v>8</v>
      </c>
      <c r="I247" cm="1">
        <f t="array" ref="I247">SUMPRODUCT(--(BRON!$A$2:$A$1197=Table1[[#This Row],[Personeelsnummer]]))</f>
        <v>0</v>
      </c>
    </row>
    <row r="248" spans="1:9" x14ac:dyDescent="0.25">
      <c r="A248" s="34" t="s">
        <v>2737</v>
      </c>
      <c r="B248" s="34" t="s">
        <v>2736</v>
      </c>
      <c r="C248" s="36" t="s">
        <v>4039</v>
      </c>
      <c r="E248" s="34" t="s">
        <v>3853</v>
      </c>
      <c r="F248" s="34" t="s">
        <v>3874</v>
      </c>
      <c r="G248" s="3">
        <v>42989.083333333299</v>
      </c>
      <c r="H248" s="35">
        <f ca="1">YEAR(TODAY()) - YEAR(G248) - (IF(DATE(YEAR(TODAY()), MONTH(G248), DAY(G248)) &gt; TODAY(), 1, 0))</f>
        <v>8</v>
      </c>
      <c r="I248" cm="1">
        <f t="array" ref="I248">SUMPRODUCT(--(BRON!$A$2:$A$1197=Table1[[#This Row],[Personeelsnummer]]))</f>
        <v>0</v>
      </c>
    </row>
    <row r="249" spans="1:9" x14ac:dyDescent="0.25">
      <c r="A249" s="34" t="s">
        <v>2890</v>
      </c>
      <c r="B249" s="34" t="s">
        <v>2666</v>
      </c>
      <c r="C249" s="36" t="s">
        <v>4030</v>
      </c>
      <c r="E249" s="34" t="s">
        <v>3853</v>
      </c>
      <c r="F249" s="34" t="s">
        <v>3881</v>
      </c>
      <c r="G249" s="3">
        <v>42744.041666666701</v>
      </c>
      <c r="H249" s="35">
        <f ca="1">YEAR(TODAY()) - YEAR(G249) - (IF(DATE(YEAR(TODAY()), MONTH(G249), DAY(G249)) &gt; TODAY(), 1, 0))</f>
        <v>8</v>
      </c>
      <c r="I249" cm="1">
        <f t="array" ref="I249">SUMPRODUCT(--(BRON!$A$2:$A$1197=Table1[[#This Row],[Personeelsnummer]]))</f>
        <v>0</v>
      </c>
    </row>
    <row r="250" spans="1:9" x14ac:dyDescent="0.25">
      <c r="A250" s="34" t="s">
        <v>2232</v>
      </c>
      <c r="B250" s="34" t="s">
        <v>2231</v>
      </c>
      <c r="C250" s="36" t="s">
        <v>4034</v>
      </c>
      <c r="E250" s="34" t="s">
        <v>3860</v>
      </c>
      <c r="F250" s="34" t="s">
        <v>3881</v>
      </c>
      <c r="G250" s="3">
        <v>42877.083333333299</v>
      </c>
      <c r="H250" s="35">
        <f ca="1">YEAR(TODAY()) - YEAR(G250) - (IF(DATE(YEAR(TODAY()), MONTH(G250), DAY(G250)) &gt; TODAY(), 1, 0))</f>
        <v>8</v>
      </c>
      <c r="I250" cm="1">
        <f t="array" ref="I250">SUMPRODUCT(--(BRON!$A$2:$A$1197=Table1[[#This Row],[Personeelsnummer]]))</f>
        <v>0</v>
      </c>
    </row>
    <row r="251" spans="1:9" x14ac:dyDescent="0.25">
      <c r="A251" s="34" t="s">
        <v>2155</v>
      </c>
      <c r="B251" s="34" t="s">
        <v>2154</v>
      </c>
      <c r="C251" s="36" t="s">
        <v>4027</v>
      </c>
      <c r="E251" s="34" t="s">
        <v>3853</v>
      </c>
      <c r="F251" s="34" t="s">
        <v>3854</v>
      </c>
      <c r="G251" s="3">
        <v>42643.083333333299</v>
      </c>
      <c r="H251" s="35">
        <f ca="1">YEAR(TODAY()) - YEAR(G251) - (IF(DATE(YEAR(TODAY()), MONTH(G251), DAY(G251)) &gt; TODAY(), 1, 0))</f>
        <v>9</v>
      </c>
      <c r="I251" cm="1">
        <f t="array" ref="I251">SUMPRODUCT(--(BRON!$A$2:$A$1197=Table1[[#This Row],[Personeelsnummer]]))</f>
        <v>0</v>
      </c>
    </row>
    <row r="252" spans="1:9" x14ac:dyDescent="0.25">
      <c r="A252" s="34" t="s">
        <v>2093</v>
      </c>
      <c r="B252" s="34" t="s">
        <v>2018</v>
      </c>
      <c r="C252" s="36" t="s">
        <v>3859</v>
      </c>
      <c r="E252" s="34" t="s">
        <v>3853</v>
      </c>
      <c r="F252" s="34" t="s">
        <v>3854</v>
      </c>
      <c r="G252" s="3">
        <v>42429.041666666701</v>
      </c>
      <c r="H252" s="35">
        <f ca="1">YEAR(TODAY()) - YEAR(G252) - (IF(DATE(YEAR(TODAY()), MONTH(G252), DAY(G252)) &gt; TODAY(), 1, 0))</f>
        <v>9</v>
      </c>
      <c r="I252" cm="1">
        <f t="array" ref="I252">SUMPRODUCT(--(BRON!$A$2:$A$1197=Table1[[#This Row],[Personeelsnummer]]))</f>
        <v>0</v>
      </c>
    </row>
    <row r="253" spans="1:9" x14ac:dyDescent="0.25">
      <c r="A253" s="34" t="s">
        <v>2562</v>
      </c>
      <c r="B253" s="34" t="s">
        <v>2565</v>
      </c>
      <c r="C253" s="36" t="s">
        <v>4022</v>
      </c>
      <c r="E253" s="34" t="s">
        <v>3860</v>
      </c>
      <c r="F253" s="34" t="s">
        <v>3871</v>
      </c>
      <c r="G253" s="3">
        <v>42534.083333333299</v>
      </c>
      <c r="H253" s="35">
        <f ca="1">YEAR(TODAY()) - YEAR(G253) - (IF(DATE(YEAR(TODAY()), MONTH(G253), DAY(G253)) &gt; TODAY(), 1, 0))</f>
        <v>9</v>
      </c>
      <c r="I253" cm="1">
        <f t="array" ref="I253">SUMPRODUCT(--(BRON!$A$2:$A$1197=Table1[[#This Row],[Personeelsnummer]]))</f>
        <v>0</v>
      </c>
    </row>
    <row r="254" spans="1:9" x14ac:dyDescent="0.25">
      <c r="A254" s="34" t="s">
        <v>2453</v>
      </c>
      <c r="B254" s="34" t="s">
        <v>2459</v>
      </c>
      <c r="C254" s="36" t="s">
        <v>4024</v>
      </c>
      <c r="E254" s="34" t="s">
        <v>3867</v>
      </c>
      <c r="F254" s="34" t="s">
        <v>3866</v>
      </c>
      <c r="G254" s="3">
        <v>42604.083333333299</v>
      </c>
      <c r="H254" s="35">
        <f ca="1">YEAR(TODAY()) - YEAR(G254) - (IF(DATE(YEAR(TODAY()), MONTH(G254), DAY(G254)) &gt; TODAY(), 1, 0))</f>
        <v>9</v>
      </c>
      <c r="I254" cm="1">
        <f t="array" ref="I254">SUMPRODUCT(--(BRON!$A$2:$A$1197=Table1[[#This Row],[Personeelsnummer]]))</f>
        <v>0</v>
      </c>
    </row>
    <row r="255" spans="1:9" x14ac:dyDescent="0.25">
      <c r="A255" s="34" t="s">
        <v>2057</v>
      </c>
      <c r="B255" s="34" t="s">
        <v>2056</v>
      </c>
      <c r="C255" s="36" t="s">
        <v>4025</v>
      </c>
      <c r="E255" s="34" t="s">
        <v>3853</v>
      </c>
      <c r="F255" s="34" t="s">
        <v>3870</v>
      </c>
      <c r="G255" s="3">
        <v>42604.083333333299</v>
      </c>
      <c r="H255" s="35">
        <f ca="1">YEAR(TODAY()) - YEAR(G255) - (IF(DATE(YEAR(TODAY()), MONTH(G255), DAY(G255)) &gt; TODAY(), 1, 0))</f>
        <v>9</v>
      </c>
      <c r="I255" cm="1">
        <f t="array" ref="I255">SUMPRODUCT(--(BRON!$A$2:$A$1197=Table1[[#This Row],[Personeelsnummer]]))</f>
        <v>0</v>
      </c>
    </row>
    <row r="256" spans="1:9" x14ac:dyDescent="0.25">
      <c r="A256" s="34" t="s">
        <v>1343</v>
      </c>
      <c r="B256" s="34" t="s">
        <v>2191</v>
      </c>
      <c r="C256" s="36" t="s">
        <v>4026</v>
      </c>
      <c r="E256" s="34" t="s">
        <v>3860</v>
      </c>
      <c r="F256" s="34" t="s">
        <v>3871</v>
      </c>
      <c r="G256" s="3">
        <v>42618.083333333299</v>
      </c>
      <c r="H256" s="35">
        <f ca="1">YEAR(TODAY()) - YEAR(G256) - (IF(DATE(YEAR(TODAY()), MONTH(G256), DAY(G256)) &gt; TODAY(), 1, 0))</f>
        <v>9</v>
      </c>
      <c r="I256" cm="1">
        <f t="array" ref="I256">SUMPRODUCT(--(BRON!$A$2:$A$1197=Table1[[#This Row],[Personeelsnummer]]))</f>
        <v>0</v>
      </c>
    </row>
    <row r="257" spans="1:9" x14ac:dyDescent="0.25">
      <c r="A257" s="34" t="s">
        <v>1729</v>
      </c>
      <c r="B257" s="34" t="s">
        <v>1728</v>
      </c>
      <c r="C257" s="36" t="s">
        <v>4028</v>
      </c>
      <c r="E257" s="34" t="s">
        <v>3860</v>
      </c>
      <c r="F257" s="34" t="s">
        <v>3866</v>
      </c>
      <c r="G257" s="3">
        <v>42646.083333333299</v>
      </c>
      <c r="H257" s="35">
        <f ca="1">YEAR(TODAY()) - YEAR(G257) - (IF(DATE(YEAR(TODAY()), MONTH(G257), DAY(G257)) &gt; TODAY(), 1, 0))</f>
        <v>9</v>
      </c>
      <c r="I257" cm="1">
        <f t="array" ref="I257">SUMPRODUCT(--(BRON!$A$2:$A$1197=Table1[[#This Row],[Personeelsnummer]]))</f>
        <v>0</v>
      </c>
    </row>
    <row r="258" spans="1:9" x14ac:dyDescent="0.25">
      <c r="A258" s="34" t="s">
        <v>2890</v>
      </c>
      <c r="B258" s="34" t="s">
        <v>2893</v>
      </c>
      <c r="C258" s="36" t="s">
        <v>4023</v>
      </c>
      <c r="E258" s="34" t="s">
        <v>3853</v>
      </c>
      <c r="F258" s="34" t="s">
        <v>3881</v>
      </c>
      <c r="G258" s="3">
        <v>42548.083333333299</v>
      </c>
      <c r="H258" s="35">
        <f ca="1">YEAR(TODAY()) - YEAR(G258) - (IF(DATE(YEAR(TODAY()), MONTH(G258), DAY(G258)) &gt; TODAY(), 1, 0))</f>
        <v>9</v>
      </c>
      <c r="I258" cm="1">
        <f t="array" ref="I258">SUMPRODUCT(--(BRON!$A$2:$A$1197=Table1[[#This Row],[Personeelsnummer]]))</f>
        <v>0</v>
      </c>
    </row>
    <row r="259" spans="1:9" x14ac:dyDescent="0.25">
      <c r="A259" s="34" t="s">
        <v>2972</v>
      </c>
      <c r="B259" s="34" t="s">
        <v>2978</v>
      </c>
      <c r="C259" s="36" t="s">
        <v>4029</v>
      </c>
      <c r="E259" s="34" t="s">
        <v>3853</v>
      </c>
      <c r="F259" s="34" t="s">
        <v>3870</v>
      </c>
      <c r="G259" s="3">
        <v>42674.041666666701</v>
      </c>
      <c r="H259" s="35">
        <f ca="1">YEAR(TODAY()) - YEAR(G259) - (IF(DATE(YEAR(TODAY()), MONTH(G259), DAY(G259)) &gt; TODAY(), 1, 0))</f>
        <v>9</v>
      </c>
      <c r="I259" cm="1">
        <f t="array" ref="I259">SUMPRODUCT(--(BRON!$A$2:$A$1197=Table1[[#This Row],[Personeelsnummer]]))</f>
        <v>0</v>
      </c>
    </row>
    <row r="260" spans="1:9" x14ac:dyDescent="0.25">
      <c r="A260" s="34" t="s">
        <v>2631</v>
      </c>
      <c r="B260" s="34" t="s">
        <v>2634</v>
      </c>
      <c r="C260" s="36" t="s">
        <v>4014</v>
      </c>
      <c r="E260" s="34" t="s">
        <v>3853</v>
      </c>
      <c r="F260" s="34" t="s">
        <v>3866</v>
      </c>
      <c r="G260" s="3">
        <v>41981.041666666701</v>
      </c>
      <c r="H260" s="35">
        <f ca="1">YEAR(TODAY()) - YEAR(G260) - (IF(DATE(YEAR(TODAY()), MONTH(G260), DAY(G260)) &gt; TODAY(), 1, 0))</f>
        <v>10</v>
      </c>
      <c r="I260" cm="1">
        <f t="array" ref="I260">SUMPRODUCT(--(BRON!$A$2:$A$1197=Table1[[#This Row],[Personeelsnummer]]))</f>
        <v>0</v>
      </c>
    </row>
    <row r="261" spans="1:9" x14ac:dyDescent="0.25">
      <c r="A261" s="34" t="s">
        <v>2213</v>
      </c>
      <c r="B261" s="34" t="s">
        <v>2006</v>
      </c>
      <c r="C261" s="36" t="s">
        <v>4015</v>
      </c>
      <c r="E261" s="34" t="s">
        <v>3860</v>
      </c>
      <c r="F261" s="34" t="s">
        <v>3881</v>
      </c>
      <c r="G261" s="3">
        <v>42051.041666666701</v>
      </c>
      <c r="H261" s="35">
        <f ca="1">YEAR(TODAY()) - YEAR(G261) - (IF(DATE(YEAR(TODAY()), MONTH(G261), DAY(G261)) &gt; TODAY(), 1, 0))</f>
        <v>10</v>
      </c>
      <c r="I261" cm="1">
        <f t="array" ref="I261">SUMPRODUCT(--(BRON!$A$2:$A$1197=Table1[[#This Row],[Personeelsnummer]]))</f>
        <v>0</v>
      </c>
    </row>
    <row r="262" spans="1:9" x14ac:dyDescent="0.25">
      <c r="A262" s="34" t="s">
        <v>2901</v>
      </c>
      <c r="B262" s="34" t="s">
        <v>2900</v>
      </c>
      <c r="C262" s="36" t="s">
        <v>4018</v>
      </c>
      <c r="E262" s="34" t="s">
        <v>3853</v>
      </c>
      <c r="F262" s="34" t="s">
        <v>3881</v>
      </c>
      <c r="G262" s="3">
        <v>42121.083333333299</v>
      </c>
      <c r="H262" s="35">
        <f ca="1">YEAR(TODAY()) - YEAR(G262) - (IF(DATE(YEAR(TODAY()), MONTH(G262), DAY(G262)) &gt; TODAY(), 1, 0))</f>
        <v>10</v>
      </c>
      <c r="I262" cm="1">
        <f t="array" ref="I262">SUMPRODUCT(--(BRON!$A$2:$A$1197=Table1[[#This Row],[Personeelsnummer]]))</f>
        <v>0</v>
      </c>
    </row>
    <row r="263" spans="1:9" x14ac:dyDescent="0.25">
      <c r="A263" s="34" t="s">
        <v>2596</v>
      </c>
      <c r="B263" s="34" t="s">
        <v>1940</v>
      </c>
      <c r="C263" s="36" t="s">
        <v>4021</v>
      </c>
      <c r="E263" s="34" t="s">
        <v>3867</v>
      </c>
      <c r="F263" s="34" t="s">
        <v>3871</v>
      </c>
      <c r="G263" s="3">
        <v>42268.083333333299</v>
      </c>
      <c r="H263" s="35">
        <f ca="1">YEAR(TODAY()) - YEAR(G263) - (IF(DATE(YEAR(TODAY()), MONTH(G263), DAY(G263)) &gt; TODAY(), 1, 0))</f>
        <v>10</v>
      </c>
      <c r="I263" cm="1">
        <f t="array" ref="I263">SUMPRODUCT(--(BRON!$A$2:$A$1197=Table1[[#This Row],[Personeelsnummer]]))</f>
        <v>0</v>
      </c>
    </row>
    <row r="264" spans="1:9" x14ac:dyDescent="0.25">
      <c r="A264" s="34" t="s">
        <v>1550</v>
      </c>
      <c r="B264" s="34" t="s">
        <v>1567</v>
      </c>
      <c r="C264" s="36" t="s">
        <v>4019</v>
      </c>
      <c r="E264" s="34" t="s">
        <v>3857</v>
      </c>
      <c r="F264" s="34" t="s">
        <v>3881</v>
      </c>
      <c r="G264" s="3">
        <v>42198.083333333299</v>
      </c>
      <c r="H264" s="35">
        <f ca="1">YEAR(TODAY()) - YEAR(G264) - (IF(DATE(YEAR(TODAY()), MONTH(G264), DAY(G264)) &gt; TODAY(), 1, 0))</f>
        <v>10</v>
      </c>
      <c r="I264" cm="1">
        <f t="array" ref="I264">SUMPRODUCT(--(BRON!$A$2:$A$1197=Table1[[#This Row],[Personeelsnummer]]))</f>
        <v>0</v>
      </c>
    </row>
    <row r="265" spans="1:9" x14ac:dyDescent="0.25">
      <c r="A265" s="34" t="s">
        <v>3339</v>
      </c>
      <c r="B265" s="34" t="s">
        <v>3338</v>
      </c>
      <c r="C265" s="36" t="s">
        <v>4017</v>
      </c>
      <c r="E265" s="34" t="s">
        <v>3867</v>
      </c>
      <c r="F265" s="34" t="s">
        <v>3864</v>
      </c>
      <c r="G265" s="3">
        <v>42093.083333333299</v>
      </c>
      <c r="H265" s="35">
        <f ca="1">YEAR(TODAY()) - YEAR(G265) - (IF(DATE(YEAR(TODAY()), MONTH(G265), DAY(G265)) &gt; TODAY(), 1, 0))</f>
        <v>10</v>
      </c>
      <c r="I265" cm="1">
        <f t="array" ref="I265">SUMPRODUCT(--(BRON!$A$2:$A$1197=Table1[[#This Row],[Personeelsnummer]]))</f>
        <v>0</v>
      </c>
    </row>
    <row r="266" spans="1:9" x14ac:dyDescent="0.25">
      <c r="A266" s="34" t="s">
        <v>3358</v>
      </c>
      <c r="B266" s="34" t="s">
        <v>3357</v>
      </c>
      <c r="C266" s="36" t="s">
        <v>4020</v>
      </c>
      <c r="E266" s="34" t="s">
        <v>3860</v>
      </c>
      <c r="F266" s="34" t="s">
        <v>3863</v>
      </c>
      <c r="G266" s="3">
        <v>42198.083333333299</v>
      </c>
      <c r="H266" s="35">
        <f ca="1">YEAR(TODAY()) - YEAR(G266) - (IF(DATE(YEAR(TODAY()), MONTH(G266), DAY(G266)) &gt; TODAY(), 1, 0))</f>
        <v>10</v>
      </c>
      <c r="I266" cm="1">
        <f t="array" ref="I266">SUMPRODUCT(--(BRON!$A$2:$A$1197=Table1[[#This Row],[Personeelsnummer]]))</f>
        <v>0</v>
      </c>
    </row>
    <row r="267" spans="1:9" x14ac:dyDescent="0.25">
      <c r="A267" s="34" t="s">
        <v>1330</v>
      </c>
      <c r="B267" s="34" t="s">
        <v>2674</v>
      </c>
      <c r="C267" s="36" t="s">
        <v>4005</v>
      </c>
      <c r="E267" s="34" t="s">
        <v>3853</v>
      </c>
      <c r="F267" s="34" t="s">
        <v>3866</v>
      </c>
      <c r="G267" s="3">
        <v>41659.041666666701</v>
      </c>
      <c r="H267" s="35">
        <f ca="1">YEAR(TODAY()) - YEAR(G267) - (IF(DATE(YEAR(TODAY()), MONTH(G267), DAY(G267)) &gt; TODAY(), 1, 0))</f>
        <v>11</v>
      </c>
      <c r="I267" cm="1">
        <f t="array" ref="I267">SUMPRODUCT(--(BRON!$A$2:$A$1197=Table1[[#This Row],[Personeelsnummer]]))</f>
        <v>0</v>
      </c>
    </row>
    <row r="268" spans="1:9" x14ac:dyDescent="0.25">
      <c r="A268" s="34" t="s">
        <v>2061</v>
      </c>
      <c r="B268" s="34" t="s">
        <v>2060</v>
      </c>
      <c r="C268" s="36" t="s">
        <v>4007</v>
      </c>
      <c r="E268" s="34" t="s">
        <v>3853</v>
      </c>
      <c r="F268" s="34" t="s">
        <v>3866</v>
      </c>
      <c r="G268" s="3">
        <v>41701.041666666701</v>
      </c>
      <c r="H268" s="35">
        <f ca="1">YEAR(TODAY()) - YEAR(G268) - (IF(DATE(YEAR(TODAY()), MONTH(G268), DAY(G268)) &gt; TODAY(), 1, 0))</f>
        <v>11</v>
      </c>
      <c r="I268" cm="1">
        <f t="array" ref="I268">SUMPRODUCT(--(BRON!$A$2:$A$1197=Table1[[#This Row],[Personeelsnummer]]))</f>
        <v>0</v>
      </c>
    </row>
    <row r="269" spans="1:9" x14ac:dyDescent="0.25">
      <c r="A269" s="34" t="s">
        <v>2045</v>
      </c>
      <c r="B269" s="34" t="s">
        <v>2044</v>
      </c>
      <c r="C269" s="36" t="s">
        <v>4008</v>
      </c>
      <c r="E269" s="34" t="s">
        <v>3853</v>
      </c>
      <c r="F269" s="34" t="s">
        <v>3863</v>
      </c>
      <c r="G269" s="3">
        <v>41722.041666666701</v>
      </c>
      <c r="H269" s="35">
        <f ca="1">YEAR(TODAY()) - YEAR(G269) - (IF(DATE(YEAR(TODAY()), MONTH(G269), DAY(G269)) &gt; TODAY(), 1, 0))</f>
        <v>11</v>
      </c>
      <c r="I269" cm="1">
        <f t="array" ref="I269">SUMPRODUCT(--(BRON!$A$2:$A$1197=Table1[[#This Row],[Personeelsnummer]]))</f>
        <v>0</v>
      </c>
    </row>
    <row r="270" spans="1:9" x14ac:dyDescent="0.25">
      <c r="A270" s="34" t="s">
        <v>2879</v>
      </c>
      <c r="B270" s="34" t="s">
        <v>1542</v>
      </c>
      <c r="C270" s="36" t="s">
        <v>4011</v>
      </c>
      <c r="E270" s="34" t="s">
        <v>3860</v>
      </c>
      <c r="F270" s="34" t="s">
        <v>3871</v>
      </c>
      <c r="G270" s="3">
        <v>41855.083333333299</v>
      </c>
      <c r="H270" s="35">
        <f ca="1">YEAR(TODAY()) - YEAR(G270) - (IF(DATE(YEAR(TODAY()), MONTH(G270), DAY(G270)) &gt; TODAY(), 1, 0))</f>
        <v>11</v>
      </c>
      <c r="I270" cm="1">
        <f t="array" ref="I270">SUMPRODUCT(--(BRON!$A$2:$A$1197=Table1[[#This Row],[Personeelsnummer]]))</f>
        <v>0</v>
      </c>
    </row>
    <row r="271" spans="1:9" x14ac:dyDescent="0.25">
      <c r="A271" s="34" t="s">
        <v>3203</v>
      </c>
      <c r="B271" s="34" t="s">
        <v>3202</v>
      </c>
      <c r="C271" s="36" t="s">
        <v>4012</v>
      </c>
      <c r="E271" s="34" t="s">
        <v>3853</v>
      </c>
      <c r="F271" s="34" t="s">
        <v>3866</v>
      </c>
      <c r="G271" s="3">
        <v>41946.041666666701</v>
      </c>
      <c r="H271" s="35">
        <f ca="1">YEAR(TODAY()) - YEAR(G271) - (IF(DATE(YEAR(TODAY()), MONTH(G271), DAY(G271)) &gt; TODAY(), 1, 0))</f>
        <v>11</v>
      </c>
      <c r="I271" cm="1">
        <f t="array" ref="I271">SUMPRODUCT(--(BRON!$A$2:$A$1197=Table1[[#This Row],[Personeelsnummer]]))</f>
        <v>0</v>
      </c>
    </row>
    <row r="272" spans="1:9" x14ac:dyDescent="0.25">
      <c r="A272" s="34" t="s">
        <v>2019</v>
      </c>
      <c r="B272" s="34" t="s">
        <v>2018</v>
      </c>
      <c r="C272" s="36" t="s">
        <v>4009</v>
      </c>
      <c r="E272" s="34" t="s">
        <v>3860</v>
      </c>
      <c r="F272" s="34" t="s">
        <v>3864</v>
      </c>
      <c r="G272" s="3">
        <v>41743.083333333299</v>
      </c>
      <c r="H272" s="35">
        <f ca="1">YEAR(TODAY()) - YEAR(G272) - (IF(DATE(YEAR(TODAY()), MONTH(G272), DAY(G272)) &gt; TODAY(), 1, 0))</f>
        <v>11</v>
      </c>
      <c r="I272" cm="1">
        <f t="array" ref="I272">SUMPRODUCT(--(BRON!$A$2:$A$1197=Table1[[#This Row],[Personeelsnummer]]))</f>
        <v>0</v>
      </c>
    </row>
    <row r="273" spans="1:9" x14ac:dyDescent="0.25">
      <c r="A273" s="34" t="s">
        <v>2741</v>
      </c>
      <c r="B273" s="34" t="s">
        <v>2740</v>
      </c>
      <c r="C273" s="36" t="s">
        <v>4013</v>
      </c>
      <c r="E273" s="34" t="s">
        <v>3853</v>
      </c>
      <c r="F273" s="34" t="s">
        <v>3871</v>
      </c>
      <c r="G273" s="3">
        <v>41946.041666666701</v>
      </c>
      <c r="H273" s="35">
        <f ca="1">YEAR(TODAY()) - YEAR(G273) - (IF(DATE(YEAR(TODAY()), MONTH(G273), DAY(G273)) &gt; TODAY(), 1, 0))</f>
        <v>11</v>
      </c>
      <c r="I273" cm="1">
        <f t="array" ref="I273">SUMPRODUCT(--(BRON!$A$2:$A$1197=Table1[[#This Row],[Personeelsnummer]]))</f>
        <v>0</v>
      </c>
    </row>
    <row r="274" spans="1:9" x14ac:dyDescent="0.25">
      <c r="A274" s="34" t="s">
        <v>2159</v>
      </c>
      <c r="B274" s="34" t="s">
        <v>2158</v>
      </c>
      <c r="C274" s="36" t="s">
        <v>4006</v>
      </c>
      <c r="E274" s="34" t="s">
        <v>3853</v>
      </c>
      <c r="F274" s="34" t="s">
        <v>3866</v>
      </c>
      <c r="G274" s="3">
        <v>41680.041666666701</v>
      </c>
      <c r="H274" s="35">
        <f ca="1">YEAR(TODAY()) - YEAR(G274) - (IF(DATE(YEAR(TODAY()), MONTH(G274), DAY(G274)) &gt; TODAY(), 1, 0))</f>
        <v>11</v>
      </c>
      <c r="I274" cm="1">
        <f t="array" ref="I274">SUMPRODUCT(--(BRON!$A$2:$A$1197=Table1[[#This Row],[Personeelsnummer]]))</f>
        <v>0</v>
      </c>
    </row>
    <row r="275" spans="1:9" x14ac:dyDescent="0.25">
      <c r="A275" s="34" t="s">
        <v>2982</v>
      </c>
      <c r="B275" s="34" t="s">
        <v>2981</v>
      </c>
      <c r="C275" s="36" t="s">
        <v>4010</v>
      </c>
      <c r="E275" s="34" t="s">
        <v>3853</v>
      </c>
      <c r="F275" s="34" t="s">
        <v>3871</v>
      </c>
      <c r="G275" s="3">
        <v>41827.083333333299</v>
      </c>
      <c r="H275" s="35">
        <f ca="1">YEAR(TODAY()) - YEAR(G275) - (IF(DATE(YEAR(TODAY()), MONTH(G275), DAY(G275)) &gt; TODAY(), 1, 0))</f>
        <v>11</v>
      </c>
      <c r="I275" cm="1">
        <f t="array" ref="I275">SUMPRODUCT(--(BRON!$A$2:$A$1197=Table1[[#This Row],[Personeelsnummer]]))</f>
        <v>0</v>
      </c>
    </row>
    <row r="276" spans="1:9" x14ac:dyDescent="0.25">
      <c r="A276" s="34" t="s">
        <v>2382</v>
      </c>
      <c r="B276" s="34" t="s">
        <v>2381</v>
      </c>
      <c r="C276" s="36" t="s">
        <v>4004</v>
      </c>
      <c r="E276" s="34" t="s">
        <v>3853</v>
      </c>
      <c r="F276" s="34" t="s">
        <v>3871</v>
      </c>
      <c r="G276" s="3">
        <v>41313.041666666701</v>
      </c>
      <c r="H276" s="35">
        <f ca="1">YEAR(TODAY()) - YEAR(G276) - (IF(DATE(YEAR(TODAY()), MONTH(G276), DAY(G276)) &gt; TODAY(), 1, 0))</f>
        <v>12</v>
      </c>
      <c r="I276" cm="1">
        <f t="array" ref="I276">SUMPRODUCT(--(BRON!$A$2:$A$1197=Table1[[#This Row],[Personeelsnummer]]))</f>
        <v>0</v>
      </c>
    </row>
    <row r="277" spans="1:9" x14ac:dyDescent="0.25">
      <c r="A277" s="34" t="s">
        <v>3112</v>
      </c>
      <c r="B277" s="34" t="s">
        <v>3111</v>
      </c>
      <c r="C277" s="36" t="s">
        <v>4000</v>
      </c>
      <c r="E277" s="34" t="s">
        <v>3853</v>
      </c>
      <c r="F277" s="34" t="s">
        <v>3854</v>
      </c>
      <c r="G277" s="3">
        <v>41176.083333333299</v>
      </c>
      <c r="H277" s="35">
        <f ca="1">YEAR(TODAY()) - YEAR(G277) - (IF(DATE(YEAR(TODAY()), MONTH(G277), DAY(G277)) &gt; TODAY(), 1, 0))</f>
        <v>13</v>
      </c>
      <c r="I277" cm="1">
        <f t="array" ref="I277">SUMPRODUCT(--(BRON!$A$2:$A$1197=Table1[[#This Row],[Personeelsnummer]]))</f>
        <v>0</v>
      </c>
    </row>
    <row r="278" spans="1:9" x14ac:dyDescent="0.25">
      <c r="A278" s="34" t="s">
        <v>1513</v>
      </c>
      <c r="B278" s="34" t="s">
        <v>1512</v>
      </c>
      <c r="C278" s="36" t="s">
        <v>4001</v>
      </c>
      <c r="E278" s="34" t="s">
        <v>3857</v>
      </c>
      <c r="F278" s="34" t="s">
        <v>3874</v>
      </c>
      <c r="G278" s="3">
        <v>41204.083333333299</v>
      </c>
      <c r="H278" s="35">
        <f ca="1">YEAR(TODAY()) - YEAR(G278) - (IF(DATE(YEAR(TODAY()), MONTH(G278), DAY(G278)) &gt; TODAY(), 1, 0))</f>
        <v>13</v>
      </c>
      <c r="I278" cm="1">
        <f t="array" ref="I278">SUMPRODUCT(--(BRON!$A$2:$A$1197=Table1[[#This Row],[Personeelsnummer]]))</f>
        <v>0</v>
      </c>
    </row>
    <row r="279" spans="1:9" x14ac:dyDescent="0.25">
      <c r="A279" s="34" t="s">
        <v>2427</v>
      </c>
      <c r="B279" s="34" t="s">
        <v>2426</v>
      </c>
      <c r="C279" s="36" t="s">
        <v>4002</v>
      </c>
      <c r="E279" s="34" t="s">
        <v>3857</v>
      </c>
      <c r="F279" s="34" t="s">
        <v>3863</v>
      </c>
      <c r="G279" s="3">
        <v>41204.083333333299</v>
      </c>
      <c r="H279" s="35">
        <f ca="1">YEAR(TODAY()) - YEAR(G279) - (IF(DATE(YEAR(TODAY()), MONTH(G279), DAY(G279)) &gt; TODAY(), 1, 0))</f>
        <v>13</v>
      </c>
      <c r="I279" cm="1">
        <f t="array" ref="I279">SUMPRODUCT(--(BRON!$A$2:$A$1197=Table1[[#This Row],[Personeelsnummer]]))</f>
        <v>0</v>
      </c>
    </row>
    <row r="280" spans="1:9" x14ac:dyDescent="0.25">
      <c r="A280" s="34" t="s">
        <v>1351</v>
      </c>
      <c r="B280" s="34" t="s">
        <v>3282</v>
      </c>
      <c r="C280" s="36" t="s">
        <v>4003</v>
      </c>
      <c r="E280" s="34" t="s">
        <v>3857</v>
      </c>
      <c r="F280" s="34" t="s">
        <v>3871</v>
      </c>
      <c r="G280" s="3">
        <v>41218.041666666701</v>
      </c>
      <c r="H280" s="35">
        <f ca="1">YEAR(TODAY()) - YEAR(G280) - (IF(DATE(YEAR(TODAY()), MONTH(G280), DAY(G280)) &gt; TODAY(), 1, 0))</f>
        <v>13</v>
      </c>
      <c r="I280" cm="1">
        <f t="array" ref="I280">SUMPRODUCT(--(BRON!$A$2:$A$1197=Table1[[#This Row],[Personeelsnummer]]))</f>
        <v>0</v>
      </c>
    </row>
    <row r="281" spans="1:9" x14ac:dyDescent="0.25">
      <c r="A281" s="34" t="s">
        <v>1601</v>
      </c>
      <c r="B281" s="34" t="s">
        <v>1600</v>
      </c>
      <c r="C281" s="36" t="s">
        <v>3997</v>
      </c>
      <c r="E281" s="34" t="s">
        <v>3867</v>
      </c>
      <c r="F281" s="34" t="s">
        <v>3863</v>
      </c>
      <c r="G281" s="3">
        <v>40952.041666666701</v>
      </c>
      <c r="H281" s="35">
        <f ca="1">YEAR(TODAY()) - YEAR(G281) - (IF(DATE(YEAR(TODAY()), MONTH(G281), DAY(G281)) &gt; TODAY(), 1, 0))</f>
        <v>13</v>
      </c>
      <c r="I281" cm="1">
        <f t="array" ref="I281">SUMPRODUCT(--(BRON!$A$2:$A$1197=Table1[[#This Row],[Personeelsnummer]]))</f>
        <v>0</v>
      </c>
    </row>
    <row r="282" spans="1:9" x14ac:dyDescent="0.25">
      <c r="A282" s="34" t="s">
        <v>1328</v>
      </c>
      <c r="B282" s="34" t="s">
        <v>1637</v>
      </c>
      <c r="C282" s="36" t="s">
        <v>3999</v>
      </c>
      <c r="E282" s="34" t="s">
        <v>3853</v>
      </c>
      <c r="F282" s="34" t="s">
        <v>3871</v>
      </c>
      <c r="G282" s="3">
        <v>40973.041666666701</v>
      </c>
      <c r="H282" s="35">
        <f ca="1">YEAR(TODAY()) - YEAR(G282) - (IF(DATE(YEAR(TODAY()), MONTH(G282), DAY(G282)) &gt; TODAY(), 1, 0))</f>
        <v>13</v>
      </c>
      <c r="I282" cm="1">
        <f t="array" ref="I282">SUMPRODUCT(--(BRON!$A$2:$A$1197=Table1[[#This Row],[Personeelsnummer]]))</f>
        <v>0</v>
      </c>
    </row>
    <row r="283" spans="1:9" x14ac:dyDescent="0.25">
      <c r="A283" s="34" t="s">
        <v>2023</v>
      </c>
      <c r="B283" s="34" t="s">
        <v>2026</v>
      </c>
      <c r="C283" s="36" t="s">
        <v>3982</v>
      </c>
      <c r="E283" s="34" t="s">
        <v>3860</v>
      </c>
      <c r="F283" s="34" t="s">
        <v>3870</v>
      </c>
      <c r="G283" s="3">
        <v>40525.041666666701</v>
      </c>
      <c r="H283" s="35">
        <f ca="1">YEAR(TODAY()) - YEAR(G283) - (IF(DATE(YEAR(TODAY()), MONTH(G283), DAY(G283)) &gt; TODAY(), 1, 0))</f>
        <v>14</v>
      </c>
      <c r="I283" cm="1">
        <f t="array" ref="I283">SUMPRODUCT(--(BRON!$A$2:$A$1197=Table1[[#This Row],[Personeelsnummer]]))</f>
        <v>0</v>
      </c>
    </row>
    <row r="284" spans="1:9" x14ac:dyDescent="0.25">
      <c r="A284" s="34" t="s">
        <v>3181</v>
      </c>
      <c r="B284" s="34" t="s">
        <v>3187</v>
      </c>
      <c r="C284" s="36" t="s">
        <v>3983</v>
      </c>
      <c r="E284" s="34" t="s">
        <v>3867</v>
      </c>
      <c r="F284" s="34" t="s">
        <v>3863</v>
      </c>
      <c r="G284" s="3">
        <v>40567.041666666701</v>
      </c>
      <c r="H284" s="35">
        <f ca="1">YEAR(TODAY()) - YEAR(G284) - (IF(DATE(YEAR(TODAY()), MONTH(G284), DAY(G284)) &gt; TODAY(), 1, 0))</f>
        <v>14</v>
      </c>
      <c r="I284" cm="1">
        <f t="array" ref="I284">SUMPRODUCT(--(BRON!$A$2:$A$1197=Table1[[#This Row],[Personeelsnummer]]))</f>
        <v>0</v>
      </c>
    </row>
    <row r="285" spans="1:9" x14ac:dyDescent="0.25">
      <c r="A285" s="34" t="s">
        <v>2277</v>
      </c>
      <c r="B285" s="34" t="s">
        <v>2276</v>
      </c>
      <c r="C285" s="36" t="s">
        <v>3984</v>
      </c>
      <c r="E285" s="34" t="s">
        <v>3853</v>
      </c>
      <c r="F285" s="34" t="s">
        <v>3871</v>
      </c>
      <c r="G285" s="3">
        <v>40567.041666666701</v>
      </c>
      <c r="H285" s="35">
        <f ca="1">YEAR(TODAY()) - YEAR(G285) - (IF(DATE(YEAR(TODAY()), MONTH(G285), DAY(G285)) &gt; TODAY(), 1, 0))</f>
        <v>14</v>
      </c>
      <c r="I285" cm="1">
        <f t="array" ref="I285">SUMPRODUCT(--(BRON!$A$2:$A$1197=Table1[[#This Row],[Personeelsnummer]]))</f>
        <v>0</v>
      </c>
    </row>
    <row r="286" spans="1:9" x14ac:dyDescent="0.25">
      <c r="A286" s="34" t="s">
        <v>2592</v>
      </c>
      <c r="B286" s="34" t="s">
        <v>2591</v>
      </c>
      <c r="C286" s="36" t="s">
        <v>3985</v>
      </c>
      <c r="E286" s="34" t="s">
        <v>3867</v>
      </c>
      <c r="F286" s="34" t="s">
        <v>3871</v>
      </c>
      <c r="G286" s="3">
        <v>40602.041666666701</v>
      </c>
      <c r="H286" s="35">
        <f ca="1">YEAR(TODAY()) - YEAR(G286) - (IF(DATE(YEAR(TODAY()), MONTH(G286), DAY(G286)) &gt; TODAY(), 1, 0))</f>
        <v>14</v>
      </c>
      <c r="I286" cm="1">
        <f t="array" ref="I286">SUMPRODUCT(--(BRON!$A$2:$A$1197=Table1[[#This Row],[Personeelsnummer]]))</f>
        <v>0</v>
      </c>
    </row>
    <row r="287" spans="1:9" x14ac:dyDescent="0.25">
      <c r="A287" s="34" t="s">
        <v>2857</v>
      </c>
      <c r="B287" s="34" t="s">
        <v>2860</v>
      </c>
      <c r="C287" s="36" t="s">
        <v>3988</v>
      </c>
      <c r="E287" s="34" t="s">
        <v>3857</v>
      </c>
      <c r="F287" s="34" t="s">
        <v>3870</v>
      </c>
      <c r="G287" s="3">
        <v>40637.083333333299</v>
      </c>
      <c r="H287" s="35">
        <f ca="1">YEAR(TODAY()) - YEAR(G287) - (IF(DATE(YEAR(TODAY()), MONTH(G287), DAY(G287)) &gt; TODAY(), 1, 0))</f>
        <v>14</v>
      </c>
      <c r="I287" cm="1">
        <f t="array" ref="I287">SUMPRODUCT(--(BRON!$A$2:$A$1197=Table1[[#This Row],[Personeelsnummer]]))</f>
        <v>0</v>
      </c>
    </row>
    <row r="288" spans="1:9" x14ac:dyDescent="0.25">
      <c r="A288" s="34" t="s">
        <v>2114</v>
      </c>
      <c r="B288" s="34" t="s">
        <v>2096</v>
      </c>
      <c r="C288" s="36" t="s">
        <v>3989</v>
      </c>
      <c r="E288" s="34" t="s">
        <v>3857</v>
      </c>
      <c r="F288" s="34" t="s">
        <v>3870</v>
      </c>
      <c r="G288" s="3">
        <v>40658.083333333299</v>
      </c>
      <c r="H288" s="35">
        <f ca="1">YEAR(TODAY()) - YEAR(G288) - (IF(DATE(YEAR(TODAY()), MONTH(G288), DAY(G288)) &gt; TODAY(), 1, 0))</f>
        <v>14</v>
      </c>
      <c r="I288" cm="1">
        <f t="array" ref="I288">SUMPRODUCT(--(BRON!$A$2:$A$1197=Table1[[#This Row],[Personeelsnummer]]))</f>
        <v>0</v>
      </c>
    </row>
    <row r="289" spans="1:9" x14ac:dyDescent="0.25">
      <c r="A289" s="34" t="s">
        <v>1328</v>
      </c>
      <c r="B289" s="34" t="s">
        <v>1640</v>
      </c>
      <c r="C289" s="36" t="s">
        <v>3991</v>
      </c>
      <c r="E289" s="34" t="s">
        <v>3860</v>
      </c>
      <c r="F289" s="34" t="s">
        <v>3871</v>
      </c>
      <c r="G289" s="3">
        <v>40700.083333333299</v>
      </c>
      <c r="H289" s="35">
        <f ca="1">YEAR(TODAY()) - YEAR(G289) - (IF(DATE(YEAR(TODAY()), MONTH(G289), DAY(G289)) &gt; TODAY(), 1, 0))</f>
        <v>14</v>
      </c>
      <c r="I289" cm="1">
        <f t="array" ref="I289">SUMPRODUCT(--(BRON!$A$2:$A$1197=Table1[[#This Row],[Personeelsnummer]]))</f>
        <v>0</v>
      </c>
    </row>
    <row r="290" spans="1:9" x14ac:dyDescent="0.25">
      <c r="A290" s="34" t="s">
        <v>3116</v>
      </c>
      <c r="B290" s="34" t="s">
        <v>1990</v>
      </c>
      <c r="C290" s="36" t="s">
        <v>3992</v>
      </c>
      <c r="E290" s="34" t="s">
        <v>3857</v>
      </c>
      <c r="F290" s="34" t="s">
        <v>3870</v>
      </c>
      <c r="G290" s="3">
        <v>40728.083333333299</v>
      </c>
      <c r="H290" s="35">
        <f ca="1">YEAR(TODAY()) - YEAR(G290) - (IF(DATE(YEAR(TODAY()), MONTH(G290), DAY(G290)) &gt; TODAY(), 1, 0))</f>
        <v>14</v>
      </c>
      <c r="I290" cm="1">
        <f t="array" ref="I290">SUMPRODUCT(--(BRON!$A$2:$A$1197=Table1[[#This Row],[Personeelsnummer]]))</f>
        <v>0</v>
      </c>
    </row>
    <row r="291" spans="1:9" x14ac:dyDescent="0.25">
      <c r="A291" s="34" t="s">
        <v>1491</v>
      </c>
      <c r="B291" s="34" t="s">
        <v>1490</v>
      </c>
      <c r="C291" s="36" t="s">
        <v>3993</v>
      </c>
      <c r="E291" s="34" t="s">
        <v>3860</v>
      </c>
      <c r="F291" s="34" t="s">
        <v>3854</v>
      </c>
      <c r="G291" s="3">
        <v>40749.083333333299</v>
      </c>
      <c r="H291" s="35">
        <f ca="1">YEAR(TODAY()) - YEAR(G291) - (IF(DATE(YEAR(TODAY()), MONTH(G291), DAY(G291)) &gt; TODAY(), 1, 0))</f>
        <v>14</v>
      </c>
      <c r="I291" cm="1">
        <f t="array" ref="I291">SUMPRODUCT(--(BRON!$A$2:$A$1197=Table1[[#This Row],[Personeelsnummer]]))</f>
        <v>0</v>
      </c>
    </row>
    <row r="292" spans="1:9" x14ac:dyDescent="0.25">
      <c r="A292" s="34" t="s">
        <v>2184</v>
      </c>
      <c r="B292" s="34" t="s">
        <v>2183</v>
      </c>
      <c r="C292" s="36" t="s">
        <v>3994</v>
      </c>
      <c r="E292" s="34" t="s">
        <v>3853</v>
      </c>
      <c r="F292" s="34" t="s">
        <v>3863</v>
      </c>
      <c r="G292" s="3">
        <v>40771.083333333299</v>
      </c>
      <c r="H292" s="35">
        <f ca="1">YEAR(TODAY()) - YEAR(G292) - (IF(DATE(YEAR(TODAY()), MONTH(G292), DAY(G292)) &gt; TODAY(), 1, 0))</f>
        <v>14</v>
      </c>
      <c r="I292" cm="1">
        <f t="array" ref="I292">SUMPRODUCT(--(BRON!$A$2:$A$1197=Table1[[#This Row],[Personeelsnummer]]))</f>
        <v>0</v>
      </c>
    </row>
    <row r="293" spans="1:9" x14ac:dyDescent="0.25">
      <c r="A293" s="34" t="s">
        <v>2405</v>
      </c>
      <c r="B293" s="34" t="s">
        <v>2568</v>
      </c>
      <c r="C293" s="36" t="s">
        <v>3995</v>
      </c>
      <c r="E293" s="34" t="s">
        <v>3857</v>
      </c>
      <c r="F293" s="34" t="s">
        <v>3864</v>
      </c>
      <c r="G293" s="3">
        <v>40826.083333333299</v>
      </c>
      <c r="H293" s="35">
        <f ca="1">YEAR(TODAY()) - YEAR(G293) - (IF(DATE(YEAR(TODAY()), MONTH(G293), DAY(G293)) &gt; TODAY(), 1, 0))</f>
        <v>14</v>
      </c>
      <c r="I293" cm="1">
        <f t="array" ref="I293">SUMPRODUCT(--(BRON!$A$2:$A$1197=Table1[[#This Row],[Personeelsnummer]]))</f>
        <v>0</v>
      </c>
    </row>
    <row r="294" spans="1:9" x14ac:dyDescent="0.25">
      <c r="A294" s="34" t="s">
        <v>1328</v>
      </c>
      <c r="B294" s="34" t="s">
        <v>1643</v>
      </c>
      <c r="C294" s="36" t="s">
        <v>3987</v>
      </c>
      <c r="E294" s="34" t="s">
        <v>3853</v>
      </c>
      <c r="F294" s="34" t="s">
        <v>3854</v>
      </c>
      <c r="G294" s="3">
        <v>40637.083333333299</v>
      </c>
      <c r="H294" s="35">
        <f ca="1">YEAR(TODAY()) - YEAR(G294) - (IF(DATE(YEAR(TODAY()), MONTH(G294), DAY(G294)) &gt; TODAY(), 1, 0))</f>
        <v>14</v>
      </c>
      <c r="I294" cm="1">
        <f t="array" ref="I294">SUMPRODUCT(--(BRON!$A$2:$A$1197=Table1[[#This Row],[Personeelsnummer]]))</f>
        <v>0</v>
      </c>
    </row>
    <row r="295" spans="1:9" x14ac:dyDescent="0.25">
      <c r="A295" s="34" t="s">
        <v>1991</v>
      </c>
      <c r="B295" s="34" t="s">
        <v>2000</v>
      </c>
      <c r="C295" s="36" t="s">
        <v>3990</v>
      </c>
      <c r="E295" s="34" t="s">
        <v>3860</v>
      </c>
      <c r="F295" s="34" t="s">
        <v>3864</v>
      </c>
      <c r="G295" s="3">
        <v>40679.083333333299</v>
      </c>
      <c r="H295" s="35">
        <f ca="1">YEAR(TODAY()) - YEAR(G295) - (IF(DATE(YEAR(TODAY()), MONTH(G295), DAY(G295)) &gt; TODAY(), 1, 0))</f>
        <v>14</v>
      </c>
      <c r="I295" cm="1">
        <f t="array" ref="I295">SUMPRODUCT(--(BRON!$A$2:$A$1197=Table1[[#This Row],[Personeelsnummer]]))</f>
        <v>0</v>
      </c>
    </row>
    <row r="296" spans="1:9" x14ac:dyDescent="0.25">
      <c r="A296" s="34" t="s">
        <v>2148</v>
      </c>
      <c r="B296" s="34" t="s">
        <v>1393</v>
      </c>
      <c r="C296" s="36" t="s">
        <v>3996</v>
      </c>
      <c r="E296" s="34" t="s">
        <v>3860</v>
      </c>
      <c r="F296" s="34" t="s">
        <v>3870</v>
      </c>
      <c r="G296" s="3">
        <v>40861.041666666701</v>
      </c>
      <c r="H296" s="35">
        <f ca="1">YEAR(TODAY()) - YEAR(G296) - (IF(DATE(YEAR(TODAY()), MONTH(G296), DAY(G296)) &gt; TODAY(), 1, 0))</f>
        <v>14</v>
      </c>
      <c r="I296" cm="1">
        <f t="array" ref="I296">SUMPRODUCT(--(BRON!$A$2:$A$1197=Table1[[#This Row],[Personeelsnummer]]))</f>
        <v>0</v>
      </c>
    </row>
    <row r="297" spans="1:9" x14ac:dyDescent="0.25">
      <c r="A297" s="34" t="s">
        <v>1842</v>
      </c>
      <c r="B297" s="34" t="s">
        <v>1845</v>
      </c>
      <c r="C297" s="36" t="s">
        <v>3986</v>
      </c>
      <c r="E297" s="34" t="s">
        <v>3857</v>
      </c>
      <c r="F297" s="34" t="s">
        <v>3874</v>
      </c>
      <c r="G297" s="3">
        <v>40623.041666666701</v>
      </c>
      <c r="H297" s="35">
        <f ca="1">YEAR(TODAY()) - YEAR(G297) - (IF(DATE(YEAR(TODAY()), MONTH(G297), DAY(G297)) &gt; TODAY(), 1, 0))</f>
        <v>14</v>
      </c>
      <c r="I297" cm="1">
        <f t="array" ref="I297">SUMPRODUCT(--(BRON!$A$2:$A$1197=Table1[[#This Row],[Personeelsnummer]]))</f>
        <v>0</v>
      </c>
    </row>
    <row r="298" spans="1:9" x14ac:dyDescent="0.25">
      <c r="A298" s="34" t="s">
        <v>1351</v>
      </c>
      <c r="B298" s="34" t="s">
        <v>2610</v>
      </c>
      <c r="C298" s="36" t="s">
        <v>3977</v>
      </c>
      <c r="E298" s="34" t="s">
        <v>3860</v>
      </c>
      <c r="F298" s="34" t="s">
        <v>3863</v>
      </c>
      <c r="G298" s="3">
        <v>40385.083333333299</v>
      </c>
      <c r="H298" s="35">
        <f ca="1">YEAR(TODAY()) - YEAR(G298) - (IF(DATE(YEAR(TODAY()), MONTH(G298), DAY(G298)) &gt; TODAY(), 1, 0))</f>
        <v>15</v>
      </c>
      <c r="I298" cm="1">
        <f t="array" ref="I298">SUMPRODUCT(--(BRON!$A$2:$A$1197=Table1[[#This Row],[Personeelsnummer]]))</f>
        <v>0</v>
      </c>
    </row>
    <row r="299" spans="1:9" x14ac:dyDescent="0.25">
      <c r="A299" s="34" t="s">
        <v>1860</v>
      </c>
      <c r="B299" s="34" t="s">
        <v>3414</v>
      </c>
      <c r="C299" s="36" t="s">
        <v>3981</v>
      </c>
      <c r="E299" s="34" t="s">
        <v>3857</v>
      </c>
      <c r="F299" s="34" t="s">
        <v>3874</v>
      </c>
      <c r="G299" s="3">
        <v>40497.041666666701</v>
      </c>
      <c r="H299" s="35">
        <f ca="1">YEAR(TODAY()) - YEAR(G299) - (IF(DATE(YEAR(TODAY()), MONTH(G299), DAY(G299)) &gt; TODAY(), 1, 0))</f>
        <v>15</v>
      </c>
      <c r="I299" cm="1">
        <f t="array" ref="I299">SUMPRODUCT(--(BRON!$A$2:$A$1197=Table1[[#This Row],[Personeelsnummer]]))</f>
        <v>0</v>
      </c>
    </row>
    <row r="300" spans="1:9" x14ac:dyDescent="0.25">
      <c r="A300" s="34" t="s">
        <v>1697</v>
      </c>
      <c r="B300" s="34" t="s">
        <v>1696</v>
      </c>
      <c r="C300" s="36" t="s">
        <v>3979</v>
      </c>
      <c r="E300" s="34" t="s">
        <v>3853</v>
      </c>
      <c r="F300" s="34" t="s">
        <v>3863</v>
      </c>
      <c r="G300" s="3">
        <v>40455.083333333299</v>
      </c>
      <c r="H300" s="35">
        <f ca="1">YEAR(TODAY()) - YEAR(G300) - (IF(DATE(YEAR(TODAY()), MONTH(G300), DAY(G300)) &gt; TODAY(), 1, 0))</f>
        <v>15</v>
      </c>
      <c r="I300" cm="1">
        <f t="array" ref="I300">SUMPRODUCT(--(BRON!$A$2:$A$1197=Table1[[#This Row],[Personeelsnummer]]))</f>
        <v>0</v>
      </c>
    </row>
    <row r="301" spans="1:9" x14ac:dyDescent="0.25">
      <c r="A301" s="34" t="s">
        <v>3438</v>
      </c>
      <c r="B301" s="34" t="s">
        <v>2666</v>
      </c>
      <c r="C301" s="36" t="s">
        <v>3980</v>
      </c>
      <c r="E301" s="34" t="s">
        <v>3857</v>
      </c>
      <c r="F301" s="34" t="s">
        <v>3870</v>
      </c>
      <c r="G301" s="3">
        <v>40469.083333333299</v>
      </c>
      <c r="H301" s="35">
        <f ca="1">YEAR(TODAY()) - YEAR(G301) - (IF(DATE(YEAR(TODAY()), MONTH(G301), DAY(G301)) &gt; TODAY(), 1, 0))</f>
        <v>15</v>
      </c>
      <c r="I301" cm="1">
        <f t="array" ref="I301">SUMPRODUCT(--(BRON!$A$2:$A$1197=Table1[[#This Row],[Personeelsnummer]]))</f>
        <v>0</v>
      </c>
    </row>
    <row r="302" spans="1:9" x14ac:dyDescent="0.25">
      <c r="A302" s="34" t="s">
        <v>1666</v>
      </c>
      <c r="B302" s="34" t="s">
        <v>1665</v>
      </c>
      <c r="C302" s="36" t="s">
        <v>3978</v>
      </c>
      <c r="E302" s="34" t="s">
        <v>3857</v>
      </c>
      <c r="F302" s="34" t="s">
        <v>3874</v>
      </c>
      <c r="G302" s="3">
        <v>40385.083333333299</v>
      </c>
      <c r="H302" s="35">
        <f ca="1">YEAR(TODAY()) - YEAR(G302) - (IF(DATE(YEAR(TODAY()), MONTH(G302), DAY(G302)) &gt; TODAY(), 1, 0))</f>
        <v>15</v>
      </c>
      <c r="I302" cm="1">
        <f t="array" ref="I302">SUMPRODUCT(--(BRON!$A$2:$A$1197=Table1[[#This Row],[Personeelsnummer]]))</f>
        <v>0</v>
      </c>
    </row>
    <row r="303" spans="1:9" x14ac:dyDescent="0.25">
      <c r="A303" s="34" t="s">
        <v>3310</v>
      </c>
      <c r="B303" s="34" t="s">
        <v>3309</v>
      </c>
      <c r="C303" s="36" t="s">
        <v>3969</v>
      </c>
      <c r="E303" s="34" t="s">
        <v>3853</v>
      </c>
      <c r="F303" s="34" t="s">
        <v>3881</v>
      </c>
      <c r="G303" s="3">
        <v>39923.083333333299</v>
      </c>
      <c r="H303" s="35">
        <f ca="1">YEAR(TODAY()) - YEAR(G303) - (IF(DATE(YEAR(TODAY()), MONTH(G303), DAY(G303)) &gt; TODAY(), 1, 0))</f>
        <v>16</v>
      </c>
      <c r="I303" cm="1">
        <f t="array" ref="I303">SUMPRODUCT(--(BRON!$A$2:$A$1197=Table1[[#This Row],[Personeelsnummer]]))</f>
        <v>0</v>
      </c>
    </row>
    <row r="304" spans="1:9" x14ac:dyDescent="0.25">
      <c r="A304" s="34" t="s">
        <v>3970</v>
      </c>
      <c r="B304" s="34" t="s">
        <v>3971</v>
      </c>
      <c r="C304" s="36" t="s">
        <v>3972</v>
      </c>
      <c r="E304" s="34" t="s">
        <v>3853</v>
      </c>
      <c r="F304" s="34" t="s">
        <v>3881</v>
      </c>
      <c r="G304" s="3">
        <v>39958.083333333299</v>
      </c>
      <c r="H304" s="35">
        <f ca="1">YEAR(TODAY()) - YEAR(G304) - (IF(DATE(YEAR(TODAY()), MONTH(G304), DAY(G304)) &gt; TODAY(), 1, 0))</f>
        <v>16</v>
      </c>
      <c r="I304" cm="1">
        <f t="array" ref="I304">SUMPRODUCT(--(BRON!$A$2:$A$1197=Table1[[#This Row],[Personeelsnummer]]))</f>
        <v>0</v>
      </c>
    </row>
    <row r="305" spans="1:9" x14ac:dyDescent="0.25">
      <c r="A305" s="34" t="s">
        <v>2427</v>
      </c>
      <c r="B305" s="34" t="s">
        <v>2430</v>
      </c>
      <c r="C305" s="36" t="s">
        <v>3974</v>
      </c>
      <c r="E305" s="34" t="s">
        <v>3894</v>
      </c>
      <c r="F305" s="34" t="s">
        <v>3870</v>
      </c>
      <c r="G305" s="3">
        <v>40000.083333333299</v>
      </c>
      <c r="H305" s="35">
        <f ca="1">YEAR(TODAY()) - YEAR(G305) - (IF(DATE(YEAR(TODAY()), MONTH(G305), DAY(G305)) &gt; TODAY(), 1, 0))</f>
        <v>16</v>
      </c>
      <c r="I305" cm="1">
        <f t="array" ref="I305">SUMPRODUCT(--(BRON!$A$2:$A$1197=Table1[[#This Row],[Personeelsnummer]]))</f>
        <v>0</v>
      </c>
    </row>
    <row r="306" spans="1:9" x14ac:dyDescent="0.25">
      <c r="A306" s="34" t="s">
        <v>3064</v>
      </c>
      <c r="B306" s="34" t="s">
        <v>2096</v>
      </c>
      <c r="C306" s="36" t="s">
        <v>3976</v>
      </c>
      <c r="E306" s="34" t="s">
        <v>3853</v>
      </c>
      <c r="F306" s="34" t="s">
        <v>3881</v>
      </c>
      <c r="G306" s="3">
        <v>40049.083333333299</v>
      </c>
      <c r="H306" s="35">
        <f ca="1">YEAR(TODAY()) - YEAR(G306) - (IF(DATE(YEAR(TODAY()), MONTH(G306), DAY(G306)) &gt; TODAY(), 1, 0))</f>
        <v>16</v>
      </c>
      <c r="I306" cm="1">
        <f t="array" ref="I306">SUMPRODUCT(--(BRON!$A$2:$A$1197=Table1[[#This Row],[Personeelsnummer]]))</f>
        <v>0</v>
      </c>
    </row>
    <row r="307" spans="1:9" x14ac:dyDescent="0.25">
      <c r="A307" s="34" t="s">
        <v>3241</v>
      </c>
      <c r="B307" s="34" t="s">
        <v>3244</v>
      </c>
      <c r="C307" s="36" t="s">
        <v>3973</v>
      </c>
      <c r="E307" s="34" t="s">
        <v>3860</v>
      </c>
      <c r="F307" s="34" t="s">
        <v>3870</v>
      </c>
      <c r="G307" s="3">
        <v>39972.083333333299</v>
      </c>
      <c r="H307" s="35">
        <f ca="1">YEAR(TODAY()) - YEAR(G307) - (IF(DATE(YEAR(TODAY()), MONTH(G307), DAY(G307)) &gt; TODAY(), 1, 0))</f>
        <v>16</v>
      </c>
      <c r="I307" cm="1">
        <f t="array" ref="I307">SUMPRODUCT(--(BRON!$A$2:$A$1197=Table1[[#This Row],[Personeelsnummer]]))</f>
        <v>0</v>
      </c>
    </row>
    <row r="308" spans="1:9" x14ac:dyDescent="0.25">
      <c r="A308" s="34" t="s">
        <v>3378</v>
      </c>
      <c r="B308" s="34" t="s">
        <v>3384</v>
      </c>
      <c r="C308" s="36" t="s">
        <v>3975</v>
      </c>
      <c r="E308" s="34" t="s">
        <v>3867</v>
      </c>
      <c r="F308" s="34" t="s">
        <v>3864</v>
      </c>
      <c r="G308" s="3">
        <v>40035.083333333299</v>
      </c>
      <c r="H308" s="35">
        <f ca="1">YEAR(TODAY()) - YEAR(G308) - (IF(DATE(YEAR(TODAY()), MONTH(G308), DAY(G308)) &gt; TODAY(), 1, 0))</f>
        <v>16</v>
      </c>
      <c r="I308" cm="1">
        <f t="array" ref="I308">SUMPRODUCT(--(BRON!$A$2:$A$1197=Table1[[#This Row],[Personeelsnummer]]))</f>
        <v>0</v>
      </c>
    </row>
    <row r="309" spans="1:9" x14ac:dyDescent="0.25">
      <c r="A309" s="34" t="s">
        <v>2960</v>
      </c>
      <c r="B309" s="34" t="s">
        <v>2498</v>
      </c>
      <c r="C309" s="36" t="s">
        <v>3958</v>
      </c>
      <c r="E309" s="34" t="s">
        <v>3894</v>
      </c>
      <c r="F309" s="34" t="s">
        <v>3871</v>
      </c>
      <c r="G309" s="3">
        <v>39496.041666666701</v>
      </c>
      <c r="H309" s="35">
        <f ca="1">YEAR(TODAY()) - YEAR(G309) - (IF(DATE(YEAR(TODAY()), MONTH(G309), DAY(G309)) &gt; TODAY(), 1, 0))</f>
        <v>17</v>
      </c>
      <c r="I309" cm="1">
        <f t="array" ref="I309">SUMPRODUCT(--(BRON!$A$2:$A$1197=Table1[[#This Row],[Personeelsnummer]]))</f>
        <v>0</v>
      </c>
    </row>
    <row r="310" spans="1:9" x14ac:dyDescent="0.25">
      <c r="A310" s="34" t="s">
        <v>1929</v>
      </c>
      <c r="B310" s="34" t="s">
        <v>1637</v>
      </c>
      <c r="C310" s="36" t="s">
        <v>3960</v>
      </c>
      <c r="E310" s="34" t="s">
        <v>3860</v>
      </c>
      <c r="F310" s="34" t="s">
        <v>3871</v>
      </c>
      <c r="G310" s="3">
        <v>39538.083333333299</v>
      </c>
      <c r="H310" s="35">
        <f ca="1">YEAR(TODAY()) - YEAR(G310) - (IF(DATE(YEAR(TODAY()), MONTH(G310), DAY(G310)) &gt; TODAY(), 1, 0))</f>
        <v>17</v>
      </c>
      <c r="I310" cm="1">
        <f t="array" ref="I310">SUMPRODUCT(--(BRON!$A$2:$A$1197=Table1[[#This Row],[Personeelsnummer]]))</f>
        <v>0</v>
      </c>
    </row>
    <row r="311" spans="1:9" x14ac:dyDescent="0.25">
      <c r="A311" s="34" t="s">
        <v>1991</v>
      </c>
      <c r="B311" s="34" t="s">
        <v>2003</v>
      </c>
      <c r="C311" s="36" t="s">
        <v>3961</v>
      </c>
      <c r="E311" s="34" t="s">
        <v>3853</v>
      </c>
      <c r="F311" s="34" t="s">
        <v>3874</v>
      </c>
      <c r="G311" s="3">
        <v>39573.083333333299</v>
      </c>
      <c r="H311" s="35">
        <f ca="1">YEAR(TODAY()) - YEAR(G311) - (IF(DATE(YEAR(TODAY()), MONTH(G311), DAY(G311)) &gt; TODAY(), 1, 0))</f>
        <v>17</v>
      </c>
      <c r="I311" cm="1">
        <f t="array" ref="I311">SUMPRODUCT(--(BRON!$A$2:$A$1197=Table1[[#This Row],[Personeelsnummer]]))</f>
        <v>0</v>
      </c>
    </row>
    <row r="312" spans="1:9" x14ac:dyDescent="0.25">
      <c r="A312" s="34" t="s">
        <v>3450</v>
      </c>
      <c r="B312" s="34" t="s">
        <v>3449</v>
      </c>
      <c r="C312" s="36" t="s">
        <v>3964</v>
      </c>
      <c r="E312" s="34" t="s">
        <v>3857</v>
      </c>
      <c r="F312" s="34" t="s">
        <v>3863</v>
      </c>
      <c r="G312" s="3">
        <v>39615.083333333299</v>
      </c>
      <c r="H312" s="35">
        <f ca="1">YEAR(TODAY()) - YEAR(G312) - (IF(DATE(YEAR(TODAY()), MONTH(G312), DAY(G312)) &gt; TODAY(), 1, 0))</f>
        <v>17</v>
      </c>
      <c r="I312" cm="1">
        <f t="array" ref="I312">SUMPRODUCT(--(BRON!$A$2:$A$1197=Table1[[#This Row],[Personeelsnummer]]))</f>
        <v>0</v>
      </c>
    </row>
    <row r="313" spans="1:9" x14ac:dyDescent="0.25">
      <c r="A313" s="34" t="s">
        <v>1907</v>
      </c>
      <c r="B313" s="34" t="s">
        <v>1906</v>
      </c>
      <c r="C313" s="36" t="s">
        <v>3965</v>
      </c>
      <c r="E313" s="34" t="s">
        <v>3853</v>
      </c>
      <c r="F313" s="34" t="s">
        <v>3864</v>
      </c>
      <c r="G313" s="3">
        <v>39643.083333333299</v>
      </c>
      <c r="H313" s="35">
        <f ca="1">YEAR(TODAY()) - YEAR(G313) - (IF(DATE(YEAR(TODAY()), MONTH(G313), DAY(G313)) &gt; TODAY(), 1, 0))</f>
        <v>17</v>
      </c>
      <c r="I313" cm="1">
        <f t="array" ref="I313">SUMPRODUCT(--(BRON!$A$2:$A$1197=Table1[[#This Row],[Personeelsnummer]]))</f>
        <v>0</v>
      </c>
    </row>
    <row r="314" spans="1:9" x14ac:dyDescent="0.25">
      <c r="A314" s="34" t="s">
        <v>2562</v>
      </c>
      <c r="B314" s="34" t="s">
        <v>2571</v>
      </c>
      <c r="C314" s="36" t="s">
        <v>3966</v>
      </c>
      <c r="E314" s="34" t="s">
        <v>3857</v>
      </c>
      <c r="F314" s="34" t="s">
        <v>3881</v>
      </c>
      <c r="G314" s="3">
        <v>39664.083333333299</v>
      </c>
      <c r="H314" s="35">
        <f ca="1">YEAR(TODAY()) - YEAR(G314) - (IF(DATE(YEAR(TODAY()), MONTH(G314), DAY(G314)) &gt; TODAY(), 1, 0))</f>
        <v>17</v>
      </c>
      <c r="I314" cm="1">
        <f t="array" ref="I314">SUMPRODUCT(--(BRON!$A$2:$A$1197=Table1[[#This Row],[Personeelsnummer]]))</f>
        <v>0</v>
      </c>
    </row>
    <row r="315" spans="1:9" x14ac:dyDescent="0.25">
      <c r="A315" s="34" t="s">
        <v>2773</v>
      </c>
      <c r="B315" s="34" t="s">
        <v>1439</v>
      </c>
      <c r="C315" s="36" t="s">
        <v>3967</v>
      </c>
      <c r="E315" s="34" t="s">
        <v>3860</v>
      </c>
      <c r="F315" s="34" t="s">
        <v>3871</v>
      </c>
      <c r="G315" s="3">
        <v>39706.083333333299</v>
      </c>
      <c r="H315" s="35">
        <f ca="1">YEAR(TODAY()) - YEAR(G315) - (IF(DATE(YEAR(TODAY()), MONTH(G315), DAY(G315)) &gt; TODAY(), 1, 0))</f>
        <v>17</v>
      </c>
      <c r="I315" cm="1">
        <f t="array" ref="I315">SUMPRODUCT(--(BRON!$A$2:$A$1197=Table1[[#This Row],[Personeelsnummer]]))</f>
        <v>0</v>
      </c>
    </row>
    <row r="316" spans="1:9" x14ac:dyDescent="0.25">
      <c r="A316" s="34" t="s">
        <v>2857</v>
      </c>
      <c r="B316" s="34" t="s">
        <v>2863</v>
      </c>
      <c r="C316" s="36" t="s">
        <v>3957</v>
      </c>
      <c r="E316" s="34" t="s">
        <v>3860</v>
      </c>
      <c r="F316" s="34" t="s">
        <v>3866</v>
      </c>
      <c r="G316" s="3">
        <v>39433.041666666701</v>
      </c>
      <c r="H316" s="35">
        <f ca="1">YEAR(TODAY()) - YEAR(G316) - (IF(DATE(YEAR(TODAY()), MONTH(G316), DAY(G316)) &gt; TODAY(), 1, 0))</f>
        <v>17</v>
      </c>
      <c r="I316" cm="1">
        <f t="array" ref="I316">SUMPRODUCT(--(BRON!$A$2:$A$1197=Table1[[#This Row],[Personeelsnummer]]))</f>
        <v>0</v>
      </c>
    </row>
    <row r="317" spans="1:9" x14ac:dyDescent="0.25">
      <c r="A317" s="34" t="s">
        <v>1647</v>
      </c>
      <c r="B317" s="34" t="s">
        <v>1653</v>
      </c>
      <c r="C317" s="36" t="s">
        <v>3959</v>
      </c>
      <c r="E317" s="34" t="s">
        <v>3857</v>
      </c>
      <c r="F317" s="34" t="s">
        <v>3874</v>
      </c>
      <c r="G317" s="3">
        <v>39524.041666666701</v>
      </c>
      <c r="H317" s="35">
        <f ca="1">YEAR(TODAY()) - YEAR(G317) - (IF(DATE(YEAR(TODAY()), MONTH(G317), DAY(G317)) &gt; TODAY(), 1, 0))</f>
        <v>17</v>
      </c>
      <c r="I317" cm="1">
        <f t="array" ref="I317">SUMPRODUCT(--(BRON!$A$2:$A$1197=Table1[[#This Row],[Personeelsnummer]]))</f>
        <v>0</v>
      </c>
    </row>
    <row r="318" spans="1:9" x14ac:dyDescent="0.25">
      <c r="A318" s="34" t="s">
        <v>2506</v>
      </c>
      <c r="B318" s="34" t="s">
        <v>2505</v>
      </c>
      <c r="C318" s="36" t="s">
        <v>3962</v>
      </c>
      <c r="E318" s="34" t="s">
        <v>3857</v>
      </c>
      <c r="F318" s="34" t="s">
        <v>3871</v>
      </c>
      <c r="G318" s="3">
        <v>39587.083333333299</v>
      </c>
      <c r="H318" s="35">
        <f ca="1">YEAR(TODAY()) - YEAR(G318) - (IF(DATE(YEAR(TODAY()), MONTH(G318), DAY(G318)) &gt; TODAY(), 1, 0))</f>
        <v>17</v>
      </c>
      <c r="I318" cm="1">
        <f t="array" ref="I318">SUMPRODUCT(--(BRON!$A$2:$A$1197=Table1[[#This Row],[Personeelsnummer]]))</f>
        <v>0</v>
      </c>
    </row>
    <row r="319" spans="1:9" x14ac:dyDescent="0.25">
      <c r="A319" s="34" t="s">
        <v>1626</v>
      </c>
      <c r="B319" s="34" t="s">
        <v>1625</v>
      </c>
      <c r="C319" s="36" t="s">
        <v>3963</v>
      </c>
      <c r="E319" s="34" t="s">
        <v>3853</v>
      </c>
      <c r="F319" s="34" t="s">
        <v>3863</v>
      </c>
      <c r="G319" s="3">
        <v>39587.083333333299</v>
      </c>
      <c r="H319" s="35">
        <f ca="1">YEAR(TODAY()) - YEAR(G319) - (IF(DATE(YEAR(TODAY()), MONTH(G319), DAY(G319)) &gt; TODAY(), 1, 0))</f>
        <v>17</v>
      </c>
      <c r="I319" cm="1">
        <f t="array" ref="I319">SUMPRODUCT(--(BRON!$A$2:$A$1197=Table1[[#This Row],[Personeelsnummer]]))</f>
        <v>0</v>
      </c>
    </row>
    <row r="320" spans="1:9" x14ac:dyDescent="0.25">
      <c r="A320" s="34" t="s">
        <v>2374</v>
      </c>
      <c r="B320" s="34" t="s">
        <v>2373</v>
      </c>
      <c r="C320" s="36" t="s">
        <v>3945</v>
      </c>
      <c r="E320" s="34" t="s">
        <v>3857</v>
      </c>
      <c r="F320" s="34" t="s">
        <v>3881</v>
      </c>
      <c r="G320" s="3">
        <v>39132.041666666701</v>
      </c>
      <c r="H320" s="35">
        <f ca="1">YEAR(TODAY()) - YEAR(G320) - (IF(DATE(YEAR(TODAY()), MONTH(G320), DAY(G320)) &gt; TODAY(), 1, 0))</f>
        <v>18</v>
      </c>
      <c r="I320" cm="1">
        <f t="array" ref="I320">SUMPRODUCT(--(BRON!$A$2:$A$1197=Table1[[#This Row],[Personeelsnummer]]))</f>
        <v>0</v>
      </c>
    </row>
    <row r="321" spans="1:9" x14ac:dyDescent="0.25">
      <c r="A321" s="34" t="s">
        <v>1341</v>
      </c>
      <c r="B321" s="34" t="s">
        <v>2475</v>
      </c>
      <c r="C321" s="36" t="s">
        <v>3946</v>
      </c>
      <c r="E321" s="34" t="s">
        <v>3857</v>
      </c>
      <c r="F321" s="34" t="s">
        <v>3881</v>
      </c>
      <c r="G321" s="3">
        <v>39146.041666666701</v>
      </c>
      <c r="H321" s="35">
        <f ca="1">YEAR(TODAY()) - YEAR(G321) - (IF(DATE(YEAR(TODAY()), MONTH(G321), DAY(G321)) &gt; TODAY(), 1, 0))</f>
        <v>18</v>
      </c>
      <c r="I321" cm="1">
        <f t="array" ref="I321">SUMPRODUCT(--(BRON!$A$2:$A$1197=Table1[[#This Row],[Personeelsnummer]]))</f>
        <v>0</v>
      </c>
    </row>
    <row r="322" spans="1:9" x14ac:dyDescent="0.25">
      <c r="A322" s="34" t="s">
        <v>2944</v>
      </c>
      <c r="B322" s="34" t="s">
        <v>2943</v>
      </c>
      <c r="C322" s="36" t="s">
        <v>3948</v>
      </c>
      <c r="E322" s="34" t="s">
        <v>3853</v>
      </c>
      <c r="F322" s="34" t="s">
        <v>3871</v>
      </c>
      <c r="G322" s="3">
        <v>39174.083333333299</v>
      </c>
      <c r="H322" s="35">
        <f ca="1">YEAR(TODAY()) - YEAR(G322) - (IF(DATE(YEAR(TODAY()), MONTH(G322), DAY(G322)) &gt; TODAY(), 1, 0))</f>
        <v>18</v>
      </c>
      <c r="I322" cm="1">
        <f t="array" ref="I322">SUMPRODUCT(--(BRON!$A$2:$A$1197=Table1[[#This Row],[Personeelsnummer]]))</f>
        <v>0</v>
      </c>
    </row>
    <row r="323" spans="1:9" x14ac:dyDescent="0.25">
      <c r="A323" s="34" t="s">
        <v>2687</v>
      </c>
      <c r="B323" s="34" t="s">
        <v>2686</v>
      </c>
      <c r="C323" s="36" t="s">
        <v>3949</v>
      </c>
      <c r="E323" s="34" t="s">
        <v>3857</v>
      </c>
      <c r="F323" s="34" t="s">
        <v>3854</v>
      </c>
      <c r="G323" s="3">
        <v>39174.083333333299</v>
      </c>
      <c r="H323" s="35">
        <f ca="1">YEAR(TODAY()) - YEAR(G323) - (IF(DATE(YEAR(TODAY()), MONTH(G323), DAY(G323)) &gt; TODAY(), 1, 0))</f>
        <v>18</v>
      </c>
      <c r="I323" cm="1">
        <f t="array" ref="I323">SUMPRODUCT(--(BRON!$A$2:$A$1197=Table1[[#This Row],[Personeelsnummer]]))</f>
        <v>0</v>
      </c>
    </row>
    <row r="324" spans="1:9" x14ac:dyDescent="0.25">
      <c r="A324" s="34" t="s">
        <v>1351</v>
      </c>
      <c r="B324" s="34" t="s">
        <v>1744</v>
      </c>
      <c r="C324" s="36" t="s">
        <v>3951</v>
      </c>
      <c r="E324" s="34" t="s">
        <v>3860</v>
      </c>
      <c r="F324" s="34" t="s">
        <v>3870</v>
      </c>
      <c r="G324" s="3">
        <v>39204.083333333299</v>
      </c>
      <c r="H324" s="35">
        <f ca="1">YEAR(TODAY()) - YEAR(G324) - (IF(DATE(YEAR(TODAY()), MONTH(G324), DAY(G324)) &gt; TODAY(), 1, 0))</f>
        <v>18</v>
      </c>
      <c r="I324" cm="1">
        <f t="array" ref="I324">SUMPRODUCT(--(BRON!$A$2:$A$1197=Table1[[#This Row],[Personeelsnummer]]))</f>
        <v>0</v>
      </c>
    </row>
    <row r="325" spans="1:9" x14ac:dyDescent="0.25">
      <c r="A325" s="34" t="s">
        <v>3092</v>
      </c>
      <c r="B325" s="34" t="s">
        <v>3101</v>
      </c>
      <c r="C325" s="36" t="s">
        <v>3953</v>
      </c>
      <c r="E325" s="34" t="s">
        <v>3853</v>
      </c>
      <c r="F325" s="34" t="s">
        <v>3863</v>
      </c>
      <c r="G325" s="3">
        <v>39286.083333333299</v>
      </c>
      <c r="H325" s="35">
        <f ca="1">YEAR(TODAY()) - YEAR(G325) - (IF(DATE(YEAR(TODAY()), MONTH(G325), DAY(G325)) &gt; TODAY(), 1, 0))</f>
        <v>18</v>
      </c>
      <c r="I325" cm="1">
        <f t="array" ref="I325">SUMPRODUCT(--(BRON!$A$2:$A$1197=Table1[[#This Row],[Personeelsnummer]]))</f>
        <v>0</v>
      </c>
    </row>
    <row r="326" spans="1:9" x14ac:dyDescent="0.25">
      <c r="A326" s="34" t="s">
        <v>2296</v>
      </c>
      <c r="B326" s="34" t="s">
        <v>2303</v>
      </c>
      <c r="C326" s="36" t="s">
        <v>3954</v>
      </c>
      <c r="E326" s="34" t="s">
        <v>3857</v>
      </c>
      <c r="F326" s="34" t="s">
        <v>3871</v>
      </c>
      <c r="G326" s="3">
        <v>39356.083333333299</v>
      </c>
      <c r="H326" s="35">
        <f ca="1">YEAR(TODAY()) - YEAR(G326) - (IF(DATE(YEAR(TODAY()), MONTH(G326), DAY(G326)) &gt; TODAY(), 1, 0))</f>
        <v>18</v>
      </c>
      <c r="I326" cm="1">
        <f t="array" ref="I326">SUMPRODUCT(--(BRON!$A$2:$A$1197=Table1[[#This Row],[Personeelsnummer]]))</f>
        <v>0</v>
      </c>
    </row>
    <row r="327" spans="1:9" x14ac:dyDescent="0.25">
      <c r="A327" s="34" t="s">
        <v>1341</v>
      </c>
      <c r="B327" s="34" t="s">
        <v>1376</v>
      </c>
      <c r="C327" s="36" t="s">
        <v>3947</v>
      </c>
      <c r="E327" s="34" t="s">
        <v>3867</v>
      </c>
      <c r="F327" s="34" t="s">
        <v>3863</v>
      </c>
      <c r="G327" s="3">
        <v>39146.041666666701</v>
      </c>
      <c r="H327" s="35">
        <f ca="1">YEAR(TODAY()) - YEAR(G327) - (IF(DATE(YEAR(TODAY()), MONTH(G327), DAY(G327)) &gt; TODAY(), 1, 0))</f>
        <v>18</v>
      </c>
      <c r="I327" cm="1">
        <f t="array" ref="I327">SUMPRODUCT(--(BRON!$A$2:$A$1197=Table1[[#This Row],[Personeelsnummer]]))</f>
        <v>0</v>
      </c>
    </row>
    <row r="328" spans="1:9" x14ac:dyDescent="0.25">
      <c r="A328" s="34" t="s">
        <v>2174</v>
      </c>
      <c r="B328" s="34" t="s">
        <v>2180</v>
      </c>
      <c r="C328" s="36" t="s">
        <v>3952</v>
      </c>
      <c r="E328" s="34" t="s">
        <v>3857</v>
      </c>
      <c r="F328" s="34" t="s">
        <v>3854</v>
      </c>
      <c r="G328" s="3">
        <v>39286.083333333299</v>
      </c>
      <c r="H328" s="35">
        <f ca="1">YEAR(TODAY()) - YEAR(G328) - (IF(DATE(YEAR(TODAY()), MONTH(G328), DAY(G328)) &gt; TODAY(), 1, 0))</f>
        <v>18</v>
      </c>
      <c r="I328" cm="1">
        <f t="array" ref="I328">SUMPRODUCT(--(BRON!$A$2:$A$1197=Table1[[#This Row],[Personeelsnummer]]))</f>
        <v>0</v>
      </c>
    </row>
    <row r="329" spans="1:9" x14ac:dyDescent="0.25">
      <c r="A329" s="34" t="s">
        <v>2588</v>
      </c>
      <c r="B329" s="34" t="s">
        <v>2587</v>
      </c>
      <c r="C329" s="36" t="s">
        <v>3955</v>
      </c>
      <c r="E329" s="34" t="s">
        <v>3853</v>
      </c>
      <c r="F329" s="34" t="s">
        <v>3871</v>
      </c>
      <c r="G329" s="3">
        <v>39370.083333333299</v>
      </c>
      <c r="H329" s="35">
        <f ca="1">YEAR(TODAY()) - YEAR(G329) - (IF(DATE(YEAR(TODAY()), MONTH(G329), DAY(G329)) &gt; TODAY(), 1, 0))</f>
        <v>18</v>
      </c>
      <c r="I329" cm="1">
        <f t="array" ref="I329">SUMPRODUCT(--(BRON!$A$2:$A$1197=Table1[[#This Row],[Personeelsnummer]]))</f>
        <v>0</v>
      </c>
    </row>
    <row r="330" spans="1:9" x14ac:dyDescent="0.25">
      <c r="A330" s="34" t="s">
        <v>2273</v>
      </c>
      <c r="B330" s="34" t="s">
        <v>2272</v>
      </c>
      <c r="C330" s="36" t="s">
        <v>3950</v>
      </c>
      <c r="E330" s="34" t="s">
        <v>3894</v>
      </c>
      <c r="F330" s="34" t="s">
        <v>3864</v>
      </c>
      <c r="G330" s="3">
        <v>39204.083333333299</v>
      </c>
      <c r="H330" s="35">
        <f ca="1">YEAR(TODAY()) - YEAR(G330) - (IF(DATE(YEAR(TODAY()), MONTH(G330), DAY(G330)) &gt; TODAY(), 1, 0))</f>
        <v>18</v>
      </c>
      <c r="I330" cm="1">
        <f t="array" ref="I330">SUMPRODUCT(--(BRON!$A$2:$A$1197=Table1[[#This Row],[Personeelsnummer]]))</f>
        <v>0</v>
      </c>
    </row>
    <row r="331" spans="1:9" x14ac:dyDescent="0.25">
      <c r="A331" s="34" t="s">
        <v>2420</v>
      </c>
      <c r="B331" s="34" t="s">
        <v>2419</v>
      </c>
      <c r="C331" s="36" t="s">
        <v>3956</v>
      </c>
      <c r="E331" s="34" t="s">
        <v>3857</v>
      </c>
      <c r="F331" s="34" t="s">
        <v>3881</v>
      </c>
      <c r="G331" s="3">
        <v>39405.041666666701</v>
      </c>
      <c r="H331" s="35">
        <f ca="1">YEAR(TODAY()) - YEAR(G331) - (IF(DATE(YEAR(TODAY()), MONTH(G331), DAY(G331)) &gt; TODAY(), 1, 0))</f>
        <v>18</v>
      </c>
      <c r="I331" cm="1">
        <f t="array" ref="I331">SUMPRODUCT(--(BRON!$A$2:$A$1197=Table1[[#This Row],[Personeelsnummer]]))</f>
        <v>0</v>
      </c>
    </row>
    <row r="332" spans="1:9" x14ac:dyDescent="0.25">
      <c r="A332" s="34" t="s">
        <v>1929</v>
      </c>
      <c r="B332" s="34" t="s">
        <v>1937</v>
      </c>
      <c r="C332" s="36" t="s">
        <v>3938</v>
      </c>
      <c r="E332" s="34" t="s">
        <v>3860</v>
      </c>
      <c r="F332" s="34" t="s">
        <v>3870</v>
      </c>
      <c r="G332" s="3">
        <v>38789.041666666701</v>
      </c>
      <c r="H332" s="35">
        <f ca="1">YEAR(TODAY()) - YEAR(G332) - (IF(DATE(YEAR(TODAY()), MONTH(G332), DAY(G332)) &gt; TODAY(), 1, 0))</f>
        <v>19</v>
      </c>
      <c r="I332" cm="1">
        <f t="array" ref="I332">SUMPRODUCT(--(BRON!$A$2:$A$1197=Table1[[#This Row],[Personeelsnummer]]))</f>
        <v>0</v>
      </c>
    </row>
    <row r="333" spans="1:9" x14ac:dyDescent="0.25">
      <c r="A333" s="34" t="s">
        <v>2405</v>
      </c>
      <c r="B333" s="34" t="s">
        <v>3078</v>
      </c>
      <c r="C333" s="36" t="s">
        <v>3939</v>
      </c>
      <c r="E333" s="34" t="s">
        <v>3860</v>
      </c>
      <c r="F333" s="34" t="s">
        <v>3854</v>
      </c>
      <c r="G333" s="3">
        <v>38789.041666666701</v>
      </c>
      <c r="H333" s="35">
        <f ca="1">YEAR(TODAY()) - YEAR(G333) - (IF(DATE(YEAR(TODAY()), MONTH(G333), DAY(G333)) &gt; TODAY(), 1, 0))</f>
        <v>19</v>
      </c>
      <c r="I333" cm="1">
        <f t="array" ref="I333">SUMPRODUCT(--(BRON!$A$2:$A$1197=Table1[[#This Row],[Personeelsnummer]]))</f>
        <v>0</v>
      </c>
    </row>
    <row r="334" spans="1:9" x14ac:dyDescent="0.25">
      <c r="A334" s="34" t="s">
        <v>2820</v>
      </c>
      <c r="B334" s="34" t="s">
        <v>2829</v>
      </c>
      <c r="C334" s="36" t="s">
        <v>3940</v>
      </c>
      <c r="E334" s="34" t="s">
        <v>3860</v>
      </c>
      <c r="F334" s="34" t="s">
        <v>3866</v>
      </c>
      <c r="G334" s="3">
        <v>38831.083333333299</v>
      </c>
      <c r="H334" s="35">
        <f ca="1">YEAR(TODAY()) - YEAR(G334) - (IF(DATE(YEAR(TODAY()), MONTH(G334), DAY(G334)) &gt; TODAY(), 1, 0))</f>
        <v>19</v>
      </c>
      <c r="I334" cm="1">
        <f t="array" ref="I334">SUMPRODUCT(--(BRON!$A$2:$A$1197=Table1[[#This Row],[Personeelsnummer]]))</f>
        <v>0</v>
      </c>
    </row>
    <row r="335" spans="1:9" x14ac:dyDescent="0.25">
      <c r="A335" s="34" t="s">
        <v>2420</v>
      </c>
      <c r="B335" s="34" t="s">
        <v>2423</v>
      </c>
      <c r="C335" s="36" t="s">
        <v>3942</v>
      </c>
      <c r="E335" s="34" t="s">
        <v>3860</v>
      </c>
      <c r="F335" s="34" t="s">
        <v>3871</v>
      </c>
      <c r="G335" s="3">
        <v>38908.083333333299</v>
      </c>
      <c r="H335" s="35">
        <f ca="1">YEAR(TODAY()) - YEAR(G335) - (IF(DATE(YEAR(TODAY()), MONTH(G335), DAY(G335)) &gt; TODAY(), 1, 0))</f>
        <v>19</v>
      </c>
      <c r="I335" cm="1">
        <f t="array" ref="I335">SUMPRODUCT(--(BRON!$A$2:$A$1197=Table1[[#This Row],[Personeelsnummer]]))</f>
        <v>0</v>
      </c>
    </row>
    <row r="336" spans="1:9" x14ac:dyDescent="0.25">
      <c r="A336" s="34" t="s">
        <v>1960</v>
      </c>
      <c r="B336" s="34" t="s">
        <v>1974</v>
      </c>
      <c r="C336" s="36" t="s">
        <v>3943</v>
      </c>
      <c r="E336" s="34" t="s">
        <v>3857</v>
      </c>
      <c r="F336" s="34" t="s">
        <v>3874</v>
      </c>
      <c r="G336" s="3">
        <v>38992.083333333299</v>
      </c>
      <c r="H336" s="35">
        <f ca="1">YEAR(TODAY()) - YEAR(G336) - (IF(DATE(YEAR(TODAY()), MONTH(G336), DAY(G336)) &gt; TODAY(), 1, 0))</f>
        <v>19</v>
      </c>
      <c r="I336" cm="1">
        <f t="array" ref="I336">SUMPRODUCT(--(BRON!$A$2:$A$1197=Table1[[#This Row],[Personeelsnummer]]))</f>
        <v>0</v>
      </c>
    </row>
    <row r="337" spans="1:9" x14ac:dyDescent="0.25">
      <c r="A337" s="34" t="s">
        <v>3936</v>
      </c>
      <c r="B337" s="34" t="s">
        <v>3009</v>
      </c>
      <c r="C337" s="36" t="s">
        <v>3937</v>
      </c>
      <c r="E337" s="34" t="s">
        <v>3853</v>
      </c>
      <c r="F337" s="34" t="s">
        <v>3874</v>
      </c>
      <c r="G337" s="3">
        <v>38754.041666666701</v>
      </c>
      <c r="H337" s="35">
        <f ca="1">YEAR(TODAY()) - YEAR(G337) - (IF(DATE(YEAR(TODAY()), MONTH(G337), DAY(G337)) &gt; TODAY(), 1, 0))</f>
        <v>19</v>
      </c>
      <c r="I337" cm="1">
        <f t="array" ref="I337">SUMPRODUCT(--(BRON!$A$2:$A$1197=Table1[[#This Row],[Personeelsnummer]]))</f>
        <v>0</v>
      </c>
    </row>
    <row r="338" spans="1:9" x14ac:dyDescent="0.25">
      <c r="A338" s="34" t="s">
        <v>2524</v>
      </c>
      <c r="B338" s="34" t="s">
        <v>2527</v>
      </c>
      <c r="C338" s="36" t="s">
        <v>3941</v>
      </c>
      <c r="E338" s="34" t="s">
        <v>3853</v>
      </c>
      <c r="F338" s="34" t="s">
        <v>3866</v>
      </c>
      <c r="G338" s="3">
        <v>38852.083333333299</v>
      </c>
      <c r="H338" s="35">
        <f ca="1">YEAR(TODAY()) - YEAR(G338) - (IF(DATE(YEAR(TODAY()), MONTH(G338), DAY(G338)) &gt; TODAY(), 1, 0))</f>
        <v>19</v>
      </c>
      <c r="I338" cm="1">
        <f t="array" ref="I338">SUMPRODUCT(--(BRON!$A$2:$A$1197=Table1[[#This Row],[Personeelsnummer]]))</f>
        <v>0</v>
      </c>
    </row>
    <row r="339" spans="1:9" x14ac:dyDescent="0.25">
      <c r="A339" s="34" t="s">
        <v>2866</v>
      </c>
      <c r="B339" s="34" t="s">
        <v>2869</v>
      </c>
      <c r="C339" s="36" t="s">
        <v>3944</v>
      </c>
      <c r="E339" s="34" t="s">
        <v>3860</v>
      </c>
      <c r="F339" s="34" t="s">
        <v>3864</v>
      </c>
      <c r="G339" s="3">
        <v>39006.083333333299</v>
      </c>
      <c r="H339" s="35">
        <f ca="1">YEAR(TODAY()) - YEAR(G339) - (IF(DATE(YEAR(TODAY()), MONTH(G339), DAY(G339)) &gt; TODAY(), 1, 0))</f>
        <v>19</v>
      </c>
      <c r="I339" cm="1">
        <f t="array" ref="I339">SUMPRODUCT(--(BRON!$A$2:$A$1197=Table1[[#This Row],[Personeelsnummer]]))</f>
        <v>0</v>
      </c>
    </row>
    <row r="340" spans="1:9" x14ac:dyDescent="0.25">
      <c r="A340" s="34" t="s">
        <v>3128</v>
      </c>
      <c r="B340" s="34" t="s">
        <v>3127</v>
      </c>
      <c r="C340" s="36" t="s">
        <v>3933</v>
      </c>
      <c r="E340" s="34" t="s">
        <v>3857</v>
      </c>
      <c r="F340" s="34" t="s">
        <v>3864</v>
      </c>
      <c r="G340" s="3">
        <v>38404.041666666701</v>
      </c>
      <c r="H340" s="35">
        <f ca="1">YEAR(TODAY()) - YEAR(G340) - (IF(DATE(YEAR(TODAY()), MONTH(G340), DAY(G340)) &gt; TODAY(), 1, 0))</f>
        <v>20</v>
      </c>
      <c r="I340" cm="1">
        <f t="array" ref="I340">SUMPRODUCT(--(BRON!$A$2:$A$1197=Table1[[#This Row],[Personeelsnummer]]))</f>
        <v>0</v>
      </c>
    </row>
    <row r="341" spans="1:9" x14ac:dyDescent="0.25">
      <c r="A341" s="34" t="s">
        <v>2777</v>
      </c>
      <c r="B341" s="34" t="s">
        <v>2776</v>
      </c>
      <c r="C341" s="36" t="s">
        <v>3935</v>
      </c>
      <c r="E341" s="34" t="s">
        <v>3860</v>
      </c>
      <c r="F341" s="34" t="s">
        <v>3854</v>
      </c>
      <c r="G341" s="3">
        <v>38481.083333333299</v>
      </c>
      <c r="H341" s="35">
        <f ca="1">YEAR(TODAY()) - YEAR(G341) - (IF(DATE(YEAR(TODAY()), MONTH(G341), DAY(G341)) &gt; TODAY(), 1, 0))</f>
        <v>20</v>
      </c>
      <c r="I341" cm="1">
        <f t="array" ref="I341">SUMPRODUCT(--(BRON!$A$2:$A$1197=Table1[[#This Row],[Personeelsnummer]]))</f>
        <v>0</v>
      </c>
    </row>
    <row r="342" spans="1:9" x14ac:dyDescent="0.25">
      <c r="A342" s="34" t="s">
        <v>2749</v>
      </c>
      <c r="B342" s="34" t="s">
        <v>2748</v>
      </c>
      <c r="C342" s="36" t="s">
        <v>3932</v>
      </c>
      <c r="E342" s="34" t="s">
        <v>3857</v>
      </c>
      <c r="F342" s="34" t="s">
        <v>3871</v>
      </c>
      <c r="G342" s="3">
        <v>38390.041666666701</v>
      </c>
      <c r="H342" s="35">
        <f ca="1">YEAR(TODAY()) - YEAR(G342) - (IF(DATE(YEAR(TODAY()), MONTH(G342), DAY(G342)) &gt; TODAY(), 1, 0))</f>
        <v>20</v>
      </c>
      <c r="I342" cm="1">
        <f t="array" ref="I342">SUMPRODUCT(--(BRON!$A$2:$A$1197=Table1[[#This Row],[Personeelsnummer]]))</f>
        <v>0</v>
      </c>
    </row>
    <row r="343" spans="1:9" x14ac:dyDescent="0.25">
      <c r="A343" s="34" t="s">
        <v>2879</v>
      </c>
      <c r="B343" s="34" t="s">
        <v>2882</v>
      </c>
      <c r="C343" s="36" t="s">
        <v>3934</v>
      </c>
      <c r="E343" s="34" t="s">
        <v>3853</v>
      </c>
      <c r="F343" s="34" t="s">
        <v>3863</v>
      </c>
      <c r="G343" s="3">
        <v>38446.083333333299</v>
      </c>
      <c r="H343" s="35">
        <f ca="1">YEAR(TODAY()) - YEAR(G343) - (IF(DATE(YEAR(TODAY()), MONTH(G343), DAY(G343)) &gt; TODAY(), 1, 0))</f>
        <v>20</v>
      </c>
      <c r="I343" cm="1">
        <f t="array" ref="I343">SUMPRODUCT(--(BRON!$A$2:$A$1197=Table1[[#This Row],[Personeelsnummer]]))</f>
        <v>0</v>
      </c>
    </row>
    <row r="344" spans="1:9" x14ac:dyDescent="0.25">
      <c r="A344" s="34" t="s">
        <v>1491</v>
      </c>
      <c r="B344" s="34" t="s">
        <v>1499</v>
      </c>
      <c r="C344" s="36" t="s">
        <v>3930</v>
      </c>
      <c r="E344" s="34" t="s">
        <v>3860</v>
      </c>
      <c r="F344" s="34" t="s">
        <v>3864</v>
      </c>
      <c r="G344" s="3">
        <v>38222.083333333299</v>
      </c>
      <c r="H344" s="35">
        <f ca="1">YEAR(TODAY()) - YEAR(G344) - (IF(DATE(YEAR(TODAY()), MONTH(G344), DAY(G344)) &gt; TODAY(), 1, 0))</f>
        <v>21</v>
      </c>
      <c r="I344" cm="1">
        <f t="array" ref="I344">SUMPRODUCT(--(BRON!$A$2:$A$1197=Table1[[#This Row],[Personeelsnummer]]))</f>
        <v>0</v>
      </c>
    </row>
    <row r="345" spans="1:9" x14ac:dyDescent="0.25">
      <c r="A345" s="34" t="s">
        <v>2921</v>
      </c>
      <c r="B345" s="34" t="s">
        <v>2920</v>
      </c>
      <c r="C345" s="36" t="s">
        <v>3926</v>
      </c>
      <c r="E345" s="34" t="s">
        <v>3860</v>
      </c>
      <c r="F345" s="34" t="s">
        <v>3864</v>
      </c>
      <c r="G345" s="3">
        <v>37991.041666666701</v>
      </c>
      <c r="H345" s="35">
        <f ca="1">YEAR(TODAY()) - YEAR(G345) - (IF(DATE(YEAR(TODAY()), MONTH(G345), DAY(G345)) &gt; TODAY(), 1, 0))</f>
        <v>21</v>
      </c>
      <c r="I345" cm="1">
        <f t="array" ref="I345">SUMPRODUCT(--(BRON!$A$2:$A$1197=Table1[[#This Row],[Personeelsnummer]]))</f>
        <v>0</v>
      </c>
    </row>
    <row r="346" spans="1:9" x14ac:dyDescent="0.25">
      <c r="A346" s="34" t="s">
        <v>1817</v>
      </c>
      <c r="B346" s="34" t="s">
        <v>1816</v>
      </c>
      <c r="C346" s="36" t="s">
        <v>3927</v>
      </c>
      <c r="E346" s="34" t="s">
        <v>3860</v>
      </c>
      <c r="F346" s="34" t="s">
        <v>3863</v>
      </c>
      <c r="G346" s="3">
        <v>37991.041666666701</v>
      </c>
      <c r="H346" s="35">
        <f ca="1">YEAR(TODAY()) - YEAR(G346) - (IF(DATE(YEAR(TODAY()), MONTH(G346), DAY(G346)) &gt; TODAY(), 1, 0))</f>
        <v>21</v>
      </c>
      <c r="I346" cm="1">
        <f t="array" ref="I346">SUMPRODUCT(--(BRON!$A$2:$A$1197=Table1[[#This Row],[Personeelsnummer]]))</f>
        <v>0</v>
      </c>
    </row>
    <row r="347" spans="1:9" x14ac:dyDescent="0.25">
      <c r="A347" s="34" t="s">
        <v>3347</v>
      </c>
      <c r="B347" s="34" t="s">
        <v>3087</v>
      </c>
      <c r="C347" s="36" t="s">
        <v>3929</v>
      </c>
      <c r="E347" s="34" t="s">
        <v>3857</v>
      </c>
      <c r="F347" s="34" t="s">
        <v>3874</v>
      </c>
      <c r="G347" s="3">
        <v>38103.083333333299</v>
      </c>
      <c r="H347" s="35">
        <f ca="1">YEAR(TODAY()) - YEAR(G347) - (IF(DATE(YEAR(TODAY()), MONTH(G347), DAY(G347)) &gt; TODAY(), 1, 0))</f>
        <v>21</v>
      </c>
      <c r="I347" cm="1">
        <f t="array" ref="I347">SUMPRODUCT(--(BRON!$A$2:$A$1197=Table1[[#This Row],[Personeelsnummer]]))</f>
        <v>0</v>
      </c>
    </row>
    <row r="348" spans="1:9" x14ac:dyDescent="0.25">
      <c r="A348" s="34" t="s">
        <v>1873</v>
      </c>
      <c r="B348" s="34" t="s">
        <v>1872</v>
      </c>
      <c r="C348" s="36" t="s">
        <v>3931</v>
      </c>
      <c r="E348" s="34" t="s">
        <v>3857</v>
      </c>
      <c r="F348" s="34" t="s">
        <v>3864</v>
      </c>
      <c r="G348" s="3">
        <v>38222.083333333299</v>
      </c>
      <c r="H348" s="35">
        <f ca="1">YEAR(TODAY()) - YEAR(G348) - (IF(DATE(YEAR(TODAY()), MONTH(G348), DAY(G348)) &gt; TODAY(), 1, 0))</f>
        <v>21</v>
      </c>
      <c r="I348" cm="1">
        <f t="array" ref="I348">SUMPRODUCT(--(BRON!$A$2:$A$1197=Table1[[#This Row],[Personeelsnummer]]))</f>
        <v>0</v>
      </c>
    </row>
    <row r="349" spans="1:9" x14ac:dyDescent="0.25">
      <c r="A349" s="34" t="s">
        <v>2850</v>
      </c>
      <c r="B349" s="34" t="s">
        <v>2854</v>
      </c>
      <c r="C349" s="36" t="s">
        <v>3928</v>
      </c>
      <c r="E349" s="34" t="s">
        <v>3857</v>
      </c>
      <c r="F349" s="34" t="s">
        <v>3864</v>
      </c>
      <c r="G349" s="3">
        <v>38103.083333333299</v>
      </c>
      <c r="H349" s="35">
        <f ca="1">YEAR(TODAY()) - YEAR(G349) - (IF(DATE(YEAR(TODAY()), MONTH(G349), DAY(G349)) &gt; TODAY(), 1, 0))</f>
        <v>21</v>
      </c>
      <c r="I349" cm="1">
        <f t="array" ref="I349">SUMPRODUCT(--(BRON!$A$2:$A$1197=Table1[[#This Row],[Personeelsnummer]]))</f>
        <v>0</v>
      </c>
    </row>
    <row r="350" spans="1:9" x14ac:dyDescent="0.25">
      <c r="A350" s="34" t="s">
        <v>1536</v>
      </c>
      <c r="B350" s="34" t="s">
        <v>1545</v>
      </c>
      <c r="C350" s="36" t="s">
        <v>3922</v>
      </c>
      <c r="E350" s="34" t="s">
        <v>3853</v>
      </c>
      <c r="F350" s="34" t="s">
        <v>3866</v>
      </c>
      <c r="G350" s="3">
        <v>37739.083333333299</v>
      </c>
      <c r="H350" s="35">
        <f ca="1">YEAR(TODAY()) - YEAR(G350) - (IF(DATE(YEAR(TODAY()), MONTH(G350), DAY(G350)) &gt; TODAY(), 1, 0))</f>
        <v>22</v>
      </c>
      <c r="I350" cm="1">
        <f t="array" ref="I350">SUMPRODUCT(--(BRON!$A$2:$A$1197=Table1[[#This Row],[Personeelsnummer]]))</f>
        <v>0</v>
      </c>
    </row>
    <row r="351" spans="1:9" x14ac:dyDescent="0.25">
      <c r="A351" s="34" t="s">
        <v>1521</v>
      </c>
      <c r="B351" s="34" t="s">
        <v>1524</v>
      </c>
      <c r="C351" s="36" t="s">
        <v>3923</v>
      </c>
      <c r="E351" s="34" t="s">
        <v>3853</v>
      </c>
      <c r="F351" s="34" t="s">
        <v>3854</v>
      </c>
      <c r="G351" s="3">
        <v>37788.083333333299</v>
      </c>
      <c r="H351" s="35">
        <f ca="1">YEAR(TODAY()) - YEAR(G351) - (IF(DATE(YEAR(TODAY()), MONTH(G351), DAY(G351)) &gt; TODAY(), 1, 0))</f>
        <v>22</v>
      </c>
      <c r="I351" cm="1">
        <f t="array" ref="I351">SUMPRODUCT(--(BRON!$A$2:$A$1197=Table1[[#This Row],[Personeelsnummer]]))</f>
        <v>0</v>
      </c>
    </row>
    <row r="352" spans="1:9" x14ac:dyDescent="0.25">
      <c r="A352" s="34" t="s">
        <v>1960</v>
      </c>
      <c r="B352" s="34" t="s">
        <v>1976</v>
      </c>
      <c r="C352" s="36" t="s">
        <v>3924</v>
      </c>
      <c r="E352" s="34" t="s">
        <v>3857</v>
      </c>
      <c r="F352" s="34" t="s">
        <v>3871</v>
      </c>
      <c r="G352" s="3">
        <v>37886.083333333299</v>
      </c>
      <c r="H352" s="35">
        <f ca="1">YEAR(TODAY()) - YEAR(G352) - (IF(DATE(YEAR(TODAY()), MONTH(G352), DAY(G352)) &gt; TODAY(), 1, 0))</f>
        <v>22</v>
      </c>
      <c r="I352" cm="1">
        <f t="array" ref="I352">SUMPRODUCT(--(BRON!$A$2:$A$1197=Table1[[#This Row],[Personeelsnummer]]))</f>
        <v>0</v>
      </c>
    </row>
    <row r="353" spans="1:9" x14ac:dyDescent="0.25">
      <c r="A353" s="34" t="s">
        <v>1801</v>
      </c>
      <c r="B353" s="34" t="s">
        <v>1800</v>
      </c>
      <c r="C353" s="36" t="s">
        <v>3925</v>
      </c>
      <c r="E353" s="34" t="s">
        <v>3857</v>
      </c>
      <c r="F353" s="34" t="s">
        <v>3854</v>
      </c>
      <c r="G353" s="3">
        <v>37886.083333333299</v>
      </c>
      <c r="H353" s="35">
        <f ca="1">YEAR(TODAY()) - YEAR(G353) - (IF(DATE(YEAR(TODAY()), MONTH(G353), DAY(G353)) &gt; TODAY(), 1, 0))</f>
        <v>22</v>
      </c>
      <c r="I353" cm="1">
        <f t="array" ref="I353">SUMPRODUCT(--(BRON!$A$2:$A$1197=Table1[[#This Row],[Personeelsnummer]]))</f>
        <v>0</v>
      </c>
    </row>
    <row r="354" spans="1:9" x14ac:dyDescent="0.25">
      <c r="A354" s="34" t="s">
        <v>2866</v>
      </c>
      <c r="B354" s="34" t="s">
        <v>2872</v>
      </c>
      <c r="C354" s="36" t="s">
        <v>3920</v>
      </c>
      <c r="E354" s="34" t="s">
        <v>3867</v>
      </c>
      <c r="F354" s="34" t="s">
        <v>3864</v>
      </c>
      <c r="G354" s="3">
        <v>37634.041666666701</v>
      </c>
      <c r="H354" s="35">
        <f ca="1">YEAR(TODAY()) - YEAR(G354) - (IF(DATE(YEAR(TODAY()), MONTH(G354), DAY(G354)) &gt; TODAY(), 1, 0))</f>
        <v>22</v>
      </c>
      <c r="I354" cm="1">
        <f t="array" ref="I354">SUMPRODUCT(--(BRON!$A$2:$A$1197=Table1[[#This Row],[Personeelsnummer]]))</f>
        <v>0</v>
      </c>
    </row>
    <row r="355" spans="1:9" x14ac:dyDescent="0.25">
      <c r="A355" s="34" t="s">
        <v>1326</v>
      </c>
      <c r="B355" s="34" t="s">
        <v>2998</v>
      </c>
      <c r="C355" s="36" t="s">
        <v>3921</v>
      </c>
      <c r="E355" s="34" t="s">
        <v>3853</v>
      </c>
      <c r="F355" s="34" t="s">
        <v>3854</v>
      </c>
      <c r="G355" s="3">
        <v>37718.083333333299</v>
      </c>
      <c r="H355" s="35">
        <f ca="1">YEAR(TODAY()) - YEAR(G355) - (IF(DATE(YEAR(TODAY()), MONTH(G355), DAY(G355)) &gt; TODAY(), 1, 0))</f>
        <v>22</v>
      </c>
      <c r="I355" cm="1">
        <f t="array" ref="I355">SUMPRODUCT(--(BRON!$A$2:$A$1197=Table1[[#This Row],[Personeelsnummer]]))</f>
        <v>0</v>
      </c>
    </row>
    <row r="356" spans="1:9" x14ac:dyDescent="0.25">
      <c r="A356" s="34" t="s">
        <v>1504</v>
      </c>
      <c r="B356" s="34" t="s">
        <v>1503</v>
      </c>
      <c r="C356" s="36" t="s">
        <v>3913</v>
      </c>
      <c r="E356" s="34" t="s">
        <v>3860</v>
      </c>
      <c r="F356" s="34" t="s">
        <v>3866</v>
      </c>
      <c r="G356" s="3">
        <v>37397.083333333299</v>
      </c>
      <c r="H356" s="35">
        <f ca="1">YEAR(TODAY()) - YEAR(G356) - (IF(DATE(YEAR(TODAY()), MONTH(G356), DAY(G356)) &gt; TODAY(), 1, 0))</f>
        <v>23</v>
      </c>
      <c r="I356" cm="1">
        <f t="array" ref="I356">SUMPRODUCT(--(BRON!$A$2:$A$1197=Table1[[#This Row],[Personeelsnummer]]))</f>
        <v>0</v>
      </c>
    </row>
    <row r="357" spans="1:9" x14ac:dyDescent="0.25">
      <c r="A357" s="34" t="s">
        <v>1929</v>
      </c>
      <c r="B357" s="34" t="s">
        <v>1943</v>
      </c>
      <c r="C357" s="36" t="s">
        <v>3916</v>
      </c>
      <c r="E357" s="34" t="s">
        <v>3857</v>
      </c>
      <c r="F357" s="34" t="s">
        <v>3864</v>
      </c>
      <c r="G357" s="3">
        <v>37543.083333333299</v>
      </c>
      <c r="H357" s="35">
        <f ca="1">YEAR(TODAY()) - YEAR(G357) - (IF(DATE(YEAR(TODAY()), MONTH(G357), DAY(G357)) &gt; TODAY(), 1, 0))</f>
        <v>23</v>
      </c>
      <c r="I357" cm="1">
        <f t="array" ref="I357">SUMPRODUCT(--(BRON!$A$2:$A$1197=Table1[[#This Row],[Personeelsnummer]]))</f>
        <v>0</v>
      </c>
    </row>
    <row r="358" spans="1:9" x14ac:dyDescent="0.25">
      <c r="A358" s="34" t="s">
        <v>2495</v>
      </c>
      <c r="B358" s="34" t="s">
        <v>2498</v>
      </c>
      <c r="C358" s="36" t="s">
        <v>3917</v>
      </c>
      <c r="E358" s="34" t="s">
        <v>3853</v>
      </c>
      <c r="F358" s="34" t="s">
        <v>3881</v>
      </c>
      <c r="G358" s="3">
        <v>37543.083333333299</v>
      </c>
      <c r="H358" s="35">
        <f ca="1">YEAR(TODAY()) - YEAR(G358) - (IF(DATE(YEAR(TODAY()), MONTH(G358), DAY(G358)) &gt; TODAY(), 1, 0))</f>
        <v>23</v>
      </c>
      <c r="I358" cm="1">
        <f t="array" ref="I358">SUMPRODUCT(--(BRON!$A$2:$A$1197=Table1[[#This Row],[Personeelsnummer]]))</f>
        <v>0</v>
      </c>
    </row>
    <row r="359" spans="1:9" x14ac:dyDescent="0.25">
      <c r="A359" s="34" t="s">
        <v>2879</v>
      </c>
      <c r="B359" s="34" t="s">
        <v>2206</v>
      </c>
      <c r="C359" s="36" t="s">
        <v>3919</v>
      </c>
      <c r="E359" s="34" t="s">
        <v>3867</v>
      </c>
      <c r="F359" s="34" t="s">
        <v>3870</v>
      </c>
      <c r="G359" s="3">
        <v>37585.041666666701</v>
      </c>
      <c r="H359" s="35">
        <f ca="1">YEAR(TODAY()) - YEAR(G359) - (IF(DATE(YEAR(TODAY()), MONTH(G359), DAY(G359)) &gt; TODAY(), 1, 0))</f>
        <v>23</v>
      </c>
      <c r="I359" cm="1">
        <f t="array" ref="I359">SUMPRODUCT(--(BRON!$A$2:$A$1197=Table1[[#This Row],[Personeelsnummer]]))</f>
        <v>0</v>
      </c>
    </row>
    <row r="360" spans="1:9" x14ac:dyDescent="0.25">
      <c r="A360" s="34" t="s">
        <v>1677</v>
      </c>
      <c r="B360" s="34" t="s">
        <v>1554</v>
      </c>
      <c r="C360" s="36" t="s">
        <v>3912</v>
      </c>
      <c r="E360" s="34" t="s">
        <v>3857</v>
      </c>
      <c r="F360" s="34" t="s">
        <v>3870</v>
      </c>
      <c r="G360" s="3">
        <v>37284.041666666701</v>
      </c>
      <c r="H360" s="35">
        <f ca="1">YEAR(TODAY()) - YEAR(G360) - (IF(DATE(YEAR(TODAY()), MONTH(G360), DAY(G360)) &gt; TODAY(), 1, 0))</f>
        <v>23</v>
      </c>
      <c r="I360" cm="1">
        <f t="array" ref="I360">SUMPRODUCT(--(BRON!$A$2:$A$1197=Table1[[#This Row],[Personeelsnummer]]))</f>
        <v>0</v>
      </c>
    </row>
    <row r="361" spans="1:9" x14ac:dyDescent="0.25">
      <c r="A361" s="34" t="s">
        <v>1918</v>
      </c>
      <c r="B361" s="34" t="s">
        <v>1925</v>
      </c>
      <c r="C361" s="36" t="s">
        <v>3914</v>
      </c>
      <c r="E361" s="34" t="s">
        <v>3860</v>
      </c>
      <c r="F361" s="34" t="s">
        <v>3864</v>
      </c>
      <c r="G361" s="3">
        <v>37424.083333333299</v>
      </c>
      <c r="H361" s="35">
        <f ca="1">YEAR(TODAY()) - YEAR(G361) - (IF(DATE(YEAR(TODAY()), MONTH(G361), DAY(G361)) &gt; TODAY(), 1, 0))</f>
        <v>23</v>
      </c>
      <c r="I361" cm="1">
        <f t="array" ref="I361">SUMPRODUCT(--(BRON!$A$2:$A$1197=Table1[[#This Row],[Personeelsnummer]]))</f>
        <v>0</v>
      </c>
    </row>
    <row r="362" spans="1:9" x14ac:dyDescent="0.25">
      <c r="A362" s="34" t="s">
        <v>3015</v>
      </c>
      <c r="B362" s="34" t="s">
        <v>3027</v>
      </c>
      <c r="C362" s="36" t="s">
        <v>3915</v>
      </c>
      <c r="E362" s="34" t="s">
        <v>3860</v>
      </c>
      <c r="F362" s="34" t="s">
        <v>3870</v>
      </c>
      <c r="G362" s="3">
        <v>37501.083333333299</v>
      </c>
      <c r="H362" s="35">
        <f ca="1">YEAR(TODAY()) - YEAR(G362) - (IF(DATE(YEAR(TODAY()), MONTH(G362), DAY(G362)) &gt; TODAY(), 1, 0))</f>
        <v>23</v>
      </c>
      <c r="I362" cm="1">
        <f t="array" ref="I362">SUMPRODUCT(--(BRON!$A$2:$A$1197=Table1[[#This Row],[Personeelsnummer]]))</f>
        <v>0</v>
      </c>
    </row>
    <row r="363" spans="1:9" x14ac:dyDescent="0.25">
      <c r="A363" s="34" t="s">
        <v>2409</v>
      </c>
      <c r="B363" s="34" t="s">
        <v>2408</v>
      </c>
      <c r="C363" s="36" t="s">
        <v>3918</v>
      </c>
      <c r="E363" s="34" t="s">
        <v>3867</v>
      </c>
      <c r="F363" s="34" t="s">
        <v>3854</v>
      </c>
      <c r="G363" s="3">
        <v>37564.041666666701</v>
      </c>
      <c r="H363" s="35">
        <f ca="1">YEAR(TODAY()) - YEAR(G363) - (IF(DATE(YEAR(TODAY()), MONTH(G363), DAY(G363)) &gt; TODAY(), 1, 0))</f>
        <v>23</v>
      </c>
      <c r="I363" cm="1">
        <f t="array" ref="I363">SUMPRODUCT(--(BRON!$A$2:$A$1197=Table1[[#This Row],[Personeelsnummer]]))</f>
        <v>0</v>
      </c>
    </row>
    <row r="364" spans="1:9" x14ac:dyDescent="0.25">
      <c r="A364" s="34" t="s">
        <v>3124</v>
      </c>
      <c r="B364" s="34" t="s">
        <v>3009</v>
      </c>
      <c r="C364" s="36" t="s">
        <v>3907</v>
      </c>
      <c r="E364" s="34" t="s">
        <v>3853</v>
      </c>
      <c r="F364" s="34" t="s">
        <v>3881</v>
      </c>
      <c r="G364" s="3">
        <v>36948.041666666701</v>
      </c>
      <c r="H364" s="35">
        <f ca="1">YEAR(TODAY()) - YEAR(G364) - (IF(DATE(YEAR(TODAY()), MONTH(G364), DAY(G364)) &gt; TODAY(), 1, 0))</f>
        <v>24</v>
      </c>
      <c r="I364" cm="1">
        <f t="array" ref="I364">SUMPRODUCT(--(BRON!$A$2:$A$1197=Table1[[#This Row],[Personeelsnummer]]))</f>
        <v>0</v>
      </c>
    </row>
    <row r="365" spans="1:9" x14ac:dyDescent="0.25">
      <c r="A365" s="34" t="s">
        <v>2631</v>
      </c>
      <c r="B365" s="34" t="s">
        <v>1473</v>
      </c>
      <c r="C365" s="36" t="s">
        <v>3908</v>
      </c>
      <c r="E365" s="34" t="s">
        <v>3867</v>
      </c>
      <c r="F365" s="34" t="s">
        <v>3863</v>
      </c>
      <c r="G365" s="3">
        <v>36948.041666666701</v>
      </c>
      <c r="H365" s="35">
        <f ca="1">YEAR(TODAY()) - YEAR(G365) - (IF(DATE(YEAR(TODAY()), MONTH(G365), DAY(G365)) &gt; TODAY(), 1, 0))</f>
        <v>24</v>
      </c>
      <c r="I365" cm="1">
        <f t="array" ref="I365">SUMPRODUCT(--(BRON!$A$2:$A$1197=Table1[[#This Row],[Personeelsnummer]]))</f>
        <v>0</v>
      </c>
    </row>
    <row r="366" spans="1:9" x14ac:dyDescent="0.25">
      <c r="A366" s="34" t="s">
        <v>1824</v>
      </c>
      <c r="B366" s="34" t="s">
        <v>1829</v>
      </c>
      <c r="C366" s="36" t="s">
        <v>3909</v>
      </c>
      <c r="E366" s="34" t="s">
        <v>3860</v>
      </c>
      <c r="F366" s="34" t="s">
        <v>3854</v>
      </c>
      <c r="G366" s="3">
        <v>37018.083333333299</v>
      </c>
      <c r="H366" s="35">
        <f ca="1">YEAR(TODAY()) - YEAR(G366) - (IF(DATE(YEAR(TODAY()), MONTH(G366), DAY(G366)) &gt; TODAY(), 1, 0))</f>
        <v>24</v>
      </c>
      <c r="I366" cm="1">
        <f t="array" ref="I366">SUMPRODUCT(--(BRON!$A$2:$A$1197=Table1[[#This Row],[Personeelsnummer]]))</f>
        <v>0</v>
      </c>
    </row>
    <row r="367" spans="1:9" x14ac:dyDescent="0.25">
      <c r="A367" s="34" t="s">
        <v>1210</v>
      </c>
      <c r="B367" s="34" t="s">
        <v>1625</v>
      </c>
      <c r="C367" s="36" t="s">
        <v>3910</v>
      </c>
      <c r="E367" s="34" t="s">
        <v>3853</v>
      </c>
      <c r="F367" s="34" t="s">
        <v>3881</v>
      </c>
      <c r="G367" s="3">
        <v>37047.083333333299</v>
      </c>
      <c r="H367" s="35">
        <f ca="1">YEAR(TODAY()) - YEAR(G367) - (IF(DATE(YEAR(TODAY()), MONTH(G367), DAY(G367)) &gt; TODAY(), 1, 0))</f>
        <v>24</v>
      </c>
      <c r="I367" cm="1">
        <f t="array" ref="I367">SUMPRODUCT(--(BRON!$A$2:$A$1197=Table1[[#This Row],[Personeelsnummer]]))</f>
        <v>0</v>
      </c>
    </row>
    <row r="368" spans="1:9" x14ac:dyDescent="0.25">
      <c r="A368" s="34" t="s">
        <v>2427</v>
      </c>
      <c r="B368" s="34" t="s">
        <v>2433</v>
      </c>
      <c r="C368" s="36" t="s">
        <v>3911</v>
      </c>
      <c r="E368" s="34" t="s">
        <v>3853</v>
      </c>
      <c r="F368" s="34" t="s">
        <v>3866</v>
      </c>
      <c r="G368" s="3">
        <v>37214.041666666701</v>
      </c>
      <c r="H368" s="35">
        <f ca="1">YEAR(TODAY()) - YEAR(G368) - (IF(DATE(YEAR(TODAY()), MONTH(G368), DAY(G368)) &gt; TODAY(), 1, 0))</f>
        <v>24</v>
      </c>
      <c r="I368" cm="1">
        <f t="array" ref="I368">SUMPRODUCT(--(BRON!$A$2:$A$1197=Table1[[#This Row],[Personeelsnummer]]))</f>
        <v>0</v>
      </c>
    </row>
    <row r="369" spans="1:9" x14ac:dyDescent="0.25">
      <c r="A369" s="34" t="s">
        <v>1991</v>
      </c>
      <c r="B369" s="34" t="s">
        <v>1990</v>
      </c>
      <c r="C369" s="36" t="s">
        <v>3900</v>
      </c>
      <c r="E369" s="34" t="s">
        <v>3853</v>
      </c>
      <c r="F369" s="34" t="s">
        <v>3866</v>
      </c>
      <c r="G369" s="3">
        <v>36542.041666666701</v>
      </c>
      <c r="H369" s="35">
        <f ca="1">YEAR(TODAY()) - YEAR(G369) - (IF(DATE(YEAR(TODAY()), MONTH(G369), DAY(G369)) &gt; TODAY(), 1, 0))</f>
        <v>25</v>
      </c>
      <c r="I369" cm="1">
        <f t="array" ref="I369">SUMPRODUCT(--(BRON!$A$2:$A$1197=Table1[[#This Row],[Personeelsnummer]]))</f>
        <v>0</v>
      </c>
    </row>
    <row r="370" spans="1:9" x14ac:dyDescent="0.25">
      <c r="A370" s="34" t="s">
        <v>2394</v>
      </c>
      <c r="B370" s="34" t="s">
        <v>2393</v>
      </c>
      <c r="C370" s="36" t="s">
        <v>3901</v>
      </c>
      <c r="E370" s="34" t="s">
        <v>3860</v>
      </c>
      <c r="F370" s="34" t="s">
        <v>3866</v>
      </c>
      <c r="G370" s="3">
        <v>36612.083333333299</v>
      </c>
      <c r="H370" s="35">
        <f ca="1">YEAR(TODAY()) - YEAR(G370) - (IF(DATE(YEAR(TODAY()), MONTH(G370), DAY(G370)) &gt; TODAY(), 1, 0))</f>
        <v>25</v>
      </c>
      <c r="I370" cm="1">
        <f t="array" ref="I370">SUMPRODUCT(--(BRON!$A$2:$A$1197=Table1[[#This Row],[Personeelsnummer]]))</f>
        <v>0</v>
      </c>
    </row>
    <row r="371" spans="1:9" x14ac:dyDescent="0.25">
      <c r="A371" s="34" t="s">
        <v>2405</v>
      </c>
      <c r="B371" s="34" t="s">
        <v>3067</v>
      </c>
      <c r="C371" s="36" t="s">
        <v>3903</v>
      </c>
      <c r="E371" s="34" t="s">
        <v>3860</v>
      </c>
      <c r="F371" s="34" t="s">
        <v>3870</v>
      </c>
      <c r="G371" s="3">
        <v>36690.083333333299</v>
      </c>
      <c r="H371" s="35">
        <f ca="1">YEAR(TODAY()) - YEAR(G371) - (IF(DATE(YEAR(TODAY()), MONTH(G371), DAY(G371)) &gt; TODAY(), 1, 0))</f>
        <v>25</v>
      </c>
      <c r="I371" cm="1">
        <f t="array" ref="I371">SUMPRODUCT(--(BRON!$A$2:$A$1197=Table1[[#This Row],[Personeelsnummer]]))</f>
        <v>0</v>
      </c>
    </row>
    <row r="372" spans="1:9" x14ac:dyDescent="0.25">
      <c r="A372" s="34" t="s">
        <v>1341</v>
      </c>
      <c r="B372" s="34" t="s">
        <v>2256</v>
      </c>
      <c r="C372" s="36" t="s">
        <v>3904</v>
      </c>
      <c r="E372" s="34" t="s">
        <v>3853</v>
      </c>
      <c r="F372" s="34" t="s">
        <v>3866</v>
      </c>
      <c r="G372" s="3">
        <v>36759.083333333299</v>
      </c>
      <c r="H372" s="35">
        <f ca="1">YEAR(TODAY()) - YEAR(G372) - (IF(DATE(YEAR(TODAY()), MONTH(G372), DAY(G372)) &gt; TODAY(), 1, 0))</f>
        <v>25</v>
      </c>
      <c r="I372" cm="1">
        <f t="array" ref="I372">SUMPRODUCT(--(BRON!$A$2:$A$1197=Table1[[#This Row],[Personeelsnummer]]))</f>
        <v>0</v>
      </c>
    </row>
    <row r="373" spans="1:9" x14ac:dyDescent="0.25">
      <c r="A373" s="34" t="s">
        <v>2405</v>
      </c>
      <c r="B373" s="34" t="s">
        <v>3081</v>
      </c>
      <c r="C373" s="36" t="s">
        <v>3906</v>
      </c>
      <c r="E373" s="34" t="s">
        <v>3853</v>
      </c>
      <c r="F373" s="34" t="s">
        <v>3864</v>
      </c>
      <c r="G373" s="3">
        <v>36853.041666666701</v>
      </c>
      <c r="H373" s="35">
        <f ca="1">YEAR(TODAY()) - YEAR(G373) - (IF(DATE(YEAR(TODAY()), MONTH(G373), DAY(G373)) &gt; TODAY(), 1, 0))</f>
        <v>25</v>
      </c>
      <c r="I373" cm="1">
        <f t="array" ref="I373">SUMPRODUCT(--(BRON!$A$2:$A$1197=Table1[[#This Row],[Personeelsnummer]]))</f>
        <v>0</v>
      </c>
    </row>
    <row r="374" spans="1:9" x14ac:dyDescent="0.25">
      <c r="A374" s="34" t="s">
        <v>1550</v>
      </c>
      <c r="B374" s="34" t="s">
        <v>1549</v>
      </c>
      <c r="C374" s="36" t="s">
        <v>3902</v>
      </c>
      <c r="E374" s="34" t="s">
        <v>3857</v>
      </c>
      <c r="F374" s="34" t="s">
        <v>3874</v>
      </c>
      <c r="G374" s="3">
        <v>36654.083333333299</v>
      </c>
      <c r="H374" s="35">
        <f ca="1">YEAR(TODAY()) - YEAR(G374) - (IF(DATE(YEAR(TODAY()), MONTH(G374), DAY(G374)) &gt; TODAY(), 1, 0))</f>
        <v>25</v>
      </c>
      <c r="I374" cm="1">
        <f t="array" ref="I374">SUMPRODUCT(--(BRON!$A$2:$A$1197=Table1[[#This Row],[Personeelsnummer]]))</f>
        <v>0</v>
      </c>
    </row>
    <row r="375" spans="1:9" x14ac:dyDescent="0.25">
      <c r="A375" s="34" t="s">
        <v>2257</v>
      </c>
      <c r="B375" s="34" t="s">
        <v>2261</v>
      </c>
      <c r="C375" s="36" t="s">
        <v>3905</v>
      </c>
      <c r="E375" s="34" t="s">
        <v>3860</v>
      </c>
      <c r="F375" s="34" t="s">
        <v>3870</v>
      </c>
      <c r="G375" s="3">
        <v>36815.083333333299</v>
      </c>
      <c r="H375" s="35">
        <f ca="1">YEAR(TODAY()) - YEAR(G375) - (IF(DATE(YEAR(TODAY()), MONTH(G375), DAY(G375)) &gt; TODAY(), 1, 0))</f>
        <v>25</v>
      </c>
      <c r="I375" cm="1">
        <f t="array" ref="I375">SUMPRODUCT(--(BRON!$A$2:$A$1197=Table1[[#This Row],[Personeelsnummer]]))</f>
        <v>0</v>
      </c>
    </row>
    <row r="376" spans="1:9" x14ac:dyDescent="0.25">
      <c r="A376" s="34" t="s">
        <v>2265</v>
      </c>
      <c r="B376" s="34" t="s">
        <v>2264</v>
      </c>
      <c r="C376" s="36" t="s">
        <v>3893</v>
      </c>
      <c r="E376" s="34" t="s">
        <v>3894</v>
      </c>
      <c r="F376" s="34" t="s">
        <v>3874</v>
      </c>
      <c r="G376" s="3">
        <v>36227.041666666701</v>
      </c>
      <c r="H376" s="35">
        <f ca="1">YEAR(TODAY()) - YEAR(G376) - (IF(DATE(YEAR(TODAY()), MONTH(G376), DAY(G376)) &gt; TODAY(), 1, 0))</f>
        <v>26</v>
      </c>
      <c r="I376" cm="1">
        <f t="array" ref="I376">SUMPRODUCT(--(BRON!$A$2:$A$1197=Table1[[#This Row],[Personeelsnummer]]))</f>
        <v>0</v>
      </c>
    </row>
    <row r="377" spans="1:9" x14ac:dyDescent="0.25">
      <c r="A377" s="34" t="s">
        <v>2611</v>
      </c>
      <c r="B377" s="34" t="s">
        <v>2610</v>
      </c>
      <c r="C377" s="36" t="s">
        <v>3895</v>
      </c>
      <c r="E377" s="34" t="s">
        <v>3857</v>
      </c>
      <c r="F377" s="34" t="s">
        <v>3870</v>
      </c>
      <c r="G377" s="3">
        <v>36227.041666666701</v>
      </c>
      <c r="H377" s="35">
        <f ca="1">YEAR(TODAY()) - YEAR(G377) - (IF(DATE(YEAR(TODAY()), MONTH(G377), DAY(G377)) &gt; TODAY(), 1, 0))</f>
        <v>26</v>
      </c>
      <c r="I377" cm="1">
        <f t="array" ref="I377">SUMPRODUCT(--(BRON!$A$2:$A$1197=Table1[[#This Row],[Personeelsnummer]]))</f>
        <v>0</v>
      </c>
    </row>
    <row r="378" spans="1:9" x14ac:dyDescent="0.25">
      <c r="A378" s="34" t="s">
        <v>2347</v>
      </c>
      <c r="B378" s="34" t="s">
        <v>2346</v>
      </c>
      <c r="C378" s="36" t="s">
        <v>3896</v>
      </c>
      <c r="E378" s="34" t="s">
        <v>3853</v>
      </c>
      <c r="F378" s="34" t="s">
        <v>3866</v>
      </c>
      <c r="G378" s="3">
        <v>36262.083333333299</v>
      </c>
      <c r="H378" s="35">
        <f ca="1">YEAR(TODAY()) - YEAR(G378) - (IF(DATE(YEAR(TODAY()), MONTH(G378), DAY(G378)) &gt; TODAY(), 1, 0))</f>
        <v>26</v>
      </c>
      <c r="I378" cm="1">
        <f t="array" ref="I378">SUMPRODUCT(--(BRON!$A$2:$A$1197=Table1[[#This Row],[Personeelsnummer]]))</f>
        <v>0</v>
      </c>
    </row>
    <row r="379" spans="1:9" x14ac:dyDescent="0.25">
      <c r="A379" s="34" t="s">
        <v>2781</v>
      </c>
      <c r="B379" s="34" t="s">
        <v>2780</v>
      </c>
      <c r="C379" s="36" t="s">
        <v>3897</v>
      </c>
      <c r="E379" s="34" t="s">
        <v>3857</v>
      </c>
      <c r="F379" s="34" t="s">
        <v>3864</v>
      </c>
      <c r="G379" s="3">
        <v>36311.083333333299</v>
      </c>
      <c r="H379" s="35">
        <f ca="1">YEAR(TODAY()) - YEAR(G379) - (IF(DATE(YEAR(TODAY()), MONTH(G379), DAY(G379)) &gt; TODAY(), 1, 0))</f>
        <v>26</v>
      </c>
      <c r="I379" cm="1">
        <f t="array" ref="I379">SUMPRODUCT(--(BRON!$A$2:$A$1197=Table1[[#This Row],[Personeelsnummer]]))</f>
        <v>0</v>
      </c>
    </row>
    <row r="380" spans="1:9" x14ac:dyDescent="0.25">
      <c r="A380" s="34" t="s">
        <v>2065</v>
      </c>
      <c r="B380" s="34" t="s">
        <v>2064</v>
      </c>
      <c r="C380" s="36" t="s">
        <v>3899</v>
      </c>
      <c r="E380" s="34" t="s">
        <v>3853</v>
      </c>
      <c r="F380" s="34" t="s">
        <v>3866</v>
      </c>
      <c r="G380" s="3">
        <v>36388.083333333299</v>
      </c>
      <c r="H380" s="35">
        <f ca="1">YEAR(TODAY()) - YEAR(G380) - (IF(DATE(YEAR(TODAY()), MONTH(G380), DAY(G380)) &gt; TODAY(), 1, 0))</f>
        <v>26</v>
      </c>
      <c r="I380" cm="1">
        <f t="array" ref="I380">SUMPRODUCT(--(BRON!$A$2:$A$1197=Table1[[#This Row],[Personeelsnummer]]))</f>
        <v>0</v>
      </c>
    </row>
    <row r="381" spans="1:9" x14ac:dyDescent="0.25">
      <c r="A381" s="34" t="s">
        <v>2850</v>
      </c>
      <c r="B381" s="34" t="s">
        <v>1816</v>
      </c>
      <c r="C381" s="36" t="s">
        <v>3898</v>
      </c>
      <c r="E381" s="34" t="s">
        <v>3867</v>
      </c>
      <c r="F381" s="34" t="s">
        <v>3864</v>
      </c>
      <c r="G381" s="3">
        <v>36332.083333333299</v>
      </c>
      <c r="H381" s="35">
        <f ca="1">YEAR(TODAY()) - YEAR(G381) - (IF(DATE(YEAR(TODAY()), MONTH(G381), DAY(G381)) &gt; TODAY(), 1, 0))</f>
        <v>26</v>
      </c>
      <c r="I381" cm="1">
        <f t="array" ref="I381">SUMPRODUCT(--(BRON!$A$2:$A$1197=Table1[[#This Row],[Personeelsnummer]]))</f>
        <v>0</v>
      </c>
    </row>
    <row r="382" spans="1:9" x14ac:dyDescent="0.25">
      <c r="A382" s="34" t="s">
        <v>1536</v>
      </c>
      <c r="B382" s="34" t="s">
        <v>1535</v>
      </c>
      <c r="C382" s="36" t="s">
        <v>3890</v>
      </c>
      <c r="E382" s="34" t="s">
        <v>3857</v>
      </c>
      <c r="F382" s="34" t="s">
        <v>3874</v>
      </c>
      <c r="G382" s="3">
        <v>35891.083333333299</v>
      </c>
      <c r="H382" s="35">
        <f ca="1">YEAR(TODAY()) - YEAR(G382) - (IF(DATE(YEAR(TODAY()), MONTH(G382), DAY(G382)) &gt; TODAY(), 1, 0))</f>
        <v>27</v>
      </c>
      <c r="I382" cm="1">
        <f t="array" ref="I382">SUMPRODUCT(--(BRON!$A$2:$A$1197=Table1[[#This Row],[Personeelsnummer]]))</f>
        <v>0</v>
      </c>
    </row>
    <row r="383" spans="1:9" x14ac:dyDescent="0.25">
      <c r="A383" s="34" t="s">
        <v>1452</v>
      </c>
      <c r="B383" s="34" t="s">
        <v>1451</v>
      </c>
      <c r="C383" s="36" t="s">
        <v>3891</v>
      </c>
      <c r="E383" s="34" t="s">
        <v>3857</v>
      </c>
      <c r="F383" s="34" t="s">
        <v>3864</v>
      </c>
      <c r="G383" s="3">
        <v>35948.083333333299</v>
      </c>
      <c r="H383" s="35">
        <f ca="1">YEAR(TODAY()) - YEAR(G383) - (IF(DATE(YEAR(TODAY()), MONTH(G383), DAY(G383)) &gt; TODAY(), 1, 0))</f>
        <v>27</v>
      </c>
      <c r="I383" cm="1">
        <f t="array" ref="I383">SUMPRODUCT(--(BRON!$A$2:$A$1197=Table1[[#This Row],[Personeelsnummer]]))</f>
        <v>0</v>
      </c>
    </row>
    <row r="384" spans="1:9" x14ac:dyDescent="0.25">
      <c r="A384" s="34" t="s">
        <v>2679</v>
      </c>
      <c r="B384" s="34" t="s">
        <v>2678</v>
      </c>
      <c r="C384" s="36" t="s">
        <v>3892</v>
      </c>
      <c r="E384" s="34" t="s">
        <v>3853</v>
      </c>
      <c r="F384" s="34" t="s">
        <v>3854</v>
      </c>
      <c r="G384" s="3">
        <v>36080.083333333299</v>
      </c>
      <c r="H384" s="35">
        <f ca="1">YEAR(TODAY()) - YEAR(G384) - (IF(DATE(YEAR(TODAY()), MONTH(G384), DAY(G384)) &gt; TODAY(), 1, 0))</f>
        <v>27</v>
      </c>
      <c r="I384" cm="1">
        <f t="array" ref="I384">SUMPRODUCT(--(BRON!$A$2:$A$1197=Table1[[#This Row],[Personeelsnummer]]))</f>
        <v>0</v>
      </c>
    </row>
    <row r="385" spans="1:9" x14ac:dyDescent="0.25">
      <c r="A385" s="34" t="s">
        <v>3055</v>
      </c>
      <c r="B385" s="34" t="s">
        <v>3054</v>
      </c>
      <c r="C385" s="36" t="s">
        <v>3886</v>
      </c>
      <c r="E385" s="34" t="s">
        <v>3857</v>
      </c>
      <c r="F385" s="34" t="s">
        <v>3854</v>
      </c>
      <c r="G385" s="3">
        <v>35478.041666666701</v>
      </c>
      <c r="H385" s="35">
        <f ca="1">YEAR(TODAY()) - YEAR(G385) - (IF(DATE(YEAR(TODAY()), MONTH(G385), DAY(G385)) &gt; TODAY(), 1, 0))</f>
        <v>28</v>
      </c>
      <c r="I385" cm="1">
        <f t="array" ref="I385">SUMPRODUCT(--(BRON!$A$2:$A$1197=Table1[[#This Row],[Personeelsnummer]]))</f>
        <v>0</v>
      </c>
    </row>
    <row r="386" spans="1:9" x14ac:dyDescent="0.25">
      <c r="A386" s="34" t="s">
        <v>3092</v>
      </c>
      <c r="B386" s="34" t="s">
        <v>3091</v>
      </c>
      <c r="C386" s="36" t="s">
        <v>3887</v>
      </c>
      <c r="E386" s="34" t="s">
        <v>3857</v>
      </c>
      <c r="F386" s="34" t="s">
        <v>3870</v>
      </c>
      <c r="G386" s="3">
        <v>35478.041666666701</v>
      </c>
      <c r="H386" s="35">
        <f ca="1">YEAR(TODAY()) - YEAR(G386) - (IF(DATE(YEAR(TODAY()), MONTH(G386), DAY(G386)) &gt; TODAY(), 1, 0))</f>
        <v>28</v>
      </c>
      <c r="I386" cm="1">
        <f t="array" ref="I386">SUMPRODUCT(--(BRON!$A$2:$A$1197=Table1[[#This Row],[Personeelsnummer]]))</f>
        <v>0</v>
      </c>
    </row>
    <row r="387" spans="1:9" x14ac:dyDescent="0.25">
      <c r="A387" s="34" t="s">
        <v>1824</v>
      </c>
      <c r="B387" s="34" t="s">
        <v>979</v>
      </c>
      <c r="C387" s="36" t="s">
        <v>3888</v>
      </c>
      <c r="E387" s="34" t="s">
        <v>3857</v>
      </c>
      <c r="F387" s="34" t="s">
        <v>3874</v>
      </c>
      <c r="G387" s="3">
        <v>35513.041666666701</v>
      </c>
      <c r="H387" s="35">
        <f ca="1">YEAR(TODAY()) - YEAR(G387) - (IF(DATE(YEAR(TODAY()), MONTH(G387), DAY(G387)) &gt; TODAY(), 1, 0))</f>
        <v>28</v>
      </c>
      <c r="I387" cm="1">
        <f t="array" ref="I387">SUMPRODUCT(--(BRON!$A$2:$A$1197=Table1[[#This Row],[Personeelsnummer]]))</f>
        <v>0</v>
      </c>
    </row>
    <row r="388" spans="1:9" x14ac:dyDescent="0.25">
      <c r="A388" s="34" t="s">
        <v>2931</v>
      </c>
      <c r="B388" s="34" t="s">
        <v>2397</v>
      </c>
      <c r="C388" s="36" t="s">
        <v>3889</v>
      </c>
      <c r="E388" s="34" t="s">
        <v>3857</v>
      </c>
      <c r="F388" s="34" t="s">
        <v>3874</v>
      </c>
      <c r="G388" s="3">
        <v>35723.083333333299</v>
      </c>
      <c r="H388" s="35">
        <f ca="1">YEAR(TODAY()) - YEAR(G388) - (IF(DATE(YEAR(TODAY()), MONTH(G388), DAY(G388)) &gt; TODAY(), 1, 0))</f>
        <v>28</v>
      </c>
      <c r="I388" cm="1">
        <f t="array" ref="I388">SUMPRODUCT(--(BRON!$A$2:$A$1197=Table1[[#This Row],[Personeelsnummer]]))</f>
        <v>0</v>
      </c>
    </row>
    <row r="389" spans="1:9" x14ac:dyDescent="0.25">
      <c r="A389" s="34" t="s">
        <v>2579</v>
      </c>
      <c r="B389" s="34" t="s">
        <v>2578</v>
      </c>
      <c r="C389" s="36" t="s">
        <v>3882</v>
      </c>
      <c r="E389" s="34" t="s">
        <v>3867</v>
      </c>
      <c r="F389" s="34" t="s">
        <v>3870</v>
      </c>
      <c r="G389" s="3">
        <v>35219.083333333299</v>
      </c>
      <c r="H389" s="35">
        <f ca="1">YEAR(TODAY()) - YEAR(G389) - (IF(DATE(YEAR(TODAY()), MONTH(G389), DAY(G389)) &gt; TODAY(), 1, 0))</f>
        <v>29</v>
      </c>
      <c r="I389" cm="1">
        <f t="array" ref="I389">SUMPRODUCT(--(BRON!$A$2:$A$1197=Table1[[#This Row],[Personeelsnummer]]))</f>
        <v>0</v>
      </c>
    </row>
    <row r="390" spans="1:9" x14ac:dyDescent="0.25">
      <c r="A390" s="34" t="s">
        <v>3347</v>
      </c>
      <c r="B390" s="34" t="s">
        <v>3346</v>
      </c>
      <c r="C390" s="36" t="s">
        <v>3884</v>
      </c>
      <c r="E390" s="34" t="s">
        <v>3860</v>
      </c>
      <c r="F390" s="34" t="s">
        <v>3866</v>
      </c>
      <c r="G390" s="3">
        <v>35303.083333333299</v>
      </c>
      <c r="H390" s="35">
        <f ca="1">YEAR(TODAY()) - YEAR(G390) - (IF(DATE(YEAR(TODAY()), MONTH(G390), DAY(G390)) &gt; TODAY(), 1, 0))</f>
        <v>29</v>
      </c>
      <c r="I390" cm="1">
        <f t="array" ref="I390">SUMPRODUCT(--(BRON!$A$2:$A$1197=Table1[[#This Row],[Personeelsnummer]]))</f>
        <v>0</v>
      </c>
    </row>
    <row r="391" spans="1:9" x14ac:dyDescent="0.25">
      <c r="A391" s="34" t="s">
        <v>2296</v>
      </c>
      <c r="B391" s="34" t="s">
        <v>2295</v>
      </c>
      <c r="C391" s="36" t="s">
        <v>3885</v>
      </c>
      <c r="E391" s="34" t="s">
        <v>3867</v>
      </c>
      <c r="F391" s="34" t="s">
        <v>3854</v>
      </c>
      <c r="G391" s="3">
        <v>35394.041666666701</v>
      </c>
      <c r="H391" s="35">
        <f ca="1">YEAR(TODAY()) - YEAR(G391) - (IF(DATE(YEAR(TODAY()), MONTH(G391), DAY(G391)) &gt; TODAY(), 1, 0))</f>
        <v>29</v>
      </c>
      <c r="I391" cm="1">
        <f t="array" ref="I391">SUMPRODUCT(--(BRON!$A$2:$A$1197=Table1[[#This Row],[Personeelsnummer]]))</f>
        <v>0</v>
      </c>
    </row>
    <row r="392" spans="1:9" x14ac:dyDescent="0.25">
      <c r="A392" s="34" t="s">
        <v>1842</v>
      </c>
      <c r="B392" s="34" t="s">
        <v>1841</v>
      </c>
      <c r="C392" s="36" t="s">
        <v>3880</v>
      </c>
      <c r="E392" s="34" t="s">
        <v>3857</v>
      </c>
      <c r="F392" s="34" t="s">
        <v>3881</v>
      </c>
      <c r="G392" s="3">
        <v>35065.041666666701</v>
      </c>
      <c r="H392" s="35">
        <f ca="1">YEAR(TODAY()) - YEAR(G392) - (IF(DATE(YEAR(TODAY()), MONTH(G392), DAY(G392)) &gt; TODAY(), 1, 0))</f>
        <v>29</v>
      </c>
      <c r="I392" cm="1">
        <f t="array" ref="I392">SUMPRODUCT(--(BRON!$A$2:$A$1197=Table1[[#This Row],[Personeelsnummer]]))</f>
        <v>0</v>
      </c>
    </row>
    <row r="393" spans="1:9" x14ac:dyDescent="0.25">
      <c r="A393" s="34" t="s">
        <v>3329</v>
      </c>
      <c r="B393" s="34" t="s">
        <v>3328</v>
      </c>
      <c r="C393" s="36" t="s">
        <v>3883</v>
      </c>
      <c r="E393" s="34" t="s">
        <v>3867</v>
      </c>
      <c r="F393" s="34" t="s">
        <v>3866</v>
      </c>
      <c r="G393" s="3">
        <v>35219.083333333299</v>
      </c>
      <c r="H393" s="35">
        <f ca="1">YEAR(TODAY()) - YEAR(G393) - (IF(DATE(YEAR(TODAY()), MONTH(G393), DAY(G393)) &gt; TODAY(), 1, 0))</f>
        <v>29</v>
      </c>
      <c r="I393" cm="1">
        <f t="array" ref="I393">SUMPRODUCT(--(BRON!$A$2:$A$1197=Table1[[#This Row],[Personeelsnummer]]))</f>
        <v>0</v>
      </c>
    </row>
    <row r="394" spans="1:9" x14ac:dyDescent="0.25">
      <c r="A394" s="34" t="s">
        <v>3045</v>
      </c>
      <c r="B394" s="34" t="s">
        <v>2350</v>
      </c>
      <c r="C394" s="36" t="s">
        <v>3879</v>
      </c>
      <c r="E394" s="34" t="s">
        <v>3860</v>
      </c>
      <c r="F394" s="34" t="s">
        <v>3863</v>
      </c>
      <c r="G394" s="3">
        <v>34932.083333333299</v>
      </c>
      <c r="H394" s="35">
        <f ca="1">YEAR(TODAY()) - YEAR(G394) - (IF(DATE(YEAR(TODAY()), MONTH(G394), DAY(G394)) &gt; TODAY(), 1, 0))</f>
        <v>30</v>
      </c>
      <c r="I394" cm="1">
        <f t="array" ref="I394">SUMPRODUCT(--(BRON!$A$2:$A$1197=Table1[[#This Row],[Personeelsnummer]]))</f>
        <v>0</v>
      </c>
    </row>
    <row r="395" spans="1:9" x14ac:dyDescent="0.25">
      <c r="A395" s="34" t="s">
        <v>3329</v>
      </c>
      <c r="B395" s="34" t="s">
        <v>1255</v>
      </c>
      <c r="C395" s="36" t="s">
        <v>3878</v>
      </c>
      <c r="E395" s="34" t="s">
        <v>3860</v>
      </c>
      <c r="F395" s="34" t="s">
        <v>3870</v>
      </c>
      <c r="G395" s="3">
        <v>34008.041666666701</v>
      </c>
      <c r="H395" s="35">
        <f ca="1">YEAR(TODAY()) - YEAR(G395) - (IF(DATE(YEAR(TODAY()), MONTH(G395), DAY(G395)) &gt; TODAY(), 1, 0))</f>
        <v>32</v>
      </c>
      <c r="I395" cm="1">
        <f t="array" ref="I395">SUMPRODUCT(--(BRON!$A$2:$A$1197=Table1[[#This Row],[Personeelsnummer]]))</f>
        <v>0</v>
      </c>
    </row>
    <row r="396" spans="1:9" x14ac:dyDescent="0.25">
      <c r="A396" s="34" t="s">
        <v>1911</v>
      </c>
      <c r="B396" s="34" t="s">
        <v>1910</v>
      </c>
      <c r="C396" s="36" t="s">
        <v>3875</v>
      </c>
      <c r="E396" s="34" t="s">
        <v>3857</v>
      </c>
      <c r="F396" s="34" t="s">
        <v>3874</v>
      </c>
      <c r="G396" s="3">
        <v>33609.041666666701</v>
      </c>
      <c r="H396" s="35">
        <f ca="1">YEAR(TODAY()) - YEAR(G396) - (IF(DATE(YEAR(TODAY()), MONTH(G396), DAY(G396)) &gt; TODAY(), 1, 0))</f>
        <v>33</v>
      </c>
      <c r="I396" cm="1">
        <f t="array" ref="I396">SUMPRODUCT(--(BRON!$A$2:$A$1197=Table1[[#This Row],[Personeelsnummer]]))</f>
        <v>0</v>
      </c>
    </row>
    <row r="397" spans="1:9" x14ac:dyDescent="0.25">
      <c r="A397" s="34" t="s">
        <v>1782</v>
      </c>
      <c r="B397" s="34" t="s">
        <v>1781</v>
      </c>
      <c r="C397" s="36" t="s">
        <v>3877</v>
      </c>
      <c r="E397" s="34" t="s">
        <v>3867</v>
      </c>
      <c r="F397" s="34" t="s">
        <v>3866</v>
      </c>
      <c r="G397" s="3">
        <v>33742.083333333299</v>
      </c>
      <c r="H397" s="35">
        <f ca="1">YEAR(TODAY()) - YEAR(G397) - (IF(DATE(YEAR(TODAY()), MONTH(G397), DAY(G397)) &gt; TODAY(), 1, 0))</f>
        <v>33</v>
      </c>
      <c r="I397" cm="1">
        <f t="array" ref="I397">SUMPRODUCT(--(BRON!$A$2:$A$1197=Table1[[#This Row],[Personeelsnummer]]))</f>
        <v>0</v>
      </c>
    </row>
    <row r="398" spans="1:9" x14ac:dyDescent="0.25">
      <c r="A398" s="34" t="s">
        <v>2675</v>
      </c>
      <c r="B398" s="34" t="s">
        <v>2674</v>
      </c>
      <c r="C398" s="36" t="s">
        <v>3876</v>
      </c>
      <c r="E398" s="34" t="s">
        <v>3853</v>
      </c>
      <c r="F398" s="34" t="s">
        <v>3854</v>
      </c>
      <c r="G398" s="3">
        <v>33707.083333333299</v>
      </c>
      <c r="H398" s="35">
        <f ca="1">YEAR(TODAY()) - YEAR(G398) - (IF(DATE(YEAR(TODAY()), MONTH(G398), DAY(G398)) &gt; TODAY(), 1, 0))</f>
        <v>33</v>
      </c>
      <c r="I398" cm="1">
        <f t="array" ref="I398">SUMPRODUCT(--(BRON!$A$2:$A$1197=Table1[[#This Row],[Personeelsnummer]]))</f>
        <v>0</v>
      </c>
    </row>
    <row r="399" spans="1:9" x14ac:dyDescent="0.25">
      <c r="A399" s="34" t="s">
        <v>1351</v>
      </c>
      <c r="B399" s="34" t="s">
        <v>3276</v>
      </c>
      <c r="C399" s="36" t="s">
        <v>3872</v>
      </c>
      <c r="E399" s="34" t="s">
        <v>3867</v>
      </c>
      <c r="F399" s="34" t="s">
        <v>3866</v>
      </c>
      <c r="G399" s="3">
        <v>33287.041666666701</v>
      </c>
      <c r="H399" s="35">
        <f ca="1">YEAR(TODAY()) - YEAR(G399) - (IF(DATE(YEAR(TODAY()), MONTH(G399), DAY(G399)) &gt; TODAY(), 1, 0))</f>
        <v>34</v>
      </c>
      <c r="I399" cm="1">
        <f t="array" ref="I399">SUMPRODUCT(--(BRON!$A$2:$A$1197=Table1[[#This Row],[Personeelsnummer]]))</f>
        <v>0</v>
      </c>
    </row>
    <row r="400" spans="1:9" x14ac:dyDescent="0.25">
      <c r="A400" s="34" t="s">
        <v>1605</v>
      </c>
      <c r="B400" s="34" t="s">
        <v>1560</v>
      </c>
      <c r="C400" s="36" t="s">
        <v>3873</v>
      </c>
      <c r="E400" s="34" t="s">
        <v>3857</v>
      </c>
      <c r="F400" s="34" t="s">
        <v>3874</v>
      </c>
      <c r="G400" s="3">
        <v>33546.041666666701</v>
      </c>
      <c r="H400" s="35">
        <f ca="1">YEAR(TODAY()) - YEAR(G400) - (IF(DATE(YEAR(TODAY()), MONTH(G400), DAY(G400)) &gt; TODAY(), 1, 0))</f>
        <v>34</v>
      </c>
      <c r="I400" cm="1">
        <f t="array" ref="I400">SUMPRODUCT(--(BRON!$A$2:$A$1197=Table1[[#This Row],[Personeelsnummer]]))</f>
        <v>0</v>
      </c>
    </row>
    <row r="401" spans="1:9" x14ac:dyDescent="0.25">
      <c r="A401" s="34" t="s">
        <v>2562</v>
      </c>
      <c r="B401" s="34" t="s">
        <v>2561</v>
      </c>
      <c r="C401" s="36" t="s">
        <v>3868</v>
      </c>
      <c r="E401" s="34" t="s">
        <v>3860</v>
      </c>
      <c r="F401" s="34" t="s">
        <v>3866</v>
      </c>
      <c r="G401" s="3">
        <v>32644.083333333299</v>
      </c>
      <c r="H401" s="35">
        <f ca="1">YEAR(TODAY()) - YEAR(G401) - (IF(DATE(YEAR(TODAY()), MONTH(G401), DAY(G401)) &gt; TODAY(), 1, 0))</f>
        <v>36</v>
      </c>
      <c r="I401" cm="1">
        <f t="array" ref="I401">SUMPRODUCT(--(BRON!$A$2:$A$1197=Table1[[#This Row],[Personeelsnummer]]))</f>
        <v>0</v>
      </c>
    </row>
    <row r="402" spans="1:9" x14ac:dyDescent="0.25">
      <c r="A402" s="34" t="s">
        <v>2581</v>
      </c>
      <c r="B402" s="34" t="s">
        <v>1950</v>
      </c>
      <c r="C402" s="36" t="s">
        <v>3869</v>
      </c>
      <c r="E402" s="34" t="s">
        <v>3860</v>
      </c>
      <c r="F402" s="34" t="s">
        <v>3870</v>
      </c>
      <c r="G402" s="3">
        <v>32797.083333333299</v>
      </c>
      <c r="H402" s="35">
        <f ca="1">YEAR(TODAY()) - YEAR(G402) - (IF(DATE(YEAR(TODAY()), MONTH(G402), DAY(G402)) &gt; TODAY(), 1, 0))</f>
        <v>36</v>
      </c>
      <c r="I402" cm="1">
        <f t="array" ref="I402">SUMPRODUCT(--(BRON!$A$2:$A$1197=Table1[[#This Row],[Personeelsnummer]]))</f>
        <v>0</v>
      </c>
    </row>
    <row r="403" spans="1:9" x14ac:dyDescent="0.25">
      <c r="A403" s="34" t="s">
        <v>2968</v>
      </c>
      <c r="B403" s="34" t="s">
        <v>2967</v>
      </c>
      <c r="C403" s="36" t="s">
        <v>3865</v>
      </c>
      <c r="E403" s="34" t="s">
        <v>3860</v>
      </c>
      <c r="F403" s="34" t="s">
        <v>3866</v>
      </c>
      <c r="G403" s="3">
        <v>32223.041666666701</v>
      </c>
      <c r="H403" s="35">
        <f ca="1">YEAR(TODAY()) - YEAR(G403) - (IF(DATE(YEAR(TODAY()), MONTH(G403), DAY(G403)) &gt; TODAY(), 1, 0))</f>
        <v>37</v>
      </c>
      <c r="I403" cm="1">
        <f t="array" ref="I403">SUMPRODUCT(--(BRON!$A$2:$A$1197=Table1[[#This Row],[Personeelsnummer]]))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E2:E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D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2025-12-01T09:24:53Z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