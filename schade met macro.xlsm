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69" documentId="13_ncr:1_{BC833B0D-2F54-40DF-A6AF-902741D0EBA0}" xr6:coauthVersionLast="47" xr6:coauthVersionMax="47" xr10:uidLastSave="{7F133F7B-6E83-4499-AAE5-A36C900D1A37}"/>
  <bookViews>
    <workbookView xWindow="-108" yWindow="-108" windowWidth="30768" windowHeight="17628" tabRatio="656" activeTab="5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62" i="1" l="1"/>
  <c r="B863" i="1"/>
  <c r="B864" i="1"/>
  <c r="B865" i="1"/>
  <c r="C865" i="1"/>
  <c r="D865" i="1"/>
  <c r="E865" i="1"/>
  <c r="S865" i="1"/>
  <c r="C864" i="1"/>
  <c r="D864" i="1"/>
  <c r="E864" i="1"/>
  <c r="S864" i="1"/>
  <c r="C863" i="1"/>
  <c r="D863" i="1"/>
  <c r="E863" i="1"/>
  <c r="S863" i="1"/>
  <c r="C862" i="1"/>
  <c r="D862" i="1"/>
  <c r="E862" i="1"/>
  <c r="S862" i="1"/>
  <c r="C861" i="1"/>
  <c r="B861" i="1" s="1"/>
  <c r="D861" i="1"/>
  <c r="E861" i="1"/>
  <c r="S861" i="1"/>
  <c r="C860" i="1"/>
  <c r="D860" i="1"/>
  <c r="E860" i="1"/>
  <c r="S860" i="1"/>
  <c r="B860" i="1" l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<sst xmlns="http://schemas.openxmlformats.org/spreadsheetml/2006/main" count="7812" uniqueCount="3602">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</sst>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26">
      <filters blank="1"/>
    </filterColumn>
  </autoFilter>
  <sortState xmlns:xlrd2="http://schemas.microsoft.com/office/spreadsheetml/2017/richdata2" ref="A2:AA860">
    <sortCondition ref="T1:T86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9" totalsRowShown="0">
  <autoFilter ref="A1:C39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table" Target="../tables/table3.xm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zoomScale="85" zoomScaleNormal="85" workbookViewId="0">
      <pane ySplit="1" topLeftCell="A481" activePane="bottomLeft" state="frozen"/>
      <selection activeCell="F1" sqref="F1"/>
      <selection pane="bottomLeft" activeCell="A862" sqref="A862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 t="s">
        <v>3592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 t="s">
        <v>3592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 t="s">
        <v>3592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 t="s">
        <v>3592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 t="s">
        <v>3592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3593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3593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3593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3593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3593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3593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3593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3593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3593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3593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3593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3593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Z814">
        <v>5927</v>
      </c>
      <c r="AA814" s="39" t="s">
        <v>3592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Z815">
        <v>5769</v>
      </c>
      <c r="AA815" s="39" t="s">
        <v>3592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 t="s">
        <v>3592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Z817">
        <v>5929</v>
      </c>
      <c r="AA817" s="39" t="s">
        <v>3592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Z818">
        <v>5924</v>
      </c>
      <c r="AA818" s="39" t="s">
        <v>3592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 t="s">
        <v>3592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Z820">
        <v>5910</v>
      </c>
      <c r="AA820" s="39" t="s">
        <v>3592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Z821">
        <v>5920</v>
      </c>
      <c r="AA821" s="39" t="s">
        <v>3592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Z822">
        <v>5928</v>
      </c>
      <c r="AA822" s="39" t="s">
        <v>3592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Z823">
        <v>5916</v>
      </c>
      <c r="AA823" s="39" t="s">
        <v>3592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 t="s">
        <v>3592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 t="s">
        <v>3592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Z826">
        <v>5271</v>
      </c>
      <c r="AA826" s="39" t="s">
        <v>3592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3593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Z828">
        <v>5909</v>
      </c>
      <c r="AA828" s="39" t="s">
        <v>3592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Z829">
        <v>5489</v>
      </c>
      <c r="AA829" s="39" t="s">
        <v>3592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 t="s">
        <v>3592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3593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Z832">
        <v>5928</v>
      </c>
      <c r="AA832" s="39" t="s">
        <v>3592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 t="s">
        <v>3592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 t="s">
        <v>3592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Z835">
        <v>5919</v>
      </c>
      <c r="AA835" s="39" t="s">
        <v>3592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 t="s">
        <v>3592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Z837">
        <v>8138</v>
      </c>
      <c r="AA837" s="39" t="s">
        <v>3592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Z838">
        <v>7897</v>
      </c>
      <c r="AA838" s="39" t="s">
        <v>3592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Z839">
        <v>5927</v>
      </c>
      <c r="AA839" s="39" t="s">
        <v>3592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Z840">
        <v>8232</v>
      </c>
      <c r="AA840" s="39" t="s">
        <v>3592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 t="s">
        <v>3592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Z842">
        <v>5771</v>
      </c>
      <c r="AA842" s="39" t="s">
        <v>3592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 t="s">
        <v>3592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Z844">
        <v>2546</v>
      </c>
      <c r="AA844" s="39" t="s">
        <v>3592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 t="s">
        <v>3592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Z846">
        <v>5938</v>
      </c>
      <c r="AA846" s="39" t="s">
        <v>3592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 t="s">
        <v>3592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Z848">
        <v>5921</v>
      </c>
      <c r="AA848" s="39" t="s">
        <v>3592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Z849">
        <v>5923</v>
      </c>
      <c r="AA849" s="39" t="s">
        <v>3592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 t="s">
        <v>3592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 t="s">
        <v>3592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 t="s">
        <v>3592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3545</v>
      </c>
      <c r="Y853" t="s">
        <v>16</v>
      </c>
      <c r="Z853">
        <v>5924</v>
      </c>
      <c r="AA853" s="39" t="s">
        <v>3593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 t="s">
        <v>3592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 t="s">
        <v>3592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 t="s">
        <v>3592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 t="s">
        <v>3593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  <c r="AA858" s="39" t="s">
        <v>3592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3596</v>
      </c>
      <c r="V859" s="24">
        <v>1</v>
      </c>
      <c r="W859" s="24"/>
      <c r="X859" t="s">
        <v>3546</v>
      </c>
      <c r="Y859" t="s">
        <v>48</v>
      </c>
      <c r="Z859">
        <v>5265</v>
      </c>
      <c r="AA859" s="39" t="s">
        <v>3592</v>
      </c>
    </row>
    <row r="860" spans="1:27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3597</v>
      </c>
      <c r="V860" s="24"/>
      <c r="W860" s="24"/>
      <c r="X860" t="s">
        <v>3545</v>
      </c>
      <c r="Y860" t="s">
        <v>3598</v>
      </c>
      <c r="Z860">
        <v>5913</v>
      </c>
      <c r="AA860" s="39" t="s">
        <v>3592</v>
      </c>
    </row>
    <row r="861" spans="1:27" x14ac:dyDescent="0.3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3601</v>
      </c>
      <c r="V861" s="24">
        <v>1</v>
      </c>
      <c r="W861" s="24"/>
      <c r="X861" t="s">
        <v>3546</v>
      </c>
      <c r="Y861" t="s">
        <v>100</v>
      </c>
      <c r="Z861">
        <v>2193</v>
      </c>
      <c r="AA861" s="39" t="s">
        <v>3592</v>
      </c>
    </row>
    <row r="862" spans="1:27" x14ac:dyDescent="0.3">
      <c r="B862" t="e">
        <f>_xlfn.CONCAT(bron[[#This Row],[personeelsnr]]," ",bron[[#This Row],[achternaam]]," ",bron[[#This Row],[voornaam]])</f>
        <v>#N/A</v>
      </c>
      <c r="C862" t="e">
        <f>VLOOKUP(bron[[#This Row],[personeelsnr]],'data hastus'!$A:$C,2,0)</f>
        <v>#N/A</v>
      </c>
      <c r="D862" t="e">
        <f>VLOOKUP(bron[[#This Row],[personeelsnr]],'data hastus'!$A:$C,3,0)</f>
        <v>#N/A</v>
      </c>
      <c r="E862" t="e">
        <f>VLOOKUP(bron[[#This Row],[personeelsnr]],'data hastus'!A:K,11,FALSE)</f>
        <v>#N/A</v>
      </c>
      <c r="F862" s="10"/>
      <c r="G862" s="7"/>
      <c r="H862" s="7"/>
      <c r="I862" s="7"/>
      <c r="S862" s="5">
        <f>SUM(bron[[#This Row],[Januari]:[December]])</f>
        <v>0</v>
      </c>
      <c r="V862" s="24"/>
      <c r="W862" s="24"/>
    </row>
    <row r="863" spans="1:27" x14ac:dyDescent="0.3">
      <c r="B863" t="e">
        <f>_xlfn.CONCAT(bron[[#This Row],[personeelsnr]]," ",bron[[#This Row],[achternaam]]," ",bron[[#This Row],[voornaam]])</f>
        <v>#N/A</v>
      </c>
      <c r="C863" t="e">
        <f>VLOOKUP(bron[[#This Row],[personeelsnr]],'data hastus'!$A:$C,2,0)</f>
        <v>#N/A</v>
      </c>
      <c r="D863" t="e">
        <f>VLOOKUP(bron[[#This Row],[personeelsnr]],'data hastus'!$A:$C,3,0)</f>
        <v>#N/A</v>
      </c>
      <c r="E863" t="e">
        <f>VLOOKUP(bron[[#This Row],[personeelsnr]],'data hastus'!A:K,11,FALSE)</f>
        <v>#N/A</v>
      </c>
      <c r="F863" s="10"/>
      <c r="G863" s="7"/>
      <c r="H863" s="7"/>
      <c r="I863" s="7"/>
      <c r="S863" s="5">
        <f>SUM(bron[[#This Row],[Januari]:[December]])</f>
        <v>0</v>
      </c>
      <c r="V863" s="24"/>
      <c r="W863" s="24"/>
    </row>
    <row r="864" spans="1:27" x14ac:dyDescent="0.3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x14ac:dyDescent="0.3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9"/>
  <sheetViews>
    <sheetView topLeftCell="A2" workbookViewId="0">
      <selection activeCell="L34" sqref="L34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  <row r="38" spans="1:3" x14ac:dyDescent="0.3">
      <c r="A38">
        <v>90649</v>
      </c>
      <c r="B38" t="s">
        <v>2621</v>
      </c>
      <c r="C38" s="8" t="s">
        <v>3599</v>
      </c>
    </row>
    <row r="39" spans="1:3" x14ac:dyDescent="0.3">
      <c r="A39">
        <v>23079</v>
      </c>
      <c r="B39" t="s">
        <v>3576</v>
      </c>
      <c r="C39" s="8" t="s">
        <v>3600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</hyperlinks>
  <pageMargins left="0.7" right="0.7" top="0.75" bottom="0.75" header="0.3" footer="0.3"/>
  <tableParts count="1">
    <tablePart r:id="rId3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tabSelected="1"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2025-09-18T15:43:48Z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