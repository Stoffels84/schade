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86" documentId="13_ncr:1_{10FCACA5-8197-478D-90D3-5F83063FB753}" xr6:coauthVersionLast="47" xr6:coauthVersionMax="47" xr10:uidLastSave="{11704BCA-4A09-47B6-A633-A78F22C6456D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937" i="1" l="1"/>
  <c r="C944" i="1" l="1"/>
  <c r="B944" i="1" s="1"/>
  <c r="D944" i="1"/>
  <c r="E944" i="1"/>
  <c r="S944" i="1"/>
  <c r="C943" i="1"/>
  <c r="B943" i="1" s="1"/>
  <c r="D943" i="1"/>
  <c r="E943" i="1"/>
  <c r="S943" i="1"/>
  <c r="C942" i="1"/>
  <c r="B942" i="1" s="1"/>
  <c r="D942" i="1"/>
  <c r="E942" i="1"/>
  <c r="S942" i="1"/>
  <c r="C941" i="1"/>
  <c r="B941" i="1" s="1"/>
  <c r="D941" i="1"/>
  <c r="E941" i="1"/>
  <c r="S941" i="1"/>
  <c r="C940" i="1"/>
  <c r="B940" i="1" s="1"/>
  <c r="D940" i="1"/>
  <c r="E940" i="1"/>
  <c r="S940" i="1"/>
  <c r="C939" i="1"/>
  <c r="D939" i="1"/>
  <c r="E939" i="1"/>
  <c r="S939" i="1"/>
  <c r="C938" i="1"/>
  <c r="D938" i="1"/>
  <c r="E938" i="1"/>
  <c r="S938" i="1"/>
  <c r="C937" i="1"/>
  <c r="B937" i="1" s="1"/>
  <c r="D937" i="1"/>
  <c r="E937" i="1"/>
  <c r="S937" i="1"/>
  <c r="C936" i="1"/>
  <c r="B936" i="1" s="1"/>
  <c r="D936" i="1"/>
  <c r="E936" i="1"/>
  <c r="S936" i="1"/>
  <c r="C935" i="1"/>
  <c r="D935" i="1"/>
  <c r="E935" i="1"/>
  <c r="S935" i="1"/>
  <c r="C934" i="1"/>
  <c r="B934" i="1" s="1"/>
  <c r="D934" i="1"/>
  <c r="E934" i="1"/>
  <c r="S934" i="1"/>
  <c r="C924" i="1"/>
  <c r="B924" i="1" s="1"/>
  <c r="D924" i="1"/>
  <c r="E924" i="1"/>
  <c r="S924" i="1"/>
  <c r="C922" i="1"/>
  <c r="D922" i="1"/>
  <c r="E922" i="1"/>
  <c r="S922" i="1"/>
  <c r="C932" i="1"/>
  <c r="D932" i="1"/>
  <c r="E932" i="1"/>
  <c r="S932" i="1"/>
  <c r="C914" i="1"/>
  <c r="D914" i="1"/>
  <c r="E914" i="1"/>
  <c r="S914" i="1"/>
  <c r="C926" i="1"/>
  <c r="D926" i="1"/>
  <c r="E926" i="1"/>
  <c r="S926" i="1"/>
  <c r="C931" i="1"/>
  <c r="B931" i="1" s="1"/>
  <c r="D931" i="1"/>
  <c r="E931" i="1"/>
  <c r="S931" i="1"/>
  <c r="C933" i="1"/>
  <c r="D933" i="1"/>
  <c r="E933" i="1"/>
  <c r="S933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0" i="1"/>
  <c r="D930" i="1"/>
  <c r="E930" i="1"/>
  <c r="S930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9" i="1"/>
  <c r="D909" i="1"/>
  <c r="E909" i="1"/>
  <c r="S909" i="1"/>
  <c r="C918" i="1"/>
  <c r="D918" i="1"/>
  <c r="E918" i="1"/>
  <c r="S918" i="1"/>
  <c r="C908" i="1"/>
  <c r="D908" i="1"/>
  <c r="E908" i="1"/>
  <c r="S908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2" i="1"/>
  <c r="D902" i="1"/>
  <c r="E902" i="1"/>
  <c r="S902" i="1"/>
  <c r="C916" i="1"/>
  <c r="D916" i="1"/>
  <c r="E916" i="1"/>
  <c r="S916" i="1"/>
  <c r="C905" i="1"/>
  <c r="D905" i="1"/>
  <c r="E905" i="1"/>
  <c r="S905" i="1"/>
  <c r="C911" i="1"/>
  <c r="D911" i="1"/>
  <c r="E911" i="1"/>
  <c r="S911" i="1"/>
  <c r="C910" i="1"/>
  <c r="D910" i="1"/>
  <c r="E910" i="1"/>
  <c r="S910" i="1"/>
  <c r="C903" i="1"/>
  <c r="D903" i="1"/>
  <c r="E903" i="1"/>
  <c r="S903" i="1"/>
  <c r="C912" i="1"/>
  <c r="D912" i="1"/>
  <c r="E912" i="1"/>
  <c r="S912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9" i="1" l="1"/>
  <c r="B938" i="1"/>
  <c r="B935" i="1"/>
  <c r="B922" i="1"/>
  <c r="B932" i="1"/>
  <c r="B914" i="1"/>
  <c r="B926" i="1"/>
  <c r="B916" i="1"/>
  <c r="B902" i="1"/>
  <c r="B913" i="1"/>
  <c r="B908" i="1"/>
  <c r="B918" i="1"/>
  <c r="B909" i="1"/>
  <c r="B920" i="1"/>
  <c r="B933" i="1"/>
  <c r="B928" i="1"/>
  <c r="B929" i="1"/>
  <c r="B923" i="1"/>
  <c r="B927" i="1"/>
  <c r="B930" i="1"/>
  <c r="B921" i="1"/>
  <c r="B925" i="1"/>
  <c r="B915" i="1"/>
  <c r="B919" i="1"/>
  <c r="B917" i="1"/>
  <c r="B912" i="1"/>
  <c r="B910" i="1"/>
  <c r="B905" i="1"/>
  <c r="B907" i="1"/>
  <c r="B911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<sst xmlns="http://schemas.openxmlformats.org/spreadsheetml/2006/main" count="8777" uniqueCount="3762">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</sst>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10</v>
          </cell>
          <cell r="B2" t="str">
            <v>Christoff Rotty</v>
          </cell>
          <cell r="D2">
            <v>32</v>
          </cell>
        </row>
        <row r="3">
          <cell r="A3">
            <v>17</v>
          </cell>
          <cell r="B3" t="str">
            <v>Bart Van der Beken</v>
          </cell>
          <cell r="D3">
            <v>28</v>
          </cell>
        </row>
        <row r="4">
          <cell r="A4">
            <v>13</v>
          </cell>
          <cell r="B4" t="str">
            <v>Els Dewulf</v>
          </cell>
          <cell r="D4">
            <v>24</v>
          </cell>
        </row>
        <row r="5">
          <cell r="A5">
            <v>9</v>
          </cell>
          <cell r="B5" t="str">
            <v>Els Vanhoe</v>
          </cell>
          <cell r="D5">
            <v>29</v>
          </cell>
        </row>
        <row r="6">
          <cell r="A6">
            <v>9</v>
          </cell>
          <cell r="B6" t="str">
            <v>Dominique De Clercq</v>
          </cell>
          <cell r="D6">
            <v>38</v>
          </cell>
        </row>
        <row r="7">
          <cell r="A7">
            <v>6</v>
          </cell>
          <cell r="B7" t="str">
            <v>Steven Storm</v>
          </cell>
          <cell r="D7">
            <v>18</v>
          </cell>
        </row>
        <row r="8">
          <cell r="A8">
            <v>11</v>
          </cell>
          <cell r="B8" t="str">
            <v>Lucie Vande Velde</v>
          </cell>
          <cell r="D8">
            <v>26</v>
          </cell>
        </row>
        <row r="9">
          <cell r="A9">
            <v>10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44" totalsRowShown="0" headerRowDxfId="10">
  <autoFilter ref="A1:AA94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44">
    <sortCondition ref="T1:T944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10</v>
      </c>
      <c r="J42" s="13" t="str">
        <f>'[1]Ingeplande per TC'!$B$2</f>
        <v>Christoff Rotty</v>
      </c>
      <c r="K42" s="13"/>
      <c r="L42" s="25"/>
      <c r="M42" s="13">
        <f>'[1]Ingeplande per TC'!$D$2</f>
        <v>32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17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24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29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9</v>
      </c>
      <c r="J46" s="13" t="str">
        <f>'[1]Ingeplande per TC'!$B$6</f>
        <v>Dominique De Clercq</v>
      </c>
      <c r="K46" s="13"/>
      <c r="L46" s="25"/>
      <c r="M46" s="13">
        <f>'[1]Ingeplande per TC'!$D$6</f>
        <v>38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18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26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85</v>
      </c>
      <c r="J50" s="14" t="s">
        <v>109</v>
      </c>
      <c r="K50" s="14"/>
      <c r="L50" s="25"/>
      <c r="M50" s="14">
        <f>SUM(M42:M49)</f>
        <v>220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44"/>
  <sheetViews>
    <sheetView tabSelected="1" zoomScale="85" zoomScaleNormal="85" workbookViewId="0">
      <pane ySplit="1" topLeftCell="A917" activePane="bottomLeft" state="frozen"/>
      <selection activeCell="F1" sqref="F1"/>
      <selection pane="bottomLeft" activeCell="X941" sqref="X941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25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25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25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25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25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25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25">
      <c r="A909">
        <v>16275</v>
      </c>
      <c r="B909" t="str">
        <f>_xlfn.CONCAT(bron[[#This Row],[personeelsnr]]," ",bron[[#This Row],[achternaam]]," ",bron[[#This Row],[voornaam]])</f>
        <v>16275 Devriendt Patrick</v>
      </c>
      <c r="C909" t="str">
        <f>VLOOKUP(bron[[#This Row],[personeelsnr]],'data hastus'!$A:$C,2,0)</f>
        <v>Devriendt</v>
      </c>
      <c r="D909" t="str">
        <f>VLOOKUP(bron[[#This Row],[personeelsnr]],'data hastus'!$A:$C,3,0)</f>
        <v>Patrick</v>
      </c>
      <c r="E909" s="2" t="str">
        <f>VLOOKUP(bron[[#This Row],[personeelsnr]],'data hastus'!A:K,11,FALSE)</f>
        <v>Els Dewulf</v>
      </c>
      <c r="F909" s="10"/>
      <c r="G909" s="39"/>
      <c r="H909" s="39"/>
      <c r="I909" s="39"/>
      <c r="S909" s="36">
        <f>SUM(bron[[#This Row],[Januari]:[December]])</f>
        <v>0</v>
      </c>
      <c r="T909" s="41">
        <v>45943</v>
      </c>
      <c r="U909" s="5" t="s">
        <v>3733</v>
      </c>
      <c r="V909" s="37"/>
      <c r="W909" s="37"/>
      <c r="X909" t="s">
        <v>3547</v>
      </c>
      <c r="Y909" t="s">
        <v>5</v>
      </c>
      <c r="Z909" s="2">
        <v>6329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3719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3716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3726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3746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3725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3721</v>
      </c>
      <c r="V916" s="37"/>
      <c r="W916" s="37"/>
      <c r="X916" t="s">
        <v>3548</v>
      </c>
      <c r="Y916" t="s">
        <v>3722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3727</v>
      </c>
      <c r="V917" s="37"/>
      <c r="W917" s="37"/>
      <c r="X917" t="s">
        <v>3513</v>
      </c>
      <c r="Y917" t="s">
        <v>3728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3732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3729</v>
      </c>
      <c r="V919" s="37"/>
      <c r="W919" s="37"/>
      <c r="X919" t="s">
        <v>3513</v>
      </c>
      <c r="Y919" t="s">
        <v>3730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3734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3749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3739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3750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3735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3745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3738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3741</v>
      </c>
      <c r="V928" s="37"/>
      <c r="W928" s="37"/>
      <c r="X928" t="s">
        <v>3511</v>
      </c>
      <c r="Y928" t="s">
        <v>3742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3740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40938</v>
      </c>
      <c r="B930" t="str">
        <f>_xlfn.CONCAT(bron[[#This Row],[personeelsnr]]," ",bron[[#This Row],[achternaam]]," ",bron[[#This Row],[voornaam]])</f>
        <v>40938 Hasnaoui Nejmeddine</v>
      </c>
      <c r="C930" t="str">
        <f>VLOOKUP(bron[[#This Row],[personeelsnr]],'data hastus'!$A:$C,2,0)</f>
        <v>Hasnaoui</v>
      </c>
      <c r="D930" t="str">
        <f>VLOOKUP(bron[[#This Row],[personeelsnr]],'data hastus'!$A:$C,3,0)</f>
        <v>Nejmeddine</v>
      </c>
      <c r="E930" s="2" t="str">
        <f>VLOOKUP(bron[[#This Row],[personeelsnr]],'data hastus'!A:K,11,FALSE)</f>
        <v>Dominique De Clercq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8" t="s">
        <v>3737</v>
      </c>
      <c r="V930" s="37"/>
      <c r="W930" s="37"/>
      <c r="X930" t="s">
        <v>3512</v>
      </c>
      <c r="Y930" t="s">
        <v>13</v>
      </c>
      <c r="Z930" s="2">
        <v>13024</v>
      </c>
      <c r="AA930" s="43" t="s">
        <v>3558</v>
      </c>
    </row>
    <row r="931" spans="1:27" x14ac:dyDescent="0.25">
      <c r="A931">
        <v>42105</v>
      </c>
      <c r="B931" t="str">
        <f>_xlfn.CONCAT(bron[[#This Row],[personeelsnr]]," ",bron[[#This Row],[achternaam]]," ",bron[[#This Row],[voornaam]])</f>
        <v>42105 Van den Bossche Jarne</v>
      </c>
      <c r="C931" t="str">
        <f>VLOOKUP(bron[[#This Row],[personeelsnr]],'data hastus'!$A:$C,2,0)</f>
        <v>Van den Bossche</v>
      </c>
      <c r="D931" t="str">
        <f>VLOOKUP(bron[[#This Row],[personeelsnr]],'data hastus'!$A:$C,3,0)</f>
        <v>Jarne</v>
      </c>
      <c r="E931" s="2" t="str">
        <f>VLOOKUP(bron[[#This Row],[personeelsnr]],'data hastus'!A:K,11,FALSE)</f>
        <v>Els Dewulf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3744</v>
      </c>
      <c r="V931" s="37"/>
      <c r="W931" s="37"/>
      <c r="X931" t="s">
        <v>3512</v>
      </c>
      <c r="Y931" t="s">
        <v>31</v>
      </c>
      <c r="Z931" s="2">
        <v>5489</v>
      </c>
      <c r="AA931" s="43" t="s">
        <v>3558</v>
      </c>
    </row>
    <row r="932" spans="1:27" x14ac:dyDescent="0.25">
      <c r="A932">
        <v>25873</v>
      </c>
      <c r="B932" t="str">
        <f>_xlfn.CONCAT(bron[[#This Row],[personeelsnr]]," ",bron[[#This Row],[achternaam]]," ",bron[[#This Row],[voornaam]])</f>
        <v>25873 Kazakbiyev Osman</v>
      </c>
      <c r="C932" t="str">
        <f>VLOOKUP(bron[[#This Row],[personeelsnr]],'data hastus'!$A:$C,2,0)</f>
        <v>Kazakbiyev</v>
      </c>
      <c r="D932" t="str">
        <f>VLOOKUP(bron[[#This Row],[personeelsnr]],'data hastus'!$A:$C,3,0)</f>
        <v>Osman</v>
      </c>
      <c r="E932" s="2" t="str">
        <f>VLOOKUP(bron[[#This Row],[personeelsnr]],'data hastus'!A:K,11,FALSE)</f>
        <v>Els Vanhoe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3747</v>
      </c>
      <c r="V932" s="37"/>
      <c r="W932" s="37"/>
      <c r="X932" t="s">
        <v>3513</v>
      </c>
      <c r="Y932" t="s">
        <v>3748</v>
      </c>
      <c r="Z932" s="2">
        <v>5052</v>
      </c>
      <c r="AA932" s="43" t="s">
        <v>3558</v>
      </c>
    </row>
    <row r="933" spans="1:27" x14ac:dyDescent="0.25">
      <c r="A933">
        <v>39858</v>
      </c>
      <c r="B933" t="str">
        <f>_xlfn.CONCAT(bron[[#This Row],[personeelsnr]]," ",bron[[#This Row],[achternaam]]," ",bron[[#This Row],[voornaam]])</f>
        <v>39858 Jacobs Elos</v>
      </c>
      <c r="C933" t="str">
        <f>VLOOKUP(bron[[#This Row],[personeelsnr]],'data hastus'!$A:$C,2,0)</f>
        <v>Jacobs</v>
      </c>
      <c r="D933" t="str">
        <f>VLOOKUP(bron[[#This Row],[personeelsnr]],'data hastus'!$A:$C,3,0)</f>
        <v>Elos</v>
      </c>
      <c r="E933" s="2" t="str">
        <f>VLOOKUP(bron[[#This Row],[personeelsnr]],'data hastus'!A:K,11,FALSE)</f>
        <v>Els Dewulf</v>
      </c>
      <c r="F933" s="10"/>
      <c r="G933" s="39"/>
      <c r="H933" s="39"/>
      <c r="I933" s="39"/>
      <c r="S933" s="36">
        <f>SUM(bron[[#This Row],[Januari]:[December]])</f>
        <v>0</v>
      </c>
      <c r="T933" s="41">
        <v>45961</v>
      </c>
      <c r="U933" s="5" t="s">
        <v>3743</v>
      </c>
      <c r="V933" s="37"/>
      <c r="W933" s="37"/>
      <c r="X933" t="s">
        <v>3511</v>
      </c>
      <c r="Y933" t="s">
        <v>663</v>
      </c>
      <c r="Z933" s="2">
        <v>5229</v>
      </c>
      <c r="AA933" s="43" t="s">
        <v>3558</v>
      </c>
    </row>
    <row r="934" spans="1:27" x14ac:dyDescent="0.25">
      <c r="A934">
        <v>37543</v>
      </c>
      <c r="B934" t="str">
        <f>_xlfn.CONCAT(bron[[#This Row],[personeelsnr]]," ",bron[[#This Row],[achternaam]]," ",bron[[#This Row],[voornaam]])</f>
        <v>37543 Öztürk Bilgehan</v>
      </c>
      <c r="C934" t="str">
        <f>VLOOKUP(bron[[#This Row],[personeelsnr]],'data hastus'!$A:$C,2,0)</f>
        <v>Öztürk</v>
      </c>
      <c r="D934" t="str">
        <f>VLOOKUP(bron[[#This Row],[personeelsnr]],'data hastus'!$A:$C,3,0)</f>
        <v>Bilgehan</v>
      </c>
      <c r="E934" s="2" t="str">
        <f>VLOOKUP(bron[[#This Row],[personeelsnr]],'data hastus'!A:K,11,FALSE)</f>
        <v>Kenneth De Rick</v>
      </c>
      <c r="F934" s="10"/>
      <c r="G934" s="39"/>
      <c r="H934" s="39"/>
      <c r="I934" s="39"/>
      <c r="S934" s="36">
        <f>SUM(bron[[#This Row],[Januari]:[December]])</f>
        <v>0</v>
      </c>
      <c r="T934" s="41">
        <v>45962</v>
      </c>
      <c r="U934" s="5" t="s">
        <v>3751</v>
      </c>
      <c r="V934" s="37"/>
      <c r="W934" s="37"/>
      <c r="X934" t="s">
        <v>3513</v>
      </c>
      <c r="Y934" t="s">
        <v>3752</v>
      </c>
      <c r="Z934" s="2">
        <v>5233</v>
      </c>
      <c r="AA934" s="43" t="s">
        <v>3559</v>
      </c>
    </row>
    <row r="935" spans="1:27" x14ac:dyDescent="0.25">
      <c r="A935">
        <v>35463</v>
      </c>
      <c r="B935" t="str">
        <f>_xlfn.CONCAT(bron[[#This Row],[personeelsnr]]," ",bron[[#This Row],[achternaam]]," ",bron[[#This Row],[voornaam]])</f>
        <v>35463 Vandaele Tom</v>
      </c>
      <c r="C935" t="str">
        <f>VLOOKUP(bron[[#This Row],[personeelsnr]],'data hastus'!$A:$C,2,0)</f>
        <v>Vandaele</v>
      </c>
      <c r="D935" t="str">
        <f>VLOOKUP(bron[[#This Row],[personeelsnr]],'data hastus'!$A:$C,3,0)</f>
        <v>Tom</v>
      </c>
      <c r="E935" s="2" t="str">
        <f>VLOOKUP(bron[[#This Row],[personeelsnr]],'data hastus'!A:K,11,FALSE)</f>
        <v>Dominique De Clercq</v>
      </c>
      <c r="F935" s="10"/>
      <c r="G935" s="39"/>
      <c r="H935" s="39"/>
      <c r="I935" s="39"/>
      <c r="S935" s="36">
        <f>SUM(bron[[#This Row],[Januari]:[December]])</f>
        <v>0</v>
      </c>
      <c r="T935" s="41">
        <v>45963</v>
      </c>
      <c r="U935" s="5" t="s">
        <v>3753</v>
      </c>
      <c r="V935" s="37"/>
      <c r="W935" s="37"/>
      <c r="X935" t="s">
        <v>3547</v>
      </c>
      <c r="Y935" t="s">
        <v>5</v>
      </c>
      <c r="Z935" s="2">
        <v>6312</v>
      </c>
      <c r="AA935" s="43" t="s">
        <v>3558</v>
      </c>
    </row>
    <row r="936" spans="1:27" x14ac:dyDescent="0.25">
      <c r="A936">
        <v>40362</v>
      </c>
      <c r="B936" t="str">
        <f>_xlfn.CONCAT(bron[[#This Row],[personeelsnr]]," ",bron[[#This Row],[achternaam]]," ",bron[[#This Row],[voornaam]])</f>
        <v>40362 Kuru Cetin</v>
      </c>
      <c r="C936" t="str">
        <f>VLOOKUP(bron[[#This Row],[personeelsnr]],'data hastus'!$A:$C,2,0)</f>
        <v>Kuru</v>
      </c>
      <c r="D936" t="str">
        <f>VLOOKUP(bron[[#This Row],[personeelsnr]],'data hastus'!$A:$C,3,0)</f>
        <v>Cetin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45964</v>
      </c>
      <c r="U936" s="5" t="s">
        <v>3754</v>
      </c>
      <c r="V936" s="37"/>
      <c r="W936" s="37"/>
      <c r="X936" t="s">
        <v>3512</v>
      </c>
      <c r="Y936" t="s">
        <v>3755</v>
      </c>
      <c r="Z936" s="2">
        <v>5935</v>
      </c>
      <c r="AA936" s="43" t="s">
        <v>3558</v>
      </c>
    </row>
    <row r="937" spans="1:27" x14ac:dyDescent="0.25">
      <c r="A937">
        <v>42143</v>
      </c>
      <c r="B937" t="str">
        <f>_xlfn.CONCAT(bron[[#This Row],[personeelsnr]]," ",bron[[#This Row],[achternaam]]," ",bron[[#This Row],[voornaam]])</f>
        <v>42143 Rahoens Christ</v>
      </c>
      <c r="C937" t="str">
        <f>VLOOKUP(bron[[#This Row],[personeelsnr]],'data hastus'!$A:$C,2,0)</f>
        <v>Rahoens</v>
      </c>
      <c r="D937" t="str">
        <f>VLOOKUP(bron[[#This Row],[personeelsnr]],'data hastus'!$A:$C,3,0)</f>
        <v>Christ</v>
      </c>
      <c r="E937" s="2" t="str">
        <f>VLOOKUP(bron[[#This Row],[personeelsnr]],'data hastus'!A:K,11,FALSE)</f>
        <v>Bart Van Der Beken</v>
      </c>
      <c r="F937" s="10"/>
      <c r="G937" s="39"/>
      <c r="H937" s="39"/>
      <c r="I937" s="39"/>
      <c r="S937" s="36">
        <f>SUM(bron[[#This Row],[Januari]:[December]])</f>
        <v>0</v>
      </c>
      <c r="T937" s="41">
        <v>45964</v>
      </c>
      <c r="U937" s="5" t="s">
        <v>3756</v>
      </c>
      <c r="V937" s="37"/>
      <c r="W937" s="37"/>
      <c r="X937" t="s">
        <v>3512</v>
      </c>
      <c r="Y937" t="str">
        <f>Y936</f>
        <v>Port Arthurlaan</v>
      </c>
      <c r="Z937" s="2">
        <v>550821</v>
      </c>
      <c r="AA937" s="43" t="s">
        <v>3631</v>
      </c>
    </row>
    <row r="938" spans="1:27" x14ac:dyDescent="0.25">
      <c r="A938">
        <v>41384</v>
      </c>
      <c r="B938" t="str">
        <f>_xlfn.CONCAT(bron[[#This Row],[personeelsnr]]," ",bron[[#This Row],[achternaam]]," ",bron[[#This Row],[voornaam]])</f>
        <v>41384 Hillaert Thimo</v>
      </c>
      <c r="C938" t="str">
        <f>VLOOKUP(bron[[#This Row],[personeelsnr]],'data hastus'!$A:$C,2,0)</f>
        <v>Hillaert</v>
      </c>
      <c r="D938" t="str">
        <f>VLOOKUP(bron[[#This Row],[personeelsnr]],'data hastus'!$A:$C,3,0)</f>
        <v>Thimo</v>
      </c>
      <c r="E938" s="2" t="str">
        <f>VLOOKUP(bron[[#This Row],[personeelsnr]],'data hastus'!A:K,11,FALSE)</f>
        <v>Christoff Rotty</v>
      </c>
      <c r="F938" s="10"/>
      <c r="G938" s="39"/>
      <c r="H938" s="39"/>
      <c r="I938" s="39"/>
      <c r="S938" s="36">
        <f>SUM(bron[[#This Row],[Januari]:[December]])</f>
        <v>0</v>
      </c>
      <c r="T938" s="41">
        <v>45962</v>
      </c>
      <c r="U938" s="5" t="s">
        <v>3757</v>
      </c>
      <c r="V938" s="37"/>
      <c r="W938" s="37"/>
      <c r="X938" t="s">
        <v>3512</v>
      </c>
      <c r="Y938" t="s">
        <v>3636</v>
      </c>
      <c r="Z938" s="2">
        <v>5916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3758</v>
      </c>
      <c r="V939" s="37"/>
      <c r="W939" s="37"/>
      <c r="X939" t="s">
        <v>3512</v>
      </c>
      <c r="Y939" t="s">
        <v>3759</v>
      </c>
      <c r="Z939" s="2">
        <v>5938</v>
      </c>
      <c r="AA939" s="43" t="s">
        <v>3558</v>
      </c>
    </row>
    <row r="940" spans="1:27" x14ac:dyDescent="0.25">
      <c r="A940">
        <v>39651</v>
      </c>
      <c r="B940" t="str">
        <f>_xlfn.CONCAT(bron[[#This Row],[personeelsnr]]," ",bron[[#This Row],[achternaam]]," ",bron[[#This Row],[voornaam]])</f>
        <v>39651 Kallenbach Sunny</v>
      </c>
      <c r="C940" t="str">
        <f>VLOOKUP(bron[[#This Row],[personeelsnr]],'data hastus'!$A:$C,2,0)</f>
        <v>Kallenbach</v>
      </c>
      <c r="D940" t="str">
        <f>VLOOKUP(bron[[#This Row],[personeelsnr]],'data hastus'!$A:$C,3,0)</f>
        <v>Sunny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3760</v>
      </c>
      <c r="V940" s="37"/>
      <c r="W940" s="37"/>
      <c r="X940" t="s">
        <v>3513</v>
      </c>
      <c r="Y940" t="s">
        <v>737</v>
      </c>
      <c r="Z940" s="2">
        <v>5263</v>
      </c>
      <c r="AA940" s="43" t="s">
        <v>3558</v>
      </c>
    </row>
    <row r="941" spans="1:27" x14ac:dyDescent="0.25">
      <c r="A941">
        <v>34328</v>
      </c>
      <c r="B941" t="str">
        <f>_xlfn.CONCAT(bron[[#This Row],[personeelsnr]]," ",bron[[#This Row],[achternaam]]," ",bron[[#This Row],[voornaam]])</f>
        <v>34328 Kerremans Jürgen</v>
      </c>
      <c r="C941" t="str">
        <f>VLOOKUP(bron[[#This Row],[personeelsnr]],'data hastus'!$A:$C,2,0)</f>
        <v>Kerremans</v>
      </c>
      <c r="D941" t="str">
        <f>VLOOKUP(bron[[#This Row],[personeelsnr]],'data hastus'!$A:$C,3,0)</f>
        <v>Jürgen</v>
      </c>
      <c r="E941" s="2" t="str">
        <f>VLOOKUP(bron[[#This Row],[personeelsnr]],'data hastus'!A:K,11,FALSE)</f>
        <v>Kenneth De Rick</v>
      </c>
      <c r="F941" s="10"/>
      <c r="G941" s="39"/>
      <c r="H941" s="39"/>
      <c r="I941" s="39"/>
      <c r="S941" s="36">
        <f>SUM(bron[[#This Row],[Januari]:[December]])</f>
        <v>0</v>
      </c>
      <c r="T941" s="41">
        <v>45959</v>
      </c>
      <c r="U941" s="5" t="s">
        <v>3761</v>
      </c>
      <c r="V941" s="37"/>
      <c r="W941" s="37"/>
      <c r="X941" t="s">
        <v>3547</v>
      </c>
      <c r="Y941" t="s">
        <v>5</v>
      </c>
      <c r="Z941" s="2">
        <v>6334</v>
      </c>
      <c r="AA941" s="43" t="s">
        <v>3558</v>
      </c>
    </row>
    <row r="942" spans="1:27" x14ac:dyDescent="0.25">
      <c r="B942" t="e">
        <f>_xlfn.CONCAT(bron[[#This Row],[personeelsnr]]," ",bron[[#This Row],[achternaam]]," ",bron[[#This Row],[voornaam]])</f>
        <v>#N/A</v>
      </c>
      <c r="C942" t="e">
        <f>VLOOKUP(bron[[#This Row],[personeelsnr]],'data hastus'!$A:$C,2,0)</f>
        <v>#N/A</v>
      </c>
      <c r="D942" t="e">
        <f>VLOOKUP(bron[[#This Row],[personeelsnr]],'data hastus'!$A:$C,3,0)</f>
        <v>#N/A</v>
      </c>
      <c r="E942" s="2" t="e">
        <f>VLOOKUP(bron[[#This Row],[personeelsnr]],'data hastus'!A:K,11,FALSE)</f>
        <v>#N/A</v>
      </c>
      <c r="F942" s="10"/>
      <c r="G942" s="39"/>
      <c r="H942" s="39"/>
      <c r="I942" s="39"/>
      <c r="S942" s="36">
        <f>SUM(bron[[#This Row],[Januari]:[December]])</f>
        <v>0</v>
      </c>
      <c r="V942" s="37"/>
      <c r="W942" s="37"/>
    </row>
    <row r="943" spans="1:27" x14ac:dyDescent="0.25">
      <c r="B943" t="e">
        <f>_xlfn.CONCAT(bron[[#This Row],[personeelsnr]]," ",bron[[#This Row],[achternaam]]," ",bron[[#This Row],[voornaam]])</f>
        <v>#N/A</v>
      </c>
      <c r="C943" t="e">
        <f>VLOOKUP(bron[[#This Row],[personeelsnr]],'data hastus'!$A:$C,2,0)</f>
        <v>#N/A</v>
      </c>
      <c r="D943" t="e">
        <f>VLOOKUP(bron[[#This Row],[personeelsnr]],'data hastus'!$A:$C,3,0)</f>
        <v>#N/A</v>
      </c>
      <c r="E943" s="2" t="e">
        <f>VLOOKUP(bron[[#This Row],[personeelsnr]],'data hastus'!A:K,11,FALSE)</f>
        <v>#N/A</v>
      </c>
      <c r="F943" s="10"/>
      <c r="G943" s="39"/>
      <c r="H943" s="39"/>
      <c r="I943" s="39"/>
      <c r="S943" s="36">
        <f>SUM(bron[[#This Row],[Januari]:[December]])</f>
        <v>0</v>
      </c>
      <c r="V943" s="37"/>
      <c r="W943" s="37"/>
    </row>
    <row r="944" spans="1:27" x14ac:dyDescent="0.25">
      <c r="B944" t="e">
        <f>_xlfn.CONCAT(bron[[#This Row],[personeelsnr]]," ",bron[[#This Row],[achternaam]]," ",bron[[#This Row],[voornaam]])</f>
        <v>#N/A</v>
      </c>
      <c r="C944" t="e">
        <f>VLOOKUP(bron[[#This Row],[personeelsnr]],'data hastus'!$A:$C,2,0)</f>
        <v>#N/A</v>
      </c>
      <c r="D944" t="e">
        <f>VLOOKUP(bron[[#This Row],[personeelsnr]],'data hastus'!$A:$C,3,0)</f>
        <v>#N/A</v>
      </c>
      <c r="E944" s="2" t="e">
        <f>VLOOKUP(bron[[#This Row],[personeelsnr]],'data hastus'!A:K,11,FALSE)</f>
        <v>#N/A</v>
      </c>
      <c r="F944" s="10"/>
      <c r="G944" s="39"/>
      <c r="H944" s="39"/>
      <c r="I944" s="39"/>
      <c r="S944" s="36">
        <f>SUM(bron[[#This Row],[Januari]:[December]])</f>
        <v>0</v>
      </c>
      <c r="V944" s="37"/>
      <c r="W944" s="37"/>
    </row>
  </sheetData>
  <sheetProtection sort="0" autoFilter="0"/>
  <phoneticPr fontId="1" type="noConversion"/>
  <conditionalFormatting sqref="F2:F944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30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2025-11-05T11:49:00Z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