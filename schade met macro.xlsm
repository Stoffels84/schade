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1" documentId="13_ncr:1_{10FCACA5-8197-478D-90D3-5F83063FB753}" xr6:coauthVersionLast="47" xr6:coauthVersionMax="47" xr10:uidLastSave="{E92CCABD-0B8A-4241-92E0-B287C0FD040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<sst xmlns="http://schemas.openxmlformats.org/spreadsheetml/2006/main" count="8754" uniqueCount="3754">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</sst>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75</v>
      </c>
      <c r="J50" s="14" t="s">
        <v>109</v>
      </c>
      <c r="K50" s="14"/>
      <c r="L50" s="25"/>
      <c r="M50" s="14">
        <f>SUM(M42:M49)</f>
        <v>211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9" activePane="bottomLeft" state="frozen"/>
      <selection activeCell="F1" sqref="F1"/>
      <selection pane="bottomLeft" activeCell="B921" sqref="B92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4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4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B936" t="e">
        <f>_xlfn.CONCAT(bron[[#This Row],[personeelsnr]]," ",bron[[#This Row],[achternaam]]," ",bron[[#This Row],[voornaam]])</f>
        <v>#N/A</v>
      </c>
      <c r="C936" t="e">
        <f>VLOOKUP(bron[[#This Row],[personeelsnr]],'data hastus'!$A:$C,2,0)</f>
        <v>#N/A</v>
      </c>
      <c r="D936" t="e">
        <f>VLOOKUP(bron[[#This Row],[personeelsnr]],'data hastus'!$A:$C,3,0)</f>
        <v>#N/A</v>
      </c>
      <c r="E936" s="2" t="e">
        <f>VLOOKUP(bron[[#This Row],[personeelsnr]],'data hastus'!A:K,11,FALSE)</f>
        <v>#N/A</v>
      </c>
      <c r="F936" s="10"/>
      <c r="G936" s="39"/>
      <c r="H936" s="39"/>
      <c r="I936" s="39"/>
      <c r="S936" s="44">
        <f>SUM(bron[[#This Row],[Januari]:[December]])</f>
        <v>0</v>
      </c>
      <c r="V936" s="37"/>
      <c r="W936" s="37"/>
    </row>
    <row r="937" spans="1:27" x14ac:dyDescent="0.25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44">
        <f>SUM(bron[[#This Row],[Januari]:[December]])</f>
        <v>0</v>
      </c>
      <c r="V937" s="37"/>
      <c r="W937" s="37"/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4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4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4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4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4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4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4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2025-11-03T11:14:35Z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