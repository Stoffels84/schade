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49" documentId="13_ncr:1_{BC833B0D-2F54-40DF-A6AF-902741D0EBA0}" xr6:coauthVersionLast="47" xr6:coauthVersionMax="47" xr10:uidLastSave="{F065C77C-A0B0-40FB-96C7-EF292CF3CAAC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79" i="1" l="1"/>
  <c r="D679" i="1"/>
  <c r="E679" i="1"/>
  <c r="S679" i="1"/>
  <c r="C542" i="1"/>
  <c r="D542" i="1"/>
  <c r="E542" i="1"/>
  <c r="S542" i="1"/>
  <c r="C646" i="1"/>
  <c r="D646" i="1"/>
  <c r="E646" i="1"/>
  <c r="S646" i="1"/>
  <c r="S538" i="1"/>
  <c r="C538" i="1"/>
  <c r="D538" i="1"/>
  <c r="E538" i="1"/>
  <c r="C755" i="1"/>
  <c r="D755" i="1"/>
  <c r="E755" i="1"/>
  <c r="S755" i="1"/>
  <c r="C858" i="1"/>
  <c r="B858" i="1" s="1"/>
  <c r="D858" i="1"/>
  <c r="E858" i="1"/>
  <c r="S858" i="1"/>
  <c r="C857" i="1"/>
  <c r="B857" i="1" s="1"/>
  <c r="D857" i="1"/>
  <c r="E857" i="1"/>
  <c r="S857" i="1"/>
  <c r="C856" i="1"/>
  <c r="B856" i="1" s="1"/>
  <c r="D856" i="1"/>
  <c r="E856" i="1"/>
  <c r="S856" i="1"/>
  <c r="C855" i="1"/>
  <c r="B855" i="1" s="1"/>
  <c r="D855" i="1"/>
  <c r="E855" i="1"/>
  <c r="S855" i="1"/>
  <c r="C854" i="1"/>
  <c r="B854" i="1" s="1"/>
  <c r="D854" i="1"/>
  <c r="E854" i="1"/>
  <c r="S854" i="1"/>
  <c r="C853" i="1"/>
  <c r="B853" i="1" s="1"/>
  <c r="D853" i="1"/>
  <c r="E853" i="1"/>
  <c r="S853" i="1"/>
  <c r="C569" i="1"/>
  <c r="D569" i="1"/>
  <c r="E569" i="1"/>
  <c r="S569" i="1"/>
  <c r="C568" i="1"/>
  <c r="D568" i="1"/>
  <c r="E568" i="1"/>
  <c r="S568" i="1"/>
  <c r="C851" i="1"/>
  <c r="D851" i="1"/>
  <c r="E851" i="1"/>
  <c r="S851" i="1"/>
  <c r="C795" i="1"/>
  <c r="D795" i="1"/>
  <c r="E795" i="1"/>
  <c r="S795" i="1"/>
  <c r="C590" i="1"/>
  <c r="D590" i="1"/>
  <c r="E590" i="1"/>
  <c r="S590" i="1"/>
  <c r="C615" i="1"/>
  <c r="D615" i="1"/>
  <c r="E615" i="1"/>
  <c r="S615" i="1"/>
  <c r="C558" i="1"/>
  <c r="D558" i="1"/>
  <c r="E558" i="1"/>
  <c r="S558" i="1"/>
  <c r="C721" i="1"/>
  <c r="D721" i="1"/>
  <c r="E721" i="1"/>
  <c r="S721" i="1"/>
  <c r="C849" i="1"/>
  <c r="D849" i="1"/>
  <c r="E849" i="1"/>
  <c r="S849" i="1"/>
  <c r="C683" i="1"/>
  <c r="D683" i="1"/>
  <c r="E683" i="1"/>
  <c r="S683" i="1"/>
  <c r="C736" i="1"/>
  <c r="D736" i="1"/>
  <c r="E736" i="1"/>
  <c r="S736" i="1"/>
  <c r="C809" i="1"/>
  <c r="B809" i="1" s="1"/>
  <c r="D809" i="1"/>
  <c r="C535" i="1"/>
  <c r="B535" i="1" s="1"/>
  <c r="D535" i="1"/>
  <c r="C741" i="1"/>
  <c r="B741" i="1" s="1"/>
  <c r="D741" i="1"/>
  <c r="C524" i="1"/>
  <c r="B524" i="1" s="1"/>
  <c r="D524" i="1"/>
  <c r="C811" i="1"/>
  <c r="C852" i="1"/>
  <c r="C529" i="1"/>
  <c r="C791" i="1"/>
  <c r="C534" i="1"/>
  <c r="C626" i="1"/>
  <c r="D811" i="1"/>
  <c r="D852" i="1"/>
  <c r="D529" i="1"/>
  <c r="D791" i="1"/>
  <c r="D534" i="1"/>
  <c r="D626" i="1"/>
  <c r="E811" i="1"/>
  <c r="E852" i="1"/>
  <c r="E529" i="1"/>
  <c r="E791" i="1"/>
  <c r="E534" i="1"/>
  <c r="E626" i="1"/>
  <c r="S811" i="1"/>
  <c r="S852" i="1"/>
  <c r="S529" i="1"/>
  <c r="S791" i="1"/>
  <c r="S534" i="1"/>
  <c r="S626" i="1"/>
  <c r="C548" i="1"/>
  <c r="D548" i="1"/>
  <c r="E548" i="1"/>
  <c r="S548" i="1"/>
  <c r="C575" i="1"/>
  <c r="D575" i="1"/>
  <c r="E575" i="1"/>
  <c r="S575" i="1"/>
  <c r="C628" i="1"/>
  <c r="D628" i="1"/>
  <c r="E628" i="1"/>
  <c r="S628" i="1"/>
  <c r="C582" i="1"/>
  <c r="D582" i="1"/>
  <c r="E582" i="1"/>
  <c r="S582" i="1"/>
  <c r="C841" i="1"/>
  <c r="D841" i="1"/>
  <c r="E841" i="1"/>
  <c r="S841" i="1"/>
  <c r="C729" i="1"/>
  <c r="D729" i="1"/>
  <c r="E729" i="1"/>
  <c r="S729" i="1"/>
  <c r="B683" i="1"/>
  <c r="B825" i="1"/>
  <c r="S825" i="1"/>
  <c r="C730" i="1"/>
  <c r="D730" i="1"/>
  <c r="E730" i="1"/>
  <c r="S730" i="1"/>
  <c r="C772" i="1"/>
  <c r="D772" i="1"/>
  <c r="E772" i="1"/>
  <c r="S77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0" i="1"/>
  <c r="B748" i="1"/>
  <c r="B846" i="1"/>
  <c r="B800" i="1"/>
  <c r="B2" i="1"/>
  <c r="S832" i="1"/>
  <c r="C832" i="1"/>
  <c r="D832" i="1"/>
  <c r="E832" i="1"/>
  <c r="C566" i="1"/>
  <c r="D566" i="1"/>
  <c r="E566" i="1"/>
  <c r="S566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47" i="1"/>
  <c r="D847" i="1"/>
  <c r="E847" i="1"/>
  <c r="S847" i="1"/>
  <c r="C2" i="12"/>
  <c r="C3" i="12"/>
  <c r="C782" i="1"/>
  <c r="D782" i="1"/>
  <c r="E782" i="1"/>
  <c r="S782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9" i="1"/>
  <c r="D819" i="1"/>
  <c r="E819" i="1"/>
  <c r="S819" i="1"/>
  <c r="C707" i="1"/>
  <c r="D707" i="1"/>
  <c r="E707" i="1"/>
  <c r="S707" i="1"/>
  <c r="C831" i="1"/>
  <c r="D831" i="1"/>
  <c r="E831" i="1"/>
  <c r="S831" i="1"/>
  <c r="S800" i="1"/>
  <c r="C682" i="1"/>
  <c r="D682" i="1"/>
  <c r="E682" i="1"/>
  <c r="S682" i="1"/>
  <c r="C848" i="1"/>
  <c r="D848" i="1"/>
  <c r="E848" i="1"/>
  <c r="S848" i="1"/>
  <c r="C818" i="1"/>
  <c r="D818" i="1"/>
  <c r="E818" i="1"/>
  <c r="S818" i="1"/>
  <c r="C652" i="1"/>
  <c r="D652" i="1"/>
  <c r="E652" i="1"/>
  <c r="S652" i="1"/>
  <c r="C678" i="1"/>
  <c r="D678" i="1"/>
  <c r="E678" i="1"/>
  <c r="S678" i="1"/>
  <c r="C824" i="1"/>
  <c r="D824" i="1"/>
  <c r="E824" i="1"/>
  <c r="S824" i="1"/>
  <c r="C536" i="1"/>
  <c r="D536" i="1"/>
  <c r="E536" i="1"/>
  <c r="S536" i="1"/>
  <c r="C636" i="1"/>
  <c r="D636" i="1"/>
  <c r="E636" i="1"/>
  <c r="S636" i="1"/>
  <c r="C761" i="1"/>
  <c r="D761" i="1"/>
  <c r="E761" i="1"/>
  <c r="S761" i="1"/>
  <c r="C793" i="1"/>
  <c r="D793" i="1"/>
  <c r="E793" i="1"/>
  <c r="S793" i="1"/>
  <c r="C823" i="1"/>
  <c r="D823" i="1"/>
  <c r="E823" i="1"/>
  <c r="S823" i="1"/>
  <c r="C549" i="1"/>
  <c r="D549" i="1"/>
  <c r="E549" i="1"/>
  <c r="S54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5" i="1"/>
  <c r="D525" i="1"/>
  <c r="E525" i="1"/>
  <c r="C557" i="1"/>
  <c r="D557" i="1"/>
  <c r="E557" i="1"/>
  <c r="S557" i="1"/>
  <c r="C735" i="1"/>
  <c r="D735" i="1"/>
  <c r="E735" i="1"/>
  <c r="S735" i="1"/>
  <c r="C585" i="1"/>
  <c r="D585" i="1"/>
  <c r="E585" i="1"/>
  <c r="S585" i="1"/>
  <c r="C850" i="1"/>
  <c r="D850" i="1"/>
  <c r="E850" i="1"/>
  <c r="S850" i="1"/>
  <c r="C573" i="1"/>
  <c r="D573" i="1"/>
  <c r="E573" i="1"/>
  <c r="S573" i="1"/>
  <c r="C835" i="1"/>
  <c r="D835" i="1"/>
  <c r="E835" i="1"/>
  <c r="S835" i="1"/>
  <c r="C698" i="1"/>
  <c r="D698" i="1"/>
  <c r="E698" i="1"/>
  <c r="S698" i="1"/>
  <c r="C533" i="1"/>
  <c r="D533" i="1"/>
  <c r="E533" i="1"/>
  <c r="S533" i="1"/>
  <c r="C726" i="1"/>
  <c r="D726" i="1"/>
  <c r="E726" i="1"/>
  <c r="S726" i="1"/>
  <c r="C522" i="1"/>
  <c r="D522" i="1"/>
  <c r="E522" i="1"/>
  <c r="S522" i="1"/>
  <c r="C602" i="1"/>
  <c r="D602" i="1"/>
  <c r="E602" i="1"/>
  <c r="S602" i="1"/>
  <c r="C764" i="1"/>
  <c r="D764" i="1"/>
  <c r="E764" i="1"/>
  <c r="S764" i="1"/>
  <c r="C556" i="1"/>
  <c r="D556" i="1"/>
  <c r="E556" i="1"/>
  <c r="S556" i="1"/>
  <c r="C722" i="1"/>
  <c r="D722" i="1"/>
  <c r="E722" i="1"/>
  <c r="S722" i="1"/>
  <c r="C532" i="1"/>
  <c r="D532" i="1"/>
  <c r="E532" i="1"/>
  <c r="S532" i="1"/>
  <c r="C666" i="1"/>
  <c r="D666" i="1"/>
  <c r="E666" i="1"/>
  <c r="S666" i="1"/>
  <c r="C790" i="1"/>
  <c r="D790" i="1"/>
  <c r="E790" i="1"/>
  <c r="S790" i="1"/>
  <c r="C660" i="1"/>
  <c r="D660" i="1"/>
  <c r="E660" i="1"/>
  <c r="S660" i="1"/>
  <c r="C770" i="1"/>
  <c r="D770" i="1"/>
  <c r="E770" i="1"/>
  <c r="S770" i="1"/>
  <c r="C518" i="1"/>
  <c r="D518" i="1"/>
  <c r="E518" i="1"/>
  <c r="S518" i="1"/>
  <c r="C570" i="1"/>
  <c r="D570" i="1"/>
  <c r="E570" i="1"/>
  <c r="S570" i="1"/>
  <c r="C531" i="1"/>
  <c r="D531" i="1"/>
  <c r="E531" i="1"/>
  <c r="S531" i="1"/>
  <c r="C705" i="1"/>
  <c r="D705" i="1"/>
  <c r="E705" i="1"/>
  <c r="S705" i="1"/>
  <c r="C608" i="1"/>
  <c r="D608" i="1"/>
  <c r="E608" i="1"/>
  <c r="S608" i="1"/>
  <c r="C613" i="1"/>
  <c r="D613" i="1"/>
  <c r="E613" i="1"/>
  <c r="S613" i="1"/>
  <c r="C685" i="1"/>
  <c r="D685" i="1"/>
  <c r="E685" i="1"/>
  <c r="S685" i="1"/>
  <c r="S846" i="1"/>
  <c r="C614" i="1"/>
  <c r="D614" i="1"/>
  <c r="E614" i="1"/>
  <c r="S614" i="1"/>
  <c r="C546" i="1"/>
  <c r="D546" i="1"/>
  <c r="E546" i="1"/>
  <c r="S546" i="1"/>
  <c r="C620" i="1"/>
  <c r="D620" i="1"/>
  <c r="E620" i="1"/>
  <c r="S620" i="1"/>
  <c r="C744" i="1"/>
  <c r="D744" i="1"/>
  <c r="E744" i="1"/>
  <c r="S744" i="1"/>
  <c r="C798" i="1"/>
  <c r="D798" i="1"/>
  <c r="E798" i="1"/>
  <c r="S798" i="1"/>
  <c r="C555" i="1"/>
  <c r="D555" i="1"/>
  <c r="E555" i="1"/>
  <c r="S555" i="1"/>
  <c r="C787" i="1"/>
  <c r="D787" i="1"/>
  <c r="E787" i="1"/>
  <c r="S787" i="1"/>
  <c r="C537" i="1"/>
  <c r="D537" i="1"/>
  <c r="E537" i="1"/>
  <c r="S537" i="1"/>
  <c r="C665" i="1"/>
  <c r="D665" i="1"/>
  <c r="E665" i="1"/>
  <c r="S665" i="1"/>
  <c r="C593" i="1"/>
  <c r="D593" i="1"/>
  <c r="E593" i="1"/>
  <c r="S593" i="1"/>
  <c r="C733" i="1"/>
  <c r="D733" i="1"/>
  <c r="E733" i="1"/>
  <c r="S733" i="1"/>
  <c r="C564" i="1"/>
  <c r="D564" i="1"/>
  <c r="E564" i="1"/>
  <c r="S564" i="1"/>
  <c r="C516" i="1"/>
  <c r="D516" i="1"/>
  <c r="E516" i="1"/>
  <c r="S516" i="1"/>
  <c r="C686" i="1"/>
  <c r="D686" i="1"/>
  <c r="E686" i="1"/>
  <c r="S686" i="1"/>
  <c r="C515" i="1"/>
  <c r="D515" i="1"/>
  <c r="E515" i="1"/>
  <c r="S515" i="1"/>
  <c r="C551" i="1"/>
  <c r="D551" i="1"/>
  <c r="E551" i="1"/>
  <c r="S551" i="1"/>
  <c r="C706" i="1"/>
  <c r="D706" i="1"/>
  <c r="E706" i="1"/>
  <c r="S706" i="1"/>
  <c r="C540" i="1"/>
  <c r="D540" i="1"/>
  <c r="E540" i="1"/>
  <c r="S540" i="1"/>
  <c r="C596" i="1"/>
  <c r="D596" i="1"/>
  <c r="E596" i="1"/>
  <c r="S596" i="1"/>
  <c r="C687" i="1"/>
  <c r="D687" i="1"/>
  <c r="E687" i="1"/>
  <c r="S687" i="1"/>
  <c r="C668" i="1"/>
  <c r="D668" i="1"/>
  <c r="E668" i="1"/>
  <c r="S668" i="1"/>
  <c r="C669" i="1"/>
  <c r="D669" i="1"/>
  <c r="E669" i="1"/>
  <c r="S669" i="1"/>
  <c r="C769" i="1"/>
  <c r="D769" i="1"/>
  <c r="E769" i="1"/>
  <c r="S769" i="1"/>
  <c r="C583" i="1"/>
  <c r="D583" i="1"/>
  <c r="E583" i="1"/>
  <c r="S583" i="1"/>
  <c r="C776" i="1"/>
  <c r="D776" i="1"/>
  <c r="E776" i="1"/>
  <c r="S776" i="1"/>
  <c r="C843" i="1"/>
  <c r="D843" i="1"/>
  <c r="E843" i="1"/>
  <c r="S843" i="1"/>
  <c r="C653" i="1"/>
  <c r="D653" i="1"/>
  <c r="E653" i="1"/>
  <c r="S653" i="1"/>
  <c r="C845" i="1"/>
  <c r="D845" i="1"/>
  <c r="E845" i="1"/>
  <c r="S845" i="1"/>
  <c r="C714" i="1"/>
  <c r="D714" i="1"/>
  <c r="E714" i="1"/>
  <c r="S714" i="1"/>
  <c r="C599" i="1"/>
  <c r="D599" i="1"/>
  <c r="E599" i="1"/>
  <c r="S599" i="1"/>
  <c r="C703" i="1"/>
  <c r="D703" i="1"/>
  <c r="E703" i="1"/>
  <c r="S703" i="1"/>
  <c r="C659" i="1"/>
  <c r="D659" i="1"/>
  <c r="E659" i="1"/>
  <c r="S659" i="1"/>
  <c r="C663" i="1"/>
  <c r="D663" i="1"/>
  <c r="E663" i="1"/>
  <c r="S663" i="1"/>
  <c r="C586" i="1"/>
  <c r="D586" i="1"/>
  <c r="E586" i="1"/>
  <c r="S586" i="1"/>
  <c r="C728" i="1"/>
  <c r="D728" i="1"/>
  <c r="E728" i="1"/>
  <c r="S728" i="1"/>
  <c r="C606" i="1"/>
  <c r="D606" i="1"/>
  <c r="E606" i="1"/>
  <c r="S606" i="1"/>
  <c r="C520" i="1"/>
  <c r="D520" i="1"/>
  <c r="E520" i="1"/>
  <c r="S520" i="1"/>
  <c r="C808" i="1"/>
  <c r="D808" i="1"/>
  <c r="E808" i="1"/>
  <c r="S808" i="1"/>
  <c r="C779" i="1"/>
  <c r="D779" i="1"/>
  <c r="E779" i="1"/>
  <c r="S779" i="1"/>
  <c r="C673" i="1"/>
  <c r="D673" i="1"/>
  <c r="E673" i="1"/>
  <c r="S673" i="1"/>
  <c r="C803" i="1"/>
  <c r="D803" i="1"/>
  <c r="E803" i="1"/>
  <c r="S803" i="1"/>
  <c r="C600" i="1"/>
  <c r="D600" i="1"/>
  <c r="E600" i="1"/>
  <c r="S600" i="1"/>
  <c r="C805" i="1"/>
  <c r="D805" i="1"/>
  <c r="E805" i="1"/>
  <c r="S805" i="1"/>
  <c r="C806" i="1"/>
  <c r="D806" i="1"/>
  <c r="E806" i="1"/>
  <c r="S806" i="1"/>
  <c r="C539" i="1"/>
  <c r="D539" i="1"/>
  <c r="E539" i="1"/>
  <c r="S539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71" i="1"/>
  <c r="D771" i="1"/>
  <c r="E771" i="1"/>
  <c r="S77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40" i="1"/>
  <c r="D840" i="1"/>
  <c r="E840" i="1"/>
  <c r="S840" i="1"/>
  <c r="C830" i="1"/>
  <c r="D830" i="1"/>
  <c r="E830" i="1"/>
  <c r="S830" i="1"/>
  <c r="C572" i="1"/>
  <c r="D572" i="1"/>
  <c r="E572" i="1"/>
  <c r="S57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8" i="1"/>
  <c r="D768" i="1"/>
  <c r="E768" i="1"/>
  <c r="S768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42" i="1"/>
  <c r="D642" i="1"/>
  <c r="E642" i="1"/>
  <c r="S64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50" i="1"/>
  <c r="D750" i="1"/>
  <c r="E750" i="1"/>
  <c r="S750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34" i="1"/>
  <c r="D834" i="1"/>
  <c r="E834" i="1"/>
  <c r="S834" i="1"/>
  <c r="C716" i="1"/>
  <c r="D716" i="1"/>
  <c r="E716" i="1"/>
  <c r="S716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9" i="1"/>
  <c r="D789" i="1"/>
  <c r="E789" i="1"/>
  <c r="S789" i="1"/>
  <c r="C767" i="1"/>
  <c r="D767" i="1"/>
  <c r="E767" i="1"/>
  <c r="S767" i="1"/>
  <c r="S747" i="1"/>
  <c r="S667" i="1"/>
  <c r="S715" i="1"/>
  <c r="S554" i="1"/>
  <c r="S739" i="1"/>
  <c r="S708" i="1"/>
  <c r="S623" i="1"/>
  <c r="S723" i="1"/>
  <c r="S753" i="1"/>
  <c r="S692" i="1"/>
  <c r="S719" i="1"/>
  <c r="S780" i="1"/>
  <c r="S579" i="1"/>
  <c r="S619" i="1"/>
  <c r="S622" i="1"/>
  <c r="S643" i="1"/>
  <c r="S732" i="1"/>
  <c r="S758" i="1"/>
  <c r="S763" i="1"/>
  <c r="S766" i="1"/>
  <c r="S561" i="1"/>
  <c r="S576" i="1"/>
  <c r="S588" i="1"/>
  <c r="S592" i="1"/>
  <c r="S597" i="1"/>
  <c r="S612" i="1"/>
  <c r="S737" i="1"/>
  <c r="S727" i="1"/>
  <c r="S754" i="1"/>
  <c r="S648" i="1"/>
  <c r="S658" i="1"/>
  <c r="S671" i="1"/>
  <c r="S680" i="1"/>
  <c r="S684" i="1"/>
  <c r="S696" i="1"/>
  <c r="S734" i="1"/>
  <c r="S742" i="1"/>
  <c r="S749" i="1"/>
  <c r="S752" i="1"/>
  <c r="S559" i="1"/>
  <c r="S701" i="1"/>
  <c r="S528" i="1"/>
  <c r="S541" i="1"/>
  <c r="S543" i="1"/>
  <c r="S544" i="1"/>
  <c r="S552" i="1"/>
  <c r="S603" i="1"/>
  <c r="S611" i="1"/>
  <c r="S656" i="1"/>
  <c r="S609" i="1"/>
  <c r="S631" i="1"/>
  <c r="S633" i="1"/>
  <c r="S647" i="1"/>
  <c r="S650" i="1"/>
  <c r="S649" i="1"/>
  <c r="S657" i="1"/>
  <c r="S661" i="1"/>
  <c r="S662" i="1"/>
  <c r="S688" i="1"/>
  <c r="S691" i="1"/>
  <c r="S699" i="1"/>
  <c r="S717" i="1"/>
  <c r="S710" i="1"/>
  <c r="S630" i="1"/>
  <c r="S743" i="1"/>
  <c r="S718" i="1"/>
  <c r="S578" i="1"/>
  <c r="S799" i="1"/>
  <c r="S816" i="1"/>
  <c r="S571" i="1"/>
  <c r="S712" i="1"/>
  <c r="S514" i="1"/>
  <c r="S519" i="1"/>
  <c r="S521" i="1"/>
  <c r="S746" i="1"/>
  <c r="S523" i="1"/>
  <c r="S527" i="1"/>
  <c r="S535" i="1"/>
  <c r="S545" i="1"/>
  <c r="S547" i="1"/>
  <c r="S553" i="1"/>
  <c r="S550" i="1"/>
  <c r="S560" i="1"/>
  <c r="S562" i="1"/>
  <c r="S563" i="1"/>
  <c r="S565" i="1"/>
  <c r="S574" i="1"/>
  <c r="S580" i="1"/>
  <c r="S581" i="1"/>
  <c r="S594" i="1"/>
  <c r="S587" i="1"/>
  <c r="S595" i="1"/>
  <c r="S591" i="1"/>
  <c r="S826" i="1"/>
  <c r="S524" i="1"/>
  <c r="S629" i="1"/>
  <c r="S601" i="1"/>
  <c r="S605" i="1"/>
  <c r="S617" i="1"/>
  <c r="S621" i="1"/>
  <c r="S627" i="1"/>
  <c r="S632" i="1"/>
  <c r="S637" i="1"/>
  <c r="S634" i="1"/>
  <c r="S638" i="1"/>
  <c r="S639" i="1"/>
  <c r="S635" i="1"/>
  <c r="S641" i="1"/>
  <c r="S644" i="1"/>
  <c r="S645" i="1"/>
  <c r="S654" i="1"/>
  <c r="S664" i="1"/>
  <c r="S670" i="1"/>
  <c r="S674" i="1"/>
  <c r="S675" i="1"/>
  <c r="S676" i="1"/>
  <c r="S681" i="1"/>
  <c r="S689" i="1"/>
  <c r="S694" i="1"/>
  <c r="S693" i="1"/>
  <c r="S704" i="1"/>
  <c r="S713" i="1"/>
  <c r="S724" i="1"/>
  <c r="S725" i="1"/>
  <c r="S731" i="1"/>
  <c r="S640" i="1"/>
  <c r="S738" i="1"/>
  <c r="S709" i="1"/>
  <c r="S584" i="1"/>
  <c r="S720" i="1"/>
  <c r="S741" i="1"/>
  <c r="S577" i="1"/>
  <c r="S711" i="1"/>
  <c r="S838" i="1"/>
  <c r="S748" i="1"/>
  <c r="S700" i="1"/>
  <c r="S751" i="1"/>
  <c r="S756" i="1"/>
  <c r="S760" i="1"/>
  <c r="S757" i="1"/>
  <c r="S759" i="1"/>
  <c r="S651" i="1"/>
  <c r="S762" i="1"/>
  <c r="S677" i="1"/>
  <c r="S765" i="1"/>
  <c r="S567" i="1"/>
  <c r="S773" i="1"/>
  <c r="S774" i="1"/>
  <c r="S778" i="1"/>
  <c r="S777" i="1"/>
  <c r="S783" i="1"/>
  <c r="S781" i="1"/>
  <c r="S616" i="1"/>
  <c r="S784" i="1"/>
  <c r="S785" i="1"/>
  <c r="S624" i="1"/>
  <c r="S745" i="1"/>
  <c r="S788" i="1"/>
  <c r="S792" i="1"/>
  <c r="S797" i="1"/>
  <c r="S796" i="1"/>
  <c r="S695" i="1"/>
  <c r="S618" i="1"/>
  <c r="S839" i="1"/>
  <c r="S802" i="1"/>
  <c r="S801" i="1"/>
  <c r="S804" i="1"/>
  <c r="S807" i="1"/>
  <c r="S775" i="1"/>
  <c r="S809" i="1"/>
  <c r="S607" i="1"/>
  <c r="S702" i="1"/>
  <c r="S810" i="1"/>
  <c r="S812" i="1"/>
  <c r="S517" i="1"/>
  <c r="S815" i="1"/>
  <c r="S817" i="1"/>
  <c r="S813" i="1"/>
  <c r="S814" i="1"/>
  <c r="S697" i="1"/>
  <c r="S820" i="1"/>
  <c r="S740" i="1"/>
  <c r="S821" i="1"/>
  <c r="S822" i="1"/>
  <c r="S672" i="1"/>
  <c r="S828" i="1"/>
  <c r="S833" i="1"/>
  <c r="S837" i="1"/>
  <c r="S610" i="1"/>
  <c r="S604" i="1"/>
  <c r="S625" i="1"/>
  <c r="S655" i="1"/>
  <c r="S794" i="1"/>
  <c r="S827" i="1"/>
  <c r="S844" i="1"/>
  <c r="S526" i="1"/>
  <c r="S786" i="1"/>
  <c r="S829" i="1"/>
  <c r="S690" i="1"/>
  <c r="S836" i="1"/>
  <c r="S842" i="1"/>
  <c r="S530" i="1"/>
  <c r="S598" i="1"/>
  <c r="S589" i="1"/>
  <c r="C589" i="1"/>
  <c r="D589" i="1"/>
  <c r="E589" i="1"/>
  <c r="E598" i="1"/>
  <c r="D598" i="1"/>
  <c r="C598" i="1"/>
  <c r="E530" i="1"/>
  <c r="D530" i="1"/>
  <c r="C530" i="1"/>
  <c r="E842" i="1"/>
  <c r="D842" i="1"/>
  <c r="C842" i="1"/>
  <c r="C836" i="1"/>
  <c r="D836" i="1"/>
  <c r="E836" i="1"/>
  <c r="C690" i="1"/>
  <c r="D690" i="1"/>
  <c r="E690" i="1"/>
  <c r="C844" i="1"/>
  <c r="D844" i="1"/>
  <c r="E844" i="1"/>
  <c r="C827" i="1"/>
  <c r="D827" i="1"/>
  <c r="E827" i="1"/>
  <c r="C794" i="1"/>
  <c r="D794" i="1"/>
  <c r="E794" i="1"/>
  <c r="C655" i="1"/>
  <c r="D655" i="1"/>
  <c r="E655" i="1"/>
  <c r="C625" i="1"/>
  <c r="D625" i="1"/>
  <c r="E625" i="1"/>
  <c r="C604" i="1"/>
  <c r="D604" i="1"/>
  <c r="E604" i="1"/>
  <c r="C760" i="1"/>
  <c r="D760" i="1"/>
  <c r="E760" i="1"/>
  <c r="C781" i="1"/>
  <c r="D781" i="1"/>
  <c r="E781" i="1"/>
  <c r="C783" i="1"/>
  <c r="D783" i="1"/>
  <c r="E783" i="1"/>
  <c r="C694" i="1"/>
  <c r="D694" i="1"/>
  <c r="E694" i="1"/>
  <c r="E517" i="1"/>
  <c r="D517" i="1"/>
  <c r="C517" i="1"/>
  <c r="E817" i="1"/>
  <c r="D817" i="1"/>
  <c r="C817" i="1"/>
  <c r="E697" i="1"/>
  <c r="D697" i="1"/>
  <c r="C697" i="1"/>
  <c r="C702" i="1"/>
  <c r="D702" i="1"/>
  <c r="E702" i="1"/>
  <c r="C778" i="1"/>
  <c r="D778" i="1"/>
  <c r="E778" i="1"/>
  <c r="C826" i="1"/>
  <c r="D826" i="1"/>
  <c r="E826" i="1"/>
  <c r="C629" i="1"/>
  <c r="D629" i="1"/>
  <c r="E629" i="1"/>
  <c r="C838" i="1"/>
  <c r="D838" i="1"/>
  <c r="E838" i="1"/>
  <c r="E651" i="1"/>
  <c r="D651" i="1"/>
  <c r="C651" i="1"/>
  <c r="C720" i="1"/>
  <c r="D720" i="1"/>
  <c r="E720" i="1"/>
  <c r="C786" i="1"/>
  <c r="D786" i="1"/>
  <c r="E786" i="1"/>
  <c r="E577" i="1"/>
  <c r="D577" i="1"/>
  <c r="C577" i="1"/>
  <c r="C797" i="1"/>
  <c r="D797" i="1"/>
  <c r="E797" i="1"/>
  <c r="C816" i="1"/>
  <c r="D816" i="1"/>
  <c r="E816" i="1"/>
  <c r="E713" i="1"/>
  <c r="D713" i="1"/>
  <c r="C713" i="1"/>
  <c r="C802" i="1"/>
  <c r="D802" i="1"/>
  <c r="E802" i="1"/>
  <c r="C526" i="1"/>
  <c r="D526" i="1"/>
  <c r="E526" i="1"/>
  <c r="C815" i="1"/>
  <c r="D815" i="1"/>
  <c r="E815" i="1"/>
  <c r="C574" i="1"/>
  <c r="D574" i="1"/>
  <c r="E574" i="1"/>
  <c r="C547" i="1"/>
  <c r="D547" i="1"/>
  <c r="E547" i="1"/>
  <c r="C594" i="1"/>
  <c r="D594" i="1"/>
  <c r="E594" i="1"/>
  <c r="C829" i="1"/>
  <c r="D829" i="1"/>
  <c r="E829" i="1"/>
  <c r="C724" i="1"/>
  <c r="D724" i="1"/>
  <c r="E724" i="1"/>
  <c r="C580" i="1"/>
  <c r="D580" i="1"/>
  <c r="E580" i="1"/>
  <c r="C814" i="1"/>
  <c r="D814" i="1"/>
  <c r="E814" i="1"/>
  <c r="C759" i="1"/>
  <c r="D759" i="1"/>
  <c r="E759" i="1"/>
  <c r="C689" i="1"/>
  <c r="D689" i="1"/>
  <c r="E689" i="1"/>
  <c r="C784" i="1"/>
  <c r="D784" i="1"/>
  <c r="E784" i="1"/>
  <c r="C762" i="1"/>
  <c r="D762" i="1"/>
  <c r="E762" i="1"/>
  <c r="C821" i="1"/>
  <c r="D821" i="1"/>
  <c r="E821" i="1"/>
  <c r="C812" i="1"/>
  <c r="D812" i="1"/>
  <c r="E812" i="1"/>
  <c r="C681" i="1"/>
  <c r="D681" i="1"/>
  <c r="E681" i="1"/>
  <c r="C676" i="1"/>
  <c r="D676" i="1"/>
  <c r="E676" i="1"/>
  <c r="C550" i="1"/>
  <c r="D550" i="1"/>
  <c r="E550" i="1"/>
  <c r="C757" i="1"/>
  <c r="D757" i="1"/>
  <c r="E757" i="1"/>
  <c r="C731" i="1"/>
  <c r="D731" i="1"/>
  <c r="E731" i="1"/>
  <c r="C675" i="1"/>
  <c r="D675" i="1"/>
  <c r="E675" i="1"/>
  <c r="C820" i="1"/>
  <c r="D820" i="1"/>
  <c r="E820" i="1"/>
  <c r="C670" i="1"/>
  <c r="D670" i="1"/>
  <c r="E670" i="1"/>
  <c r="E667" i="1"/>
  <c r="E739" i="1"/>
  <c r="E828" i="1"/>
  <c r="E810" i="1"/>
  <c r="E554" i="1"/>
  <c r="E756" i="1"/>
  <c r="E715" i="1"/>
  <c r="E799" i="1"/>
  <c r="E796" i="1"/>
  <c r="E723" i="1"/>
  <c r="E801" i="1"/>
  <c r="E804" i="1"/>
  <c r="E753" i="1"/>
  <c r="E623" i="1"/>
  <c r="E788" i="1"/>
  <c r="E708" i="1"/>
  <c r="E719" i="1"/>
  <c r="E692" i="1"/>
  <c r="E780" i="1"/>
  <c r="E619" i="1"/>
  <c r="E622" i="1"/>
  <c r="E579" i="1"/>
  <c r="E752" i="1"/>
  <c r="E758" i="1"/>
  <c r="E766" i="1"/>
  <c r="E732" i="1"/>
  <c r="E763" i="1"/>
  <c r="E643" i="1"/>
  <c r="E559" i="1"/>
  <c r="E576" i="1"/>
  <c r="E696" i="1"/>
  <c r="E631" i="1"/>
  <c r="E671" i="1"/>
  <c r="E737" i="1"/>
  <c r="E749" i="1"/>
  <c r="E656" i="1"/>
  <c r="E680" i="1"/>
  <c r="E648" i="1"/>
  <c r="E792" i="1"/>
  <c r="E658" i="1"/>
  <c r="E727" i="1"/>
  <c r="E742" i="1"/>
  <c r="E588" i="1"/>
  <c r="E597" i="1"/>
  <c r="E839" i="1"/>
  <c r="E734" i="1"/>
  <c r="E592" i="1"/>
  <c r="E612" i="1"/>
  <c r="E684" i="1"/>
  <c r="E754" i="1"/>
  <c r="E561" i="1"/>
  <c r="E701" i="1"/>
  <c r="E765" i="1"/>
  <c r="E650" i="1"/>
  <c r="E718" i="1"/>
  <c r="E647" i="1"/>
  <c r="E528" i="1"/>
  <c r="E544" i="1"/>
  <c r="E654" i="1"/>
  <c r="E562" i="1"/>
  <c r="E699" i="1"/>
  <c r="E543" i="1"/>
  <c r="E661" i="1"/>
  <c r="E691" i="1"/>
  <c r="E712" i="1"/>
  <c r="E710" i="1"/>
  <c r="E541" i="1"/>
  <c r="E657" i="1"/>
  <c r="E688" i="1"/>
  <c r="E785" i="1"/>
  <c r="E717" i="1"/>
  <c r="E552" i="1"/>
  <c r="E578" i="1"/>
  <c r="E609" i="1"/>
  <c r="E633" i="1"/>
  <c r="E662" i="1"/>
  <c r="E571" i="1"/>
  <c r="E603" i="1"/>
  <c r="E611" i="1"/>
  <c r="E649" i="1"/>
  <c r="E743" i="1"/>
  <c r="E807" i="1"/>
  <c r="E775" i="1"/>
  <c r="E738" i="1"/>
  <c r="E617" i="1"/>
  <c r="E709" i="1"/>
  <c r="E584" i="1"/>
  <c r="E704" i="1"/>
  <c r="E630" i="1"/>
  <c r="E695" i="1"/>
  <c r="E777" i="1"/>
  <c r="E774" i="1"/>
  <c r="E700" i="1"/>
  <c r="E601" i="1"/>
  <c r="E711" i="1"/>
  <c r="E837" i="1"/>
  <c r="E519" i="1"/>
  <c r="E560" i="1"/>
  <c r="E813" i="1"/>
  <c r="E740" i="1"/>
  <c r="E627" i="1"/>
  <c r="E635" i="1"/>
  <c r="E644" i="1"/>
  <c r="E746" i="1"/>
  <c r="E634" i="1"/>
  <c r="E621" i="1"/>
  <c r="E545" i="1"/>
  <c r="E514" i="1"/>
  <c r="E567" i="1"/>
  <c r="E751" i="1"/>
  <c r="E527" i="1"/>
  <c r="E693" i="1"/>
  <c r="E553" i="1"/>
  <c r="E616" i="1"/>
  <c r="E640" i="1"/>
  <c r="E822" i="1"/>
  <c r="E624" i="1"/>
  <c r="E745" i="1"/>
  <c r="E632" i="1"/>
  <c r="E664" i="1"/>
  <c r="E595" i="1"/>
  <c r="E773" i="1"/>
  <c r="E523" i="1"/>
  <c r="E563" i="1"/>
  <c r="E833" i="1"/>
  <c r="E725" i="1"/>
  <c r="E587" i="1"/>
  <c r="E607" i="1"/>
  <c r="E637" i="1"/>
  <c r="E641" i="1"/>
  <c r="E521" i="1"/>
  <c r="E581" i="1"/>
  <c r="E618" i="1"/>
  <c r="E638" i="1"/>
  <c r="E639" i="1"/>
  <c r="E645" i="1"/>
  <c r="E591" i="1"/>
  <c r="E674" i="1"/>
  <c r="E672" i="1"/>
  <c r="E565" i="1"/>
  <c r="E677" i="1"/>
  <c r="E605" i="1"/>
  <c r="E747" i="1"/>
  <c r="C765" i="1"/>
  <c r="D765" i="1"/>
  <c r="C654" i="1"/>
  <c r="D654" i="1"/>
  <c r="C756" i="1"/>
  <c r="D756" i="1"/>
  <c r="C796" i="1"/>
  <c r="D796" i="1"/>
  <c r="C799" i="1"/>
  <c r="D799" i="1"/>
  <c r="C813" i="1"/>
  <c r="D813" i="1"/>
  <c r="C785" i="1"/>
  <c r="D785" i="1"/>
  <c r="C810" i="1"/>
  <c r="D810" i="1"/>
  <c r="C804" i="1"/>
  <c r="D804" i="1"/>
  <c r="C801" i="1"/>
  <c r="D801" i="1"/>
  <c r="C828" i="1"/>
  <c r="D828" i="1"/>
  <c r="C833" i="1"/>
  <c r="D833" i="1"/>
  <c r="C822" i="1"/>
  <c r="D822" i="1"/>
  <c r="C792" i="1"/>
  <c r="D792" i="1"/>
  <c r="C788" i="1"/>
  <c r="D788" i="1"/>
  <c r="D667" i="1"/>
  <c r="D554" i="1"/>
  <c r="D747" i="1"/>
  <c r="D807" i="1"/>
  <c r="D715" i="1"/>
  <c r="D723" i="1"/>
  <c r="D753" i="1"/>
  <c r="D623" i="1"/>
  <c r="D708" i="1"/>
  <c r="D719" i="1"/>
  <c r="D692" i="1"/>
  <c r="D780" i="1"/>
  <c r="D619" i="1"/>
  <c r="D622" i="1"/>
  <c r="D579" i="1"/>
  <c r="D752" i="1"/>
  <c r="D758" i="1"/>
  <c r="D766" i="1"/>
  <c r="D732" i="1"/>
  <c r="D763" i="1"/>
  <c r="D643" i="1"/>
  <c r="D559" i="1"/>
  <c r="D576" i="1"/>
  <c r="D696" i="1"/>
  <c r="D631" i="1"/>
  <c r="D671" i="1"/>
  <c r="D737" i="1"/>
  <c r="D749" i="1"/>
  <c r="D656" i="1"/>
  <c r="D680" i="1"/>
  <c r="D648" i="1"/>
  <c r="D658" i="1"/>
  <c r="D727" i="1"/>
  <c r="D742" i="1"/>
  <c r="D588" i="1"/>
  <c r="D597" i="1"/>
  <c r="D839" i="1"/>
  <c r="D734" i="1"/>
  <c r="D592" i="1"/>
  <c r="D612" i="1"/>
  <c r="D684" i="1"/>
  <c r="D754" i="1"/>
  <c r="D561" i="1"/>
  <c r="D701" i="1"/>
  <c r="D650" i="1"/>
  <c r="D718" i="1"/>
  <c r="D647" i="1"/>
  <c r="D528" i="1"/>
  <c r="D544" i="1"/>
  <c r="D562" i="1"/>
  <c r="D699" i="1"/>
  <c r="D543" i="1"/>
  <c r="D661" i="1"/>
  <c r="D691" i="1"/>
  <c r="D712" i="1"/>
  <c r="D710" i="1"/>
  <c r="D541" i="1"/>
  <c r="D657" i="1"/>
  <c r="D688" i="1"/>
  <c r="D717" i="1"/>
  <c r="D552" i="1"/>
  <c r="D578" i="1"/>
  <c r="D609" i="1"/>
  <c r="D633" i="1"/>
  <c r="D662" i="1"/>
  <c r="D571" i="1"/>
  <c r="D603" i="1"/>
  <c r="D611" i="1"/>
  <c r="D649" i="1"/>
  <c r="D743" i="1"/>
  <c r="D775" i="1"/>
  <c r="D738" i="1"/>
  <c r="D617" i="1"/>
  <c r="D709" i="1"/>
  <c r="D584" i="1"/>
  <c r="D704" i="1"/>
  <c r="D630" i="1"/>
  <c r="D695" i="1"/>
  <c r="D777" i="1"/>
  <c r="D774" i="1"/>
  <c r="D700" i="1"/>
  <c r="D601" i="1"/>
  <c r="D711" i="1"/>
  <c r="D837" i="1"/>
  <c r="D519" i="1"/>
  <c r="D560" i="1"/>
  <c r="D740" i="1"/>
  <c r="D627" i="1"/>
  <c r="D635" i="1"/>
  <c r="D644" i="1"/>
  <c r="D746" i="1"/>
  <c r="D634" i="1"/>
  <c r="D621" i="1"/>
  <c r="D545" i="1"/>
  <c r="D514" i="1"/>
  <c r="D567" i="1"/>
  <c r="D751" i="1"/>
  <c r="D527" i="1"/>
  <c r="D693" i="1"/>
  <c r="D553" i="1"/>
  <c r="D616" i="1"/>
  <c r="D640" i="1"/>
  <c r="D624" i="1"/>
  <c r="D745" i="1"/>
  <c r="D632" i="1"/>
  <c r="D664" i="1"/>
  <c r="D595" i="1"/>
  <c r="D773" i="1"/>
  <c r="D523" i="1"/>
  <c r="D563" i="1"/>
  <c r="D725" i="1"/>
  <c r="D587" i="1"/>
  <c r="D607" i="1"/>
  <c r="D637" i="1"/>
  <c r="D641" i="1"/>
  <c r="D521" i="1"/>
  <c r="D581" i="1"/>
  <c r="D618" i="1"/>
  <c r="D638" i="1"/>
  <c r="D639" i="1"/>
  <c r="D645" i="1"/>
  <c r="D591" i="1"/>
  <c r="D674" i="1"/>
  <c r="D672" i="1"/>
  <c r="D565" i="1"/>
  <c r="D677" i="1"/>
  <c r="D605" i="1"/>
  <c r="C667" i="1"/>
  <c r="C554" i="1"/>
  <c r="C747" i="1"/>
  <c r="C807" i="1"/>
  <c r="C715" i="1"/>
  <c r="C723" i="1"/>
  <c r="C753" i="1"/>
  <c r="C623" i="1"/>
  <c r="C708" i="1"/>
  <c r="C719" i="1"/>
  <c r="C692" i="1"/>
  <c r="C780" i="1"/>
  <c r="C619" i="1"/>
  <c r="C622" i="1"/>
  <c r="C579" i="1"/>
  <c r="C752" i="1"/>
  <c r="C758" i="1"/>
  <c r="C766" i="1"/>
  <c r="C732" i="1"/>
  <c r="C763" i="1"/>
  <c r="C643" i="1"/>
  <c r="C559" i="1"/>
  <c r="C576" i="1"/>
  <c r="C696" i="1"/>
  <c r="C631" i="1"/>
  <c r="C671" i="1"/>
  <c r="C737" i="1"/>
  <c r="C749" i="1"/>
  <c r="C656" i="1"/>
  <c r="C680" i="1"/>
  <c r="C648" i="1"/>
  <c r="C658" i="1"/>
  <c r="C727" i="1"/>
  <c r="C742" i="1"/>
  <c r="C588" i="1"/>
  <c r="C597" i="1"/>
  <c r="C839" i="1"/>
  <c r="C734" i="1"/>
  <c r="C592" i="1"/>
  <c r="C612" i="1"/>
  <c r="C684" i="1"/>
  <c r="C754" i="1"/>
  <c r="C561" i="1"/>
  <c r="C701" i="1"/>
  <c r="C650" i="1"/>
  <c r="C718" i="1"/>
  <c r="C647" i="1"/>
  <c r="C528" i="1"/>
  <c r="C544" i="1"/>
  <c r="C562" i="1"/>
  <c r="C699" i="1"/>
  <c r="C543" i="1"/>
  <c r="C661" i="1"/>
  <c r="C691" i="1"/>
  <c r="C712" i="1"/>
  <c r="C710" i="1"/>
  <c r="C541" i="1"/>
  <c r="C657" i="1"/>
  <c r="C688" i="1"/>
  <c r="C717" i="1"/>
  <c r="C552" i="1"/>
  <c r="C578" i="1"/>
  <c r="C609" i="1"/>
  <c r="C633" i="1"/>
  <c r="C662" i="1"/>
  <c r="C571" i="1"/>
  <c r="C603" i="1"/>
  <c r="C611" i="1"/>
  <c r="C649" i="1"/>
  <c r="C743" i="1"/>
  <c r="C775" i="1"/>
  <c r="C738" i="1"/>
  <c r="C617" i="1"/>
  <c r="C709" i="1"/>
  <c r="C584" i="1"/>
  <c r="C704" i="1"/>
  <c r="C630" i="1"/>
  <c r="C695" i="1"/>
  <c r="C777" i="1"/>
  <c r="C774" i="1"/>
  <c r="C700" i="1"/>
  <c r="C601" i="1"/>
  <c r="C711" i="1"/>
  <c r="C837" i="1"/>
  <c r="C519" i="1"/>
  <c r="C560" i="1"/>
  <c r="C740" i="1"/>
  <c r="C627" i="1"/>
  <c r="C635" i="1"/>
  <c r="C644" i="1"/>
  <c r="C746" i="1"/>
  <c r="C634" i="1"/>
  <c r="C621" i="1"/>
  <c r="C545" i="1"/>
  <c r="C514" i="1"/>
  <c r="C567" i="1"/>
  <c r="C751" i="1"/>
  <c r="C527" i="1"/>
  <c r="C693" i="1"/>
  <c r="C553" i="1"/>
  <c r="C616" i="1"/>
  <c r="C640" i="1"/>
  <c r="C624" i="1"/>
  <c r="C745" i="1"/>
  <c r="C632" i="1"/>
  <c r="C664" i="1"/>
  <c r="C595" i="1"/>
  <c r="C773" i="1"/>
  <c r="C523" i="1"/>
  <c r="C563" i="1"/>
  <c r="C725" i="1"/>
  <c r="C587" i="1"/>
  <c r="C607" i="1"/>
  <c r="C637" i="1"/>
  <c r="C641" i="1"/>
  <c r="C521" i="1"/>
  <c r="C581" i="1"/>
  <c r="C618" i="1"/>
  <c r="C638" i="1"/>
  <c r="C639" i="1"/>
  <c r="C645" i="1"/>
  <c r="C591" i="1"/>
  <c r="C674" i="1"/>
  <c r="C672" i="1"/>
  <c r="C565" i="1"/>
  <c r="C677" i="1"/>
  <c r="C605" i="1"/>
  <c r="D739" i="1"/>
  <c r="C739" i="1"/>
  <c r="I42" i="11"/>
  <c r="I43" i="11"/>
  <c r="I48" i="11"/>
  <c r="I44" i="11"/>
  <c r="I49" i="11"/>
  <c r="I45" i="11"/>
  <c r="I47" i="11"/>
  <c r="I46" i="11"/>
  <c r="B679" i="1" l="1"/>
  <c r="B569" i="1"/>
  <c r="B674" i="1"/>
  <c r="B641" i="1"/>
  <c r="B595" i="1"/>
  <c r="D11" i="12"/>
  <c r="D13" i="12"/>
  <c r="B568" i="1"/>
  <c r="B755" i="1"/>
  <c r="B538" i="1"/>
  <c r="B646" i="1"/>
  <c r="B542" i="1"/>
  <c r="B565" i="1"/>
  <c r="B672" i="1"/>
  <c r="B521" i="1"/>
  <c r="B773" i="1"/>
  <c r="B3" i="1"/>
  <c r="B588" i="1"/>
  <c r="B726" i="1"/>
  <c r="B628" i="1"/>
  <c r="B652" i="1"/>
  <c r="B851" i="1"/>
  <c r="B119" i="10"/>
  <c r="B389" i="10"/>
  <c r="B252" i="1"/>
  <c r="B475" i="1"/>
  <c r="B27" i="1"/>
  <c r="B220" i="1"/>
  <c r="B472" i="1"/>
  <c r="B505" i="1"/>
  <c r="B572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8" i="1"/>
  <c r="B330" i="10"/>
  <c r="B190" i="1"/>
  <c r="B316" i="1"/>
  <c r="B494" i="1"/>
  <c r="B81" i="1"/>
  <c r="B372" i="1"/>
  <c r="B54" i="1"/>
  <c r="B438" i="1"/>
  <c r="B4" i="1"/>
  <c r="B118" i="1"/>
  <c r="B795" i="1"/>
  <c r="B590" i="1"/>
  <c r="B615" i="1"/>
  <c r="B444" i="1"/>
  <c r="B304" i="1"/>
  <c r="B849" i="1"/>
  <c r="B213" i="1"/>
  <c r="B818" i="1"/>
  <c r="B813" i="1"/>
  <c r="B68" i="1"/>
  <c r="B74" i="1"/>
  <c r="B417" i="1"/>
  <c r="B225" i="1"/>
  <c r="B750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11" i="1"/>
  <c r="B736" i="1"/>
  <c r="B55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31" i="1"/>
  <c r="B721" i="1"/>
  <c r="B111" i="1"/>
  <c r="B337" i="1"/>
  <c r="B172" i="1"/>
  <c r="B353" i="1"/>
  <c r="B805" i="1"/>
  <c r="B650" i="1"/>
  <c r="B838" i="1"/>
  <c r="B715" i="1"/>
  <c r="B550" i="1"/>
  <c r="B759" i="1"/>
  <c r="B649" i="1"/>
  <c r="B592" i="1"/>
  <c r="B829" i="1"/>
  <c r="B816" i="1"/>
  <c r="B697" i="1"/>
  <c r="B781" i="1"/>
  <c r="B362" i="10"/>
  <c r="B365" i="10"/>
  <c r="B305" i="10"/>
  <c r="B844" i="1"/>
  <c r="B842" i="1"/>
  <c r="B11" i="10"/>
  <c r="B19" i="10"/>
  <c r="B27" i="10"/>
  <c r="B35" i="10"/>
  <c r="B43" i="10"/>
  <c r="B51" i="10"/>
  <c r="B67" i="10"/>
  <c r="B75" i="10"/>
  <c r="B543" i="1"/>
  <c r="B701" i="1"/>
  <c r="B804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40" i="1"/>
  <c r="B98" i="1"/>
  <c r="B135" i="1"/>
  <c r="B329" i="1"/>
  <c r="B387" i="1"/>
  <c r="B425" i="1"/>
  <c r="B192" i="1"/>
  <c r="B22" i="1"/>
  <c r="B161" i="1"/>
  <c r="B768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2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626" i="1"/>
  <c r="B6" i="10"/>
  <c r="B102" i="10"/>
  <c r="B298" i="10"/>
  <c r="B350" i="10"/>
  <c r="B394" i="10"/>
  <c r="B100" i="10"/>
  <c r="B304" i="10"/>
  <c r="B158" i="10"/>
  <c r="B338" i="10"/>
  <c r="B850" i="1"/>
  <c r="B819" i="1"/>
  <c r="B54" i="10"/>
  <c r="B86" i="10"/>
  <c r="B162" i="10"/>
  <c r="B282" i="10"/>
  <c r="B322" i="10"/>
  <c r="B68" i="10"/>
  <c r="B224" i="10"/>
  <c r="B328" i="10"/>
  <c r="B392" i="10"/>
  <c r="B780" i="1"/>
  <c r="B778" i="1"/>
  <c r="B760" i="1"/>
  <c r="B196" i="10"/>
  <c r="B244" i="10"/>
  <c r="B260" i="10"/>
  <c r="B308" i="10"/>
  <c r="B316" i="10"/>
  <c r="B360" i="10"/>
  <c r="B368" i="10"/>
  <c r="B374" i="10"/>
  <c r="B607" i="1"/>
  <c r="B662" i="1"/>
  <c r="B774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2" i="1"/>
  <c r="B553" i="1"/>
  <c r="B561" i="1"/>
  <c r="B601" i="1"/>
  <c r="B684" i="1"/>
  <c r="B404" i="10"/>
  <c r="B834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43" i="1"/>
  <c r="B578" i="1"/>
  <c r="B691" i="1"/>
  <c r="B718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71" i="1"/>
  <c r="B806" i="1"/>
  <c r="B506" i="1"/>
  <c r="B837" i="1"/>
  <c r="B394" i="1"/>
  <c r="B455" i="1"/>
  <c r="B108" i="1"/>
  <c r="B669" i="1"/>
  <c r="B634" i="1"/>
  <c r="B94" i="1"/>
  <c r="B17" i="1"/>
  <c r="B423" i="1"/>
  <c r="B393" i="1"/>
  <c r="B209" i="1"/>
  <c r="B386" i="1"/>
  <c r="B254" i="1"/>
  <c r="B500" i="1"/>
  <c r="B549" i="1"/>
  <c r="B791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39" i="1"/>
  <c r="B584" i="1"/>
  <c r="B554" i="1"/>
  <c r="B516" i="1"/>
  <c r="B620" i="1"/>
  <c r="B548" i="1"/>
  <c r="B562" i="1"/>
  <c r="B177" i="10"/>
  <c r="B670" i="1"/>
  <c r="B655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16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44" i="1"/>
  <c r="B702" i="1"/>
  <c r="B496" i="1"/>
  <c r="B157" i="1"/>
  <c r="B466" i="1"/>
  <c r="B497" i="1"/>
  <c r="B468" i="1"/>
  <c r="B408" i="1"/>
  <c r="B260" i="1"/>
  <c r="B450" i="1"/>
  <c r="B384" i="1"/>
  <c r="B277" i="1"/>
  <c r="B623" i="1"/>
  <c r="B756" i="1"/>
  <c r="B240" i="1"/>
  <c r="B354" i="1"/>
  <c r="B128" i="1"/>
  <c r="B436" i="1"/>
  <c r="B87" i="1"/>
  <c r="B624" i="1"/>
  <c r="B828" i="1"/>
  <c r="B676" i="1"/>
  <c r="B693" i="1"/>
  <c r="B746" i="1"/>
  <c r="B711" i="1"/>
  <c r="B704" i="1"/>
  <c r="B563" i="1"/>
  <c r="B801" i="1"/>
  <c r="B757" i="1"/>
  <c r="B36" i="10"/>
  <c r="B84" i="10"/>
  <c r="B132" i="10"/>
  <c r="B168" i="10"/>
  <c r="B208" i="10"/>
  <c r="B240" i="10"/>
  <c r="B671" i="1"/>
  <c r="B752" i="1"/>
  <c r="B740" i="1"/>
  <c r="B788" i="1"/>
  <c r="B645" i="1"/>
  <c r="B664" i="1"/>
  <c r="B527" i="1"/>
  <c r="B644" i="1"/>
  <c r="B611" i="1"/>
  <c r="B717" i="1"/>
  <c r="B581" i="1"/>
  <c r="B523" i="1"/>
  <c r="B625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23" i="1"/>
  <c r="B742" i="1"/>
  <c r="B617" i="1"/>
  <c r="B833" i="1"/>
  <c r="B727" i="1"/>
  <c r="B612" i="1"/>
  <c r="B639" i="1"/>
  <c r="B766" i="1"/>
  <c r="B696" i="1"/>
  <c r="B785" i="1"/>
  <c r="B745" i="1"/>
  <c r="B567" i="1"/>
  <c r="B627" i="1"/>
  <c r="B709" i="1"/>
  <c r="B571" i="1"/>
  <c r="B657" i="1"/>
  <c r="B597" i="1"/>
  <c r="B749" i="1"/>
  <c r="B763" i="1"/>
  <c r="B732" i="1"/>
  <c r="B822" i="1"/>
  <c r="B799" i="1"/>
  <c r="B675" i="1"/>
  <c r="B827" i="1"/>
  <c r="B598" i="1"/>
  <c r="B789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42" i="1"/>
  <c r="B58" i="1"/>
  <c r="B613" i="1"/>
  <c r="B705" i="1"/>
  <c r="B770" i="1"/>
  <c r="B534" i="1"/>
  <c r="B529" i="1"/>
  <c r="B707" i="1"/>
  <c r="B730" i="1"/>
  <c r="B729" i="1"/>
  <c r="B582" i="1"/>
  <c r="B57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803" i="1"/>
  <c r="B779" i="1"/>
  <c r="B703" i="1"/>
  <c r="B714" i="1"/>
  <c r="B653" i="1"/>
  <c r="B776" i="1"/>
  <c r="B769" i="1"/>
  <c r="B668" i="1"/>
  <c r="B733" i="1"/>
  <c r="B665" i="1"/>
  <c r="B787" i="1"/>
  <c r="B798" i="1"/>
  <c r="B614" i="1"/>
  <c r="B793" i="1"/>
  <c r="B589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4" i="1"/>
  <c r="B654" i="1"/>
  <c r="B826" i="1"/>
  <c r="B247" i="1"/>
  <c r="B136" i="1"/>
  <c r="B428" i="1"/>
  <c r="B331" i="1"/>
  <c r="B296" i="1"/>
  <c r="B217" i="1"/>
  <c r="B73" i="1"/>
  <c r="B228" i="1"/>
  <c r="B23" i="1"/>
  <c r="B680" i="1"/>
  <c r="B739" i="1"/>
  <c r="B751" i="1"/>
  <c r="B635" i="1"/>
  <c r="B603" i="1"/>
  <c r="B688" i="1"/>
  <c r="B699" i="1"/>
  <c r="B656" i="1"/>
  <c r="B643" i="1"/>
  <c r="B619" i="1"/>
  <c r="B689" i="1"/>
  <c r="B574" i="1"/>
  <c r="B114" i="10"/>
  <c r="B47" i="1"/>
  <c r="B315" i="1"/>
  <c r="B399" i="1"/>
  <c r="B119" i="1"/>
  <c r="B32" i="1"/>
  <c r="B273" i="1"/>
  <c r="B43" i="1"/>
  <c r="B349" i="1"/>
  <c r="B502" i="1"/>
  <c r="B327" i="1"/>
  <c r="B647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76" i="1"/>
  <c r="B700" i="1"/>
  <c r="B677" i="1"/>
  <c r="B618" i="1"/>
  <c r="B737" i="1"/>
  <c r="B142" i="10"/>
  <c r="B352" i="10"/>
  <c r="B559" i="1"/>
  <c r="B630" i="1"/>
  <c r="B276" i="1"/>
  <c r="B258" i="1"/>
  <c r="B471" i="1"/>
  <c r="B397" i="1"/>
  <c r="B255" i="1"/>
  <c r="B490" i="1"/>
  <c r="B180" i="1"/>
  <c r="B501" i="1"/>
  <c r="B830" i="1"/>
  <c r="B11" i="1"/>
  <c r="B129" i="1"/>
  <c r="B182" i="1"/>
  <c r="B648" i="1"/>
  <c r="B616" i="1"/>
  <c r="B621" i="1"/>
  <c r="B519" i="1"/>
  <c r="B775" i="1"/>
  <c r="B609" i="1"/>
  <c r="B758" i="1"/>
  <c r="B708" i="1"/>
  <c r="B667" i="1"/>
  <c r="B724" i="1"/>
  <c r="B651" i="1"/>
  <c r="B783" i="1"/>
  <c r="B435" i="1"/>
  <c r="B470" i="1"/>
  <c r="B242" i="1"/>
  <c r="B317" i="1"/>
  <c r="B487" i="1"/>
  <c r="B291" i="1"/>
  <c r="B536" i="1"/>
  <c r="B18" i="1"/>
  <c r="B112" i="1"/>
  <c r="B169" i="1"/>
  <c r="B636" i="1"/>
  <c r="B566" i="1"/>
  <c r="B772" i="1"/>
  <c r="B841" i="1"/>
  <c r="B570" i="1"/>
  <c r="B790" i="1"/>
  <c r="B532" i="1"/>
  <c r="B556" i="1"/>
  <c r="B602" i="1"/>
  <c r="B698" i="1"/>
  <c r="B573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47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0" i="1"/>
  <c r="B545" i="1"/>
  <c r="B560" i="1"/>
  <c r="B738" i="1"/>
  <c r="B633" i="1"/>
  <c r="B710" i="1"/>
  <c r="B692" i="1"/>
  <c r="B747" i="1"/>
  <c r="B637" i="1"/>
  <c r="B719" i="1"/>
  <c r="B810" i="1"/>
  <c r="B796" i="1"/>
  <c r="B812" i="1"/>
  <c r="B815" i="1"/>
  <c r="B713" i="1"/>
  <c r="B30" i="10"/>
  <c r="B94" i="10"/>
  <c r="B110" i="10"/>
  <c r="B118" i="10"/>
  <c r="B186" i="10"/>
  <c r="B410" i="1"/>
  <c r="B292" i="1"/>
  <c r="B525" i="1"/>
  <c r="B777" i="1"/>
  <c r="B754" i="1"/>
  <c r="B580" i="1"/>
  <c r="B802" i="1"/>
  <c r="B786" i="1"/>
  <c r="B48" i="10"/>
  <c r="B104" i="10"/>
  <c r="B120" i="10"/>
  <c r="B188" i="10"/>
  <c r="B204" i="10"/>
  <c r="B591" i="1"/>
  <c r="B762" i="1"/>
  <c r="B594" i="1"/>
  <c r="B797" i="1"/>
  <c r="B552" i="1"/>
  <c r="B661" i="1"/>
  <c r="B587" i="1"/>
  <c r="B528" i="1"/>
  <c r="B658" i="1"/>
  <c r="B731" i="1"/>
  <c r="B577" i="1"/>
  <c r="B720" i="1"/>
  <c r="B725" i="1"/>
  <c r="B712" i="1"/>
  <c r="B605" i="1"/>
  <c r="B839" i="1"/>
  <c r="B579" i="1"/>
  <c r="B753" i="1"/>
  <c r="B695" i="1"/>
  <c r="B622" i="1"/>
  <c r="B723" i="1"/>
  <c r="B792" i="1"/>
  <c r="B820" i="1"/>
  <c r="B784" i="1"/>
  <c r="B547" i="1"/>
  <c r="B517" i="1"/>
  <c r="B20" i="1"/>
  <c r="B257" i="1"/>
  <c r="B300" i="1"/>
  <c r="B41" i="1"/>
  <c r="B272" i="1"/>
  <c r="B188" i="1"/>
  <c r="B224" i="1"/>
  <c r="B152" i="1"/>
  <c r="B290" i="1"/>
  <c r="B461" i="1"/>
  <c r="B694" i="1"/>
  <c r="B604" i="1"/>
  <c r="B79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14" i="1"/>
  <c r="B817" i="1"/>
  <c r="B530" i="1"/>
  <c r="B3" i="10"/>
  <c r="B12" i="10"/>
  <c r="B510" i="1"/>
  <c r="B256" i="1"/>
  <c r="B140" i="1"/>
  <c r="B481" i="1"/>
  <c r="B526" i="1"/>
  <c r="B690" i="1"/>
  <c r="B514" i="1"/>
  <c r="B541" i="1"/>
  <c r="B807" i="1"/>
  <c r="B765" i="1"/>
  <c r="B681" i="1"/>
  <c r="B821" i="1"/>
  <c r="B629" i="1"/>
  <c r="B262" i="1"/>
  <c r="B8" i="1"/>
  <c r="B359" i="1"/>
  <c r="B202" i="1"/>
  <c r="B295" i="1"/>
  <c r="B307" i="1"/>
  <c r="B69" i="1"/>
  <c r="B735" i="1"/>
  <c r="B761" i="1"/>
  <c r="B678" i="1"/>
  <c r="B832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0" i="1"/>
  <c r="B728" i="1"/>
  <c r="B663" i="1"/>
  <c r="B596" i="1"/>
  <c r="B706" i="1"/>
  <c r="B515" i="1"/>
  <c r="B782" i="1"/>
  <c r="B824" i="1"/>
  <c r="B391" i="1"/>
  <c r="B253" i="1"/>
  <c r="B585" i="1"/>
  <c r="B557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0" i="1"/>
  <c r="B673" i="1"/>
  <c r="B808" i="1"/>
  <c r="B606" i="1"/>
  <c r="B586" i="1"/>
  <c r="B659" i="1"/>
  <c r="B599" i="1"/>
  <c r="B845" i="1"/>
  <c r="B843" i="1"/>
  <c r="B583" i="1"/>
  <c r="B687" i="1"/>
  <c r="B540" i="1"/>
  <c r="B551" i="1"/>
  <c r="B686" i="1"/>
  <c r="B564" i="1"/>
  <c r="B593" i="1"/>
  <c r="B537" i="1"/>
  <c r="B555" i="1"/>
  <c r="B744" i="1"/>
  <c r="B546" i="1"/>
  <c r="B666" i="1"/>
  <c r="B722" i="1"/>
  <c r="B764" i="1"/>
  <c r="B836" i="1"/>
  <c r="B80" i="10"/>
  <c r="B88" i="10"/>
  <c r="B376" i="1"/>
  <c r="B139" i="1"/>
  <c r="B115" i="1"/>
  <c r="B452" i="1"/>
  <c r="B685" i="1"/>
  <c r="B608" i="1"/>
  <c r="B531" i="1"/>
  <c r="B518" i="1"/>
  <c r="B660" i="1"/>
  <c r="B522" i="1"/>
  <c r="B533" i="1"/>
  <c r="B835" i="1"/>
  <c r="B767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<sst xmlns="http://schemas.openxmlformats.org/spreadsheetml/2006/main" count="7426" uniqueCount="3583">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</sst>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793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8" totalsRowShown="0" headerRowDxfId="10">
  <autoFilter ref="A1:Y858" xr:uid="{2FDE3AF6-1CE1-4F38-BD72-1F03CD30F4FC}">
    <filterColumn colId="19">
      <filters>
        <dateGroupItem year="2025" dateTimeGrouping="year"/>
      </filters>
    </filterColumn>
    <filterColumn colId="23">
      <filters>
        <filter val="Tram"/>
      </filters>
    </filterColumn>
  </autoFilter>
  <sortState xmlns:xlrd2="http://schemas.microsoft.com/office/spreadsheetml/2017/richdata2" ref="A522:Y746">
    <sortCondition ref="B1:B858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8671875" defaultRowHeight="14.4" x14ac:dyDescent="0.3"/>
  <cols>
    <col min="1" max="1" width="19.5546875" style="30" bestFit="1" customWidth="1"/>
    <col min="2" max="2" width="9.5546875" style="30" bestFit="1" customWidth="1"/>
    <col min="3" max="3" width="39.6640625" style="30" bestFit="1" customWidth="1"/>
    <col min="4" max="4" width="16.33203125" style="30" bestFit="1" customWidth="1"/>
    <col min="5" max="5" width="8.88671875" style="30"/>
    <col min="6" max="6" width="30.109375" style="30" bestFit="1" customWidth="1"/>
    <col min="7" max="7" width="16.33203125" style="30" bestFit="1" customWidth="1"/>
    <col min="8" max="8" width="5.44140625" style="30" bestFit="1" customWidth="1"/>
    <col min="9" max="9" width="19.44140625" style="30" bestFit="1" customWidth="1"/>
    <col min="10" max="10" width="16.33203125" style="30" bestFit="1" customWidth="1"/>
    <col min="11" max="11" width="5.5546875" style="30" bestFit="1" customWidth="1"/>
    <col min="12" max="12" width="10.109375" style="30" bestFit="1" customWidth="1"/>
    <col min="13" max="13" width="18.88671875" style="30" bestFit="1" customWidth="1"/>
    <col min="14" max="16384" width="8.88671875" style="30"/>
  </cols>
  <sheetData>
    <row r="2" spans="3:19" ht="15" customHeight="1" x14ac:dyDescent="0.3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3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3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3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3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3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3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3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3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3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3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3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3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3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3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3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3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3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3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3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3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3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3">
      <c r="C26" s="35" t="s">
        <v>45</v>
      </c>
      <c r="D26">
        <v>3</v>
      </c>
      <c r="F26" s="2" t="s">
        <v>46</v>
      </c>
      <c r="G26">
        <v>5</v>
      </c>
    </row>
    <row r="27" spans="2:11" x14ac:dyDescent="0.3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3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3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3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3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3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3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3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3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3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3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3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3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3">
      <c r="C40" s="35" t="s">
        <v>85</v>
      </c>
      <c r="D40">
        <v>2</v>
      </c>
      <c r="F40" s="2" t="s">
        <v>86</v>
      </c>
      <c r="G40">
        <v>2</v>
      </c>
    </row>
    <row r="41" spans="3:15" x14ac:dyDescent="0.3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3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3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3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3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3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3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3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3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3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3">
      <c r="C51" s="35" t="s">
        <v>110</v>
      </c>
      <c r="D51">
        <v>2</v>
      </c>
      <c r="F51" s="2" t="s">
        <v>111</v>
      </c>
      <c r="G51">
        <v>2</v>
      </c>
    </row>
    <row r="52" spans="3:15" x14ac:dyDescent="0.3">
      <c r="C52" s="38" t="s">
        <v>112</v>
      </c>
      <c r="D52">
        <v>2</v>
      </c>
      <c r="F52" s="2" t="s">
        <v>113</v>
      </c>
      <c r="G52">
        <v>2</v>
      </c>
    </row>
    <row r="53" spans="3:15" x14ac:dyDescent="0.3">
      <c r="C53" s="35" t="s">
        <v>114</v>
      </c>
      <c r="D53">
        <v>2</v>
      </c>
      <c r="F53" s="2" t="s">
        <v>115</v>
      </c>
      <c r="G53">
        <v>2</v>
      </c>
    </row>
    <row r="54" spans="3:15" x14ac:dyDescent="0.3">
      <c r="C54" s="38" t="s">
        <v>116</v>
      </c>
      <c r="D54">
        <v>2</v>
      </c>
      <c r="F54" s="2" t="s">
        <v>117</v>
      </c>
      <c r="G54">
        <v>2</v>
      </c>
    </row>
    <row r="55" spans="3:15" x14ac:dyDescent="0.3">
      <c r="C55" s="38" t="s">
        <v>118</v>
      </c>
      <c r="D55">
        <v>2</v>
      </c>
      <c r="F55" s="2" t="s">
        <v>119</v>
      </c>
      <c r="G55">
        <v>2</v>
      </c>
    </row>
    <row r="56" spans="3:15" x14ac:dyDescent="0.3">
      <c r="C56" s="38" t="s">
        <v>120</v>
      </c>
      <c r="D56">
        <v>2</v>
      </c>
      <c r="F56" s="2" t="s">
        <v>121</v>
      </c>
      <c r="G56">
        <v>2</v>
      </c>
    </row>
    <row r="57" spans="3:15" x14ac:dyDescent="0.3">
      <c r="C57" s="35" t="s">
        <v>122</v>
      </c>
      <c r="D57">
        <v>2</v>
      </c>
      <c r="F57" s="2" t="s">
        <v>123</v>
      </c>
      <c r="G57">
        <v>2</v>
      </c>
    </row>
    <row r="58" spans="3:15" x14ac:dyDescent="0.3">
      <c r="C58" s="35" t="s">
        <v>124</v>
      </c>
      <c r="D58">
        <v>2</v>
      </c>
      <c r="F58" s="2" t="s">
        <v>125</v>
      </c>
      <c r="G58">
        <v>2</v>
      </c>
    </row>
    <row r="59" spans="3:15" x14ac:dyDescent="0.3">
      <c r="C59" s="38" t="s">
        <v>126</v>
      </c>
      <c r="D59">
        <v>2</v>
      </c>
      <c r="F59" s="2" t="s">
        <v>127</v>
      </c>
      <c r="G59">
        <v>2</v>
      </c>
    </row>
    <row r="60" spans="3:15" x14ac:dyDescent="0.3">
      <c r="C60" s="35" t="s">
        <v>128</v>
      </c>
      <c r="D60">
        <v>2</v>
      </c>
      <c r="F60" s="2" t="s">
        <v>129</v>
      </c>
      <c r="G60">
        <v>2</v>
      </c>
    </row>
    <row r="61" spans="3:15" x14ac:dyDescent="0.3">
      <c r="C61" s="35" t="s">
        <v>130</v>
      </c>
      <c r="D61">
        <v>2</v>
      </c>
      <c r="F61" s="2" t="s">
        <v>131</v>
      </c>
      <c r="G61">
        <v>2</v>
      </c>
    </row>
    <row r="62" spans="3:15" x14ac:dyDescent="0.3">
      <c r="C62" s="38" t="s">
        <v>132</v>
      </c>
      <c r="D62">
        <v>2</v>
      </c>
      <c r="F62" s="2" t="s">
        <v>133</v>
      </c>
      <c r="G62">
        <v>2</v>
      </c>
    </row>
    <row r="63" spans="3:15" x14ac:dyDescent="0.3">
      <c r="C63" s="38" t="s">
        <v>134</v>
      </c>
      <c r="D63">
        <v>2</v>
      </c>
      <c r="F63" s="2" t="s">
        <v>135</v>
      </c>
      <c r="G63">
        <v>2</v>
      </c>
    </row>
    <row r="64" spans="3:15" x14ac:dyDescent="0.3">
      <c r="C64" s="35" t="s">
        <v>136</v>
      </c>
      <c r="D64">
        <v>2</v>
      </c>
      <c r="F64" s="2" t="s">
        <v>137</v>
      </c>
      <c r="G64">
        <v>1</v>
      </c>
    </row>
    <row r="65" spans="3:7" x14ac:dyDescent="0.3">
      <c r="C65" s="38" t="s">
        <v>138</v>
      </c>
      <c r="D65">
        <v>2</v>
      </c>
      <c r="F65" s="2" t="s">
        <v>139</v>
      </c>
      <c r="G65">
        <v>1</v>
      </c>
    </row>
    <row r="66" spans="3:7" x14ac:dyDescent="0.3">
      <c r="C66" s="2" t="s">
        <v>140</v>
      </c>
      <c r="D66">
        <v>1</v>
      </c>
      <c r="F66" s="2" t="s">
        <v>141</v>
      </c>
      <c r="G66">
        <v>1</v>
      </c>
    </row>
    <row r="67" spans="3:7" x14ac:dyDescent="0.3">
      <c r="C67" s="2" t="s">
        <v>142</v>
      </c>
      <c r="D67">
        <v>1</v>
      </c>
      <c r="F67" s="2" t="s">
        <v>143</v>
      </c>
      <c r="G67">
        <v>1</v>
      </c>
    </row>
    <row r="68" spans="3:7" x14ac:dyDescent="0.3">
      <c r="C68" s="2" t="s">
        <v>144</v>
      </c>
      <c r="D68">
        <v>1</v>
      </c>
      <c r="F68" s="2" t="s">
        <v>145</v>
      </c>
      <c r="G68">
        <v>1</v>
      </c>
    </row>
    <row r="69" spans="3:7" x14ac:dyDescent="0.3">
      <c r="C69" s="2" t="s">
        <v>146</v>
      </c>
      <c r="D69">
        <v>1</v>
      </c>
      <c r="F69" s="2" t="s">
        <v>147</v>
      </c>
      <c r="G69">
        <v>1</v>
      </c>
    </row>
    <row r="70" spans="3:7" x14ac:dyDescent="0.3">
      <c r="C70" s="2" t="s">
        <v>148</v>
      </c>
      <c r="D70">
        <v>1</v>
      </c>
      <c r="F70" s="2" t="s">
        <v>149</v>
      </c>
      <c r="G70">
        <v>1</v>
      </c>
    </row>
    <row r="71" spans="3:7" x14ac:dyDescent="0.3">
      <c r="C71" s="2" t="s">
        <v>150</v>
      </c>
      <c r="D71">
        <v>1</v>
      </c>
      <c r="F71" s="2" t="s">
        <v>151</v>
      </c>
      <c r="G71">
        <v>1</v>
      </c>
    </row>
    <row r="72" spans="3:7" x14ac:dyDescent="0.3">
      <c r="C72" s="2" t="s">
        <v>152</v>
      </c>
      <c r="D72">
        <v>1</v>
      </c>
      <c r="F72" s="2" t="s">
        <v>153</v>
      </c>
      <c r="G72">
        <v>1</v>
      </c>
    </row>
    <row r="73" spans="3:7" x14ac:dyDescent="0.3">
      <c r="C73" s="2" t="s">
        <v>154</v>
      </c>
      <c r="D73">
        <v>1</v>
      </c>
      <c r="F73" s="2" t="s">
        <v>155</v>
      </c>
      <c r="G73">
        <v>1</v>
      </c>
    </row>
    <row r="74" spans="3:7" x14ac:dyDescent="0.3">
      <c r="C74" s="2" t="s">
        <v>156</v>
      </c>
      <c r="D74">
        <v>1</v>
      </c>
      <c r="F74" s="2" t="s">
        <v>157</v>
      </c>
      <c r="G74">
        <v>1</v>
      </c>
    </row>
    <row r="75" spans="3:7" x14ac:dyDescent="0.3">
      <c r="C75" s="2" t="s">
        <v>158</v>
      </c>
      <c r="D75">
        <v>1</v>
      </c>
      <c r="F75" s="2" t="s">
        <v>159</v>
      </c>
      <c r="G75">
        <v>1</v>
      </c>
    </row>
    <row r="76" spans="3:7" x14ac:dyDescent="0.3">
      <c r="C76" s="2" t="s">
        <v>160</v>
      </c>
      <c r="D76">
        <v>1</v>
      </c>
      <c r="F76" s="2" t="s">
        <v>161</v>
      </c>
      <c r="G76">
        <v>1</v>
      </c>
    </row>
    <row r="77" spans="3:7" x14ac:dyDescent="0.3">
      <c r="C77" s="2" t="s">
        <v>162</v>
      </c>
      <c r="D77">
        <v>1</v>
      </c>
      <c r="F77" s="2" t="s">
        <v>163</v>
      </c>
      <c r="G77">
        <v>1</v>
      </c>
    </row>
    <row r="78" spans="3:7" x14ac:dyDescent="0.3">
      <c r="C78" s="2" t="s">
        <v>164</v>
      </c>
      <c r="D78">
        <v>1</v>
      </c>
      <c r="F78" s="2" t="s">
        <v>165</v>
      </c>
      <c r="G78">
        <v>1</v>
      </c>
    </row>
    <row r="79" spans="3:7" x14ac:dyDescent="0.3">
      <c r="C79" s="2" t="s">
        <v>166</v>
      </c>
      <c r="D79">
        <v>1</v>
      </c>
      <c r="F79" s="2" t="s">
        <v>167</v>
      </c>
      <c r="G79">
        <v>1</v>
      </c>
    </row>
    <row r="80" spans="3:7" x14ac:dyDescent="0.3">
      <c r="C80" s="2" t="s">
        <v>168</v>
      </c>
      <c r="D80">
        <v>1</v>
      </c>
      <c r="F80" s="2" t="s">
        <v>169</v>
      </c>
      <c r="G80">
        <v>1</v>
      </c>
    </row>
    <row r="81" spans="3:7" x14ac:dyDescent="0.3">
      <c r="C81" s="2" t="s">
        <v>170</v>
      </c>
      <c r="D81">
        <v>1</v>
      </c>
      <c r="F81" s="2" t="s">
        <v>171</v>
      </c>
      <c r="G81">
        <v>1</v>
      </c>
    </row>
    <row r="82" spans="3:7" x14ac:dyDescent="0.3">
      <c r="C82" s="2" t="s">
        <v>172</v>
      </c>
      <c r="D82">
        <v>1</v>
      </c>
      <c r="F82" s="2" t="s">
        <v>173</v>
      </c>
      <c r="G82">
        <v>1</v>
      </c>
    </row>
    <row r="83" spans="3:7" x14ac:dyDescent="0.3">
      <c r="C83" s="2" t="s">
        <v>174</v>
      </c>
      <c r="D83">
        <v>1</v>
      </c>
      <c r="F83" s="2" t="s">
        <v>175</v>
      </c>
      <c r="G83">
        <v>1</v>
      </c>
    </row>
    <row r="84" spans="3:7" x14ac:dyDescent="0.3">
      <c r="C84" s="2" t="s">
        <v>176</v>
      </c>
      <c r="D84">
        <v>1</v>
      </c>
      <c r="F84" s="2" t="s">
        <v>177</v>
      </c>
      <c r="G84">
        <v>1</v>
      </c>
    </row>
    <row r="85" spans="3:7" x14ac:dyDescent="0.3">
      <c r="C85" s="2" t="s">
        <v>178</v>
      </c>
      <c r="D85">
        <v>1</v>
      </c>
      <c r="F85" s="2" t="s">
        <v>179</v>
      </c>
      <c r="G85">
        <v>1</v>
      </c>
    </row>
    <row r="86" spans="3:7" x14ac:dyDescent="0.3">
      <c r="C86" s="2" t="s">
        <v>180</v>
      </c>
      <c r="D86">
        <v>1</v>
      </c>
      <c r="F86" s="2" t="s">
        <v>181</v>
      </c>
      <c r="G86">
        <v>1</v>
      </c>
    </row>
    <row r="87" spans="3:7" x14ac:dyDescent="0.3">
      <c r="C87" s="2" t="s">
        <v>182</v>
      </c>
      <c r="D87">
        <v>1</v>
      </c>
      <c r="F87" s="2" t="s">
        <v>183</v>
      </c>
      <c r="G87">
        <v>1</v>
      </c>
    </row>
    <row r="88" spans="3:7" x14ac:dyDescent="0.3">
      <c r="C88" s="2" t="s">
        <v>184</v>
      </c>
      <c r="D88">
        <v>1</v>
      </c>
      <c r="F88" s="2" t="s">
        <v>185</v>
      </c>
      <c r="G88">
        <v>1</v>
      </c>
    </row>
    <row r="89" spans="3:7" x14ac:dyDescent="0.3">
      <c r="C89" s="2" t="s">
        <v>186</v>
      </c>
      <c r="D89">
        <v>1</v>
      </c>
      <c r="F89" s="2" t="s">
        <v>187</v>
      </c>
      <c r="G89">
        <v>1</v>
      </c>
    </row>
    <row r="90" spans="3:7" x14ac:dyDescent="0.3">
      <c r="C90" s="2" t="s">
        <v>188</v>
      </c>
      <c r="D90">
        <v>1</v>
      </c>
      <c r="F90" s="2" t="s">
        <v>189</v>
      </c>
      <c r="G90">
        <v>1</v>
      </c>
    </row>
    <row r="91" spans="3:7" x14ac:dyDescent="0.3">
      <c r="C91" s="2" t="s">
        <v>190</v>
      </c>
      <c r="D91">
        <v>1</v>
      </c>
      <c r="F91" s="2" t="s">
        <v>191</v>
      </c>
      <c r="G91">
        <v>1</v>
      </c>
    </row>
    <row r="92" spans="3:7" x14ac:dyDescent="0.3">
      <c r="C92" s="2" t="s">
        <v>192</v>
      </c>
      <c r="D92">
        <v>1</v>
      </c>
      <c r="F92" s="2" t="s">
        <v>193</v>
      </c>
      <c r="G92">
        <v>1</v>
      </c>
    </row>
    <row r="93" spans="3:7" x14ac:dyDescent="0.3">
      <c r="C93" s="2" t="s">
        <v>194</v>
      </c>
      <c r="D93">
        <v>1</v>
      </c>
      <c r="F93" s="2" t="s">
        <v>195</v>
      </c>
      <c r="G93">
        <v>1</v>
      </c>
    </row>
    <row r="94" spans="3:7" x14ac:dyDescent="0.3">
      <c r="C94" s="2" t="s">
        <v>196</v>
      </c>
      <c r="D94">
        <v>1</v>
      </c>
      <c r="F94" s="2" t="s">
        <v>197</v>
      </c>
      <c r="G94">
        <v>1</v>
      </c>
    </row>
    <row r="95" spans="3:7" x14ac:dyDescent="0.3">
      <c r="C95" s="2" t="s">
        <v>198</v>
      </c>
      <c r="D95">
        <v>1</v>
      </c>
      <c r="F95" s="2" t="s">
        <v>199</v>
      </c>
      <c r="G95">
        <v>1</v>
      </c>
    </row>
    <row r="96" spans="3:7" x14ac:dyDescent="0.3">
      <c r="C96" s="2" t="s">
        <v>200</v>
      </c>
      <c r="D96">
        <v>1</v>
      </c>
      <c r="F96" s="2" t="s">
        <v>201</v>
      </c>
      <c r="G96">
        <v>1</v>
      </c>
    </row>
    <row r="97" spans="3:7" x14ac:dyDescent="0.3">
      <c r="C97" s="2" t="s">
        <v>202</v>
      </c>
      <c r="D97">
        <v>1</v>
      </c>
      <c r="F97" s="2" t="s">
        <v>203</v>
      </c>
      <c r="G97">
        <v>1</v>
      </c>
    </row>
    <row r="98" spans="3:7" x14ac:dyDescent="0.3">
      <c r="C98" s="2" t="s">
        <v>204</v>
      </c>
      <c r="D98">
        <v>1</v>
      </c>
      <c r="F98" s="2" t="s">
        <v>205</v>
      </c>
      <c r="G98">
        <v>1</v>
      </c>
    </row>
    <row r="99" spans="3:7" x14ac:dyDescent="0.3">
      <c r="C99" s="2" t="s">
        <v>206</v>
      </c>
      <c r="D99">
        <v>1</v>
      </c>
      <c r="F99" s="2" t="s">
        <v>207</v>
      </c>
      <c r="G99">
        <v>1</v>
      </c>
    </row>
    <row r="100" spans="3:7" x14ac:dyDescent="0.3">
      <c r="C100" s="2" t="s">
        <v>208</v>
      </c>
      <c r="D100">
        <v>1</v>
      </c>
      <c r="F100" s="2" t="s">
        <v>209</v>
      </c>
      <c r="G100">
        <v>1</v>
      </c>
    </row>
    <row r="101" spans="3:7" x14ac:dyDescent="0.3">
      <c r="C101" s="2" t="s">
        <v>210</v>
      </c>
      <c r="D101">
        <v>1</v>
      </c>
      <c r="F101" s="2" t="s">
        <v>211</v>
      </c>
      <c r="G101">
        <v>1</v>
      </c>
    </row>
    <row r="102" spans="3:7" x14ac:dyDescent="0.3">
      <c r="C102" s="2" t="s">
        <v>212</v>
      </c>
      <c r="D102">
        <v>1</v>
      </c>
      <c r="F102" s="2" t="s">
        <v>213</v>
      </c>
      <c r="G102">
        <v>1</v>
      </c>
    </row>
    <row r="103" spans="3:7" x14ac:dyDescent="0.3">
      <c r="C103" s="2" t="s">
        <v>214</v>
      </c>
      <c r="D103">
        <v>1</v>
      </c>
      <c r="F103" s="2" t="s">
        <v>215</v>
      </c>
      <c r="G103">
        <v>1</v>
      </c>
    </row>
    <row r="104" spans="3:7" x14ac:dyDescent="0.3">
      <c r="C104" s="2" t="s">
        <v>216</v>
      </c>
      <c r="D104">
        <v>1</v>
      </c>
      <c r="F104" s="2" t="s">
        <v>217</v>
      </c>
      <c r="G104">
        <v>1</v>
      </c>
    </row>
    <row r="105" spans="3:7" x14ac:dyDescent="0.3">
      <c r="C105" s="2" t="s">
        <v>218</v>
      </c>
      <c r="D105">
        <v>1</v>
      </c>
      <c r="F105" s="2" t="s">
        <v>219</v>
      </c>
      <c r="G105">
        <v>1</v>
      </c>
    </row>
    <row r="106" spans="3:7" x14ac:dyDescent="0.3">
      <c r="C106" s="2" t="s">
        <v>220</v>
      </c>
      <c r="D106">
        <v>1</v>
      </c>
      <c r="F106" s="2" t="s">
        <v>221</v>
      </c>
      <c r="G106">
        <v>1</v>
      </c>
    </row>
    <row r="107" spans="3:7" x14ac:dyDescent="0.3">
      <c r="C107" s="2" t="s">
        <v>222</v>
      </c>
      <c r="D107">
        <v>1</v>
      </c>
      <c r="F107" s="2" t="s">
        <v>223</v>
      </c>
      <c r="G107">
        <v>1</v>
      </c>
    </row>
    <row r="108" spans="3:7" x14ac:dyDescent="0.3">
      <c r="C108" s="2" t="s">
        <v>224</v>
      </c>
      <c r="D108">
        <v>1</v>
      </c>
      <c r="F108" s="2" t="s">
        <v>225</v>
      </c>
      <c r="G108">
        <v>1</v>
      </c>
    </row>
    <row r="109" spans="3:7" x14ac:dyDescent="0.3">
      <c r="C109" s="2" t="s">
        <v>226</v>
      </c>
      <c r="D109">
        <v>1</v>
      </c>
      <c r="F109" s="2" t="s">
        <v>227</v>
      </c>
      <c r="G109">
        <v>1</v>
      </c>
    </row>
    <row r="110" spans="3:7" x14ac:dyDescent="0.3">
      <c r="C110" s="2" t="s">
        <v>228</v>
      </c>
      <c r="D110">
        <v>1</v>
      </c>
      <c r="F110" s="2" t="s">
        <v>229</v>
      </c>
      <c r="G110">
        <v>1</v>
      </c>
    </row>
    <row r="111" spans="3:7" x14ac:dyDescent="0.3">
      <c r="C111" s="2" t="s">
        <v>230</v>
      </c>
      <c r="D111">
        <v>1</v>
      </c>
      <c r="F111" s="2" t="s">
        <v>231</v>
      </c>
      <c r="G111">
        <v>1</v>
      </c>
    </row>
    <row r="112" spans="3:7" x14ac:dyDescent="0.3">
      <c r="C112" s="2" t="s">
        <v>232</v>
      </c>
      <c r="D112">
        <v>1</v>
      </c>
      <c r="F112" s="2" t="s">
        <v>233</v>
      </c>
      <c r="G112">
        <v>1</v>
      </c>
    </row>
    <row r="113" spans="3:7" x14ac:dyDescent="0.3">
      <c r="C113" s="2" t="s">
        <v>234</v>
      </c>
      <c r="D113">
        <v>1</v>
      </c>
      <c r="F113" s="2" t="s">
        <v>235</v>
      </c>
      <c r="G113">
        <v>1</v>
      </c>
    </row>
    <row r="114" spans="3:7" x14ac:dyDescent="0.3">
      <c r="C114" s="2" t="s">
        <v>236</v>
      </c>
      <c r="D114">
        <v>1</v>
      </c>
      <c r="F114" s="2" t="s">
        <v>237</v>
      </c>
      <c r="G114">
        <v>1</v>
      </c>
    </row>
    <row r="115" spans="3:7" x14ac:dyDescent="0.3">
      <c r="C115" s="2" t="s">
        <v>238</v>
      </c>
      <c r="D115">
        <v>1</v>
      </c>
      <c r="F115" s="2" t="s">
        <v>239</v>
      </c>
      <c r="G115">
        <v>1</v>
      </c>
    </row>
    <row r="116" spans="3:7" x14ac:dyDescent="0.3">
      <c r="C116" s="2" t="s">
        <v>240</v>
      </c>
      <c r="D116">
        <v>1</v>
      </c>
      <c r="F116" s="2" t="s">
        <v>241</v>
      </c>
      <c r="G116">
        <v>1</v>
      </c>
    </row>
    <row r="117" spans="3:7" x14ac:dyDescent="0.3">
      <c r="C117" s="2" t="s">
        <v>242</v>
      </c>
      <c r="D117">
        <v>1</v>
      </c>
      <c r="F117" s="2" t="s">
        <v>243</v>
      </c>
      <c r="G117">
        <v>1</v>
      </c>
    </row>
    <row r="118" spans="3:7" x14ac:dyDescent="0.3">
      <c r="C118" s="2" t="s">
        <v>244</v>
      </c>
      <c r="D118">
        <v>1</v>
      </c>
      <c r="F118" s="2" t="s">
        <v>245</v>
      </c>
      <c r="G118">
        <v>1</v>
      </c>
    </row>
    <row r="119" spans="3:7" x14ac:dyDescent="0.3">
      <c r="C119" s="2" t="s">
        <v>246</v>
      </c>
      <c r="D119">
        <v>1</v>
      </c>
      <c r="F119" s="2" t="s">
        <v>247</v>
      </c>
      <c r="G119">
        <v>1</v>
      </c>
    </row>
    <row r="120" spans="3:7" x14ac:dyDescent="0.3">
      <c r="C120" s="2" t="s">
        <v>248</v>
      </c>
      <c r="D120">
        <v>1</v>
      </c>
      <c r="F120" s="2" t="s">
        <v>249</v>
      </c>
      <c r="G120">
        <v>1</v>
      </c>
    </row>
    <row r="121" spans="3:7" x14ac:dyDescent="0.3">
      <c r="C121" s="2" t="s">
        <v>250</v>
      </c>
      <c r="D121">
        <v>1</v>
      </c>
      <c r="F121" s="2" t="s">
        <v>251</v>
      </c>
      <c r="G121">
        <v>1</v>
      </c>
    </row>
    <row r="122" spans="3:7" x14ac:dyDescent="0.3">
      <c r="C122" s="2" t="s">
        <v>252</v>
      </c>
      <c r="D122">
        <v>1</v>
      </c>
      <c r="F122" s="2" t="s">
        <v>253</v>
      </c>
      <c r="G122">
        <v>1</v>
      </c>
    </row>
    <row r="123" spans="3:7" x14ac:dyDescent="0.3">
      <c r="C123" s="2" t="s">
        <v>254</v>
      </c>
      <c r="D123">
        <v>1</v>
      </c>
      <c r="F123" s="2" t="s">
        <v>255</v>
      </c>
      <c r="G123">
        <v>1</v>
      </c>
    </row>
    <row r="124" spans="3:7" x14ac:dyDescent="0.3">
      <c r="C124" s="2" t="s">
        <v>256</v>
      </c>
      <c r="D124">
        <v>1</v>
      </c>
      <c r="F124" s="2" t="s">
        <v>257</v>
      </c>
      <c r="G124">
        <v>1</v>
      </c>
    </row>
    <row r="125" spans="3:7" x14ac:dyDescent="0.3">
      <c r="C125" s="2" t="s">
        <v>258</v>
      </c>
      <c r="D125">
        <v>1</v>
      </c>
      <c r="F125" s="2" t="s">
        <v>259</v>
      </c>
      <c r="G125">
        <v>1</v>
      </c>
    </row>
    <row r="126" spans="3:7" x14ac:dyDescent="0.3">
      <c r="C126" s="2" t="s">
        <v>260</v>
      </c>
      <c r="D126">
        <v>1</v>
      </c>
      <c r="F126" s="2" t="s">
        <v>261</v>
      </c>
      <c r="G126">
        <v>1</v>
      </c>
    </row>
    <row r="127" spans="3:7" x14ac:dyDescent="0.3">
      <c r="C127" s="2" t="s">
        <v>262</v>
      </c>
      <c r="D127">
        <v>1</v>
      </c>
      <c r="F127" s="2" t="s">
        <v>263</v>
      </c>
      <c r="G127">
        <v>1</v>
      </c>
    </row>
    <row r="128" spans="3:7" x14ac:dyDescent="0.3">
      <c r="C128" s="2" t="s">
        <v>264</v>
      </c>
      <c r="D128">
        <v>1</v>
      </c>
      <c r="F128" s="2" t="s">
        <v>265</v>
      </c>
      <c r="G128">
        <v>1</v>
      </c>
    </row>
    <row r="129" spans="3:7" x14ac:dyDescent="0.3">
      <c r="C129" s="2" t="s">
        <v>266</v>
      </c>
      <c r="D129">
        <v>1</v>
      </c>
      <c r="F129" s="2" t="s">
        <v>267</v>
      </c>
      <c r="G129">
        <v>1</v>
      </c>
    </row>
    <row r="130" spans="3:7" x14ac:dyDescent="0.3">
      <c r="C130" s="2" t="s">
        <v>268</v>
      </c>
      <c r="D130">
        <v>1</v>
      </c>
      <c r="F130" s="2" t="s">
        <v>269</v>
      </c>
      <c r="G130">
        <v>1</v>
      </c>
    </row>
    <row r="131" spans="3:7" x14ac:dyDescent="0.3">
      <c r="C131" s="2" t="s">
        <v>270</v>
      </c>
      <c r="D131">
        <v>1</v>
      </c>
      <c r="F131" s="2" t="s">
        <v>271</v>
      </c>
      <c r="G131">
        <v>1</v>
      </c>
    </row>
    <row r="132" spans="3:7" x14ac:dyDescent="0.3">
      <c r="C132" s="2" t="s">
        <v>272</v>
      </c>
      <c r="D132">
        <v>1</v>
      </c>
      <c r="F132" s="2" t="s">
        <v>273</v>
      </c>
      <c r="G132">
        <v>1</v>
      </c>
    </row>
    <row r="133" spans="3:7" x14ac:dyDescent="0.3">
      <c r="C133" s="2" t="s">
        <v>274</v>
      </c>
      <c r="D133">
        <v>1</v>
      </c>
      <c r="F133" s="2" t="s">
        <v>275</v>
      </c>
      <c r="G133">
        <v>1</v>
      </c>
    </row>
    <row r="134" spans="3:7" x14ac:dyDescent="0.3">
      <c r="C134" s="2" t="s">
        <v>276</v>
      </c>
      <c r="D134">
        <v>1</v>
      </c>
      <c r="F134" s="2" t="s">
        <v>277</v>
      </c>
      <c r="G134">
        <v>1</v>
      </c>
    </row>
    <row r="135" spans="3:7" x14ac:dyDescent="0.3">
      <c r="C135" s="2" t="s">
        <v>278</v>
      </c>
      <c r="D135">
        <v>1</v>
      </c>
      <c r="F135" s="2" t="s">
        <v>279</v>
      </c>
      <c r="G135">
        <v>1</v>
      </c>
    </row>
    <row r="136" spans="3:7" x14ac:dyDescent="0.3">
      <c r="C136" s="2" t="s">
        <v>280</v>
      </c>
      <c r="D136">
        <v>1</v>
      </c>
      <c r="F136" s="2" t="s">
        <v>281</v>
      </c>
      <c r="G136">
        <v>1</v>
      </c>
    </row>
    <row r="137" spans="3:7" x14ac:dyDescent="0.3">
      <c r="C137" s="2" t="s">
        <v>282</v>
      </c>
      <c r="D137">
        <v>1</v>
      </c>
      <c r="F137" s="2" t="s">
        <v>283</v>
      </c>
      <c r="G137">
        <v>1</v>
      </c>
    </row>
    <row r="138" spans="3:7" x14ac:dyDescent="0.3">
      <c r="C138" s="2" t="s">
        <v>284</v>
      </c>
      <c r="D138">
        <v>1</v>
      </c>
      <c r="F138" s="2" t="s">
        <v>285</v>
      </c>
      <c r="G138">
        <v>1</v>
      </c>
    </row>
    <row r="139" spans="3:7" x14ac:dyDescent="0.3">
      <c r="C139" s="2" t="s">
        <v>286</v>
      </c>
      <c r="D139">
        <v>1</v>
      </c>
      <c r="F139" s="2" t="s">
        <v>287</v>
      </c>
      <c r="G139">
        <v>1</v>
      </c>
    </row>
    <row r="140" spans="3:7" x14ac:dyDescent="0.3">
      <c r="C140" s="2" t="s">
        <v>288</v>
      </c>
      <c r="D140">
        <v>1</v>
      </c>
      <c r="F140" s="2" t="s">
        <v>289</v>
      </c>
      <c r="G140">
        <v>1</v>
      </c>
    </row>
    <row r="141" spans="3:7" x14ac:dyDescent="0.3">
      <c r="C141" s="2" t="s">
        <v>290</v>
      </c>
      <c r="D141">
        <v>1</v>
      </c>
      <c r="F141" s="2" t="s">
        <v>291</v>
      </c>
      <c r="G141">
        <v>1</v>
      </c>
    </row>
    <row r="142" spans="3:7" x14ac:dyDescent="0.3">
      <c r="C142" s="2" t="s">
        <v>292</v>
      </c>
      <c r="D142">
        <v>1</v>
      </c>
      <c r="F142" s="2" t="s">
        <v>293</v>
      </c>
      <c r="G142">
        <v>1</v>
      </c>
    </row>
    <row r="143" spans="3:7" x14ac:dyDescent="0.3">
      <c r="C143" s="2" t="s">
        <v>294</v>
      </c>
      <c r="D143">
        <v>1</v>
      </c>
      <c r="F143" s="2" t="s">
        <v>295</v>
      </c>
      <c r="G143">
        <v>1</v>
      </c>
    </row>
    <row r="144" spans="3:7" x14ac:dyDescent="0.3">
      <c r="C144" s="2" t="s">
        <v>296</v>
      </c>
      <c r="D144">
        <v>1</v>
      </c>
      <c r="F144" s="2" t="s">
        <v>297</v>
      </c>
      <c r="G144">
        <v>1</v>
      </c>
    </row>
    <row r="145" spans="3:7" x14ac:dyDescent="0.3">
      <c r="C145" s="2" t="s">
        <v>298</v>
      </c>
      <c r="D145">
        <v>1</v>
      </c>
      <c r="F145" s="2" t="s">
        <v>299</v>
      </c>
      <c r="G145">
        <v>1</v>
      </c>
    </row>
    <row r="146" spans="3:7" x14ac:dyDescent="0.3">
      <c r="C146" s="2" t="s">
        <v>300</v>
      </c>
      <c r="D146">
        <v>1</v>
      </c>
      <c r="F146" s="2" t="s">
        <v>301</v>
      </c>
      <c r="G146">
        <v>1</v>
      </c>
    </row>
    <row r="147" spans="3:7" x14ac:dyDescent="0.3">
      <c r="C147" s="2" t="s">
        <v>302</v>
      </c>
      <c r="D147">
        <v>1</v>
      </c>
      <c r="F147"/>
      <c r="G147"/>
    </row>
    <row r="148" spans="3:7" x14ac:dyDescent="0.3">
      <c r="C148" s="2" t="s">
        <v>303</v>
      </c>
      <c r="D148">
        <v>1</v>
      </c>
      <c r="F148"/>
      <c r="G148"/>
    </row>
    <row r="149" spans="3:7" x14ac:dyDescent="0.3">
      <c r="C149" s="2" t="s">
        <v>304</v>
      </c>
      <c r="D149">
        <v>1</v>
      </c>
      <c r="F149"/>
      <c r="G149"/>
    </row>
    <row r="150" spans="3:7" x14ac:dyDescent="0.3">
      <c r="C150" s="2" t="s">
        <v>305</v>
      </c>
      <c r="D150">
        <v>1</v>
      </c>
      <c r="F150"/>
      <c r="G150"/>
    </row>
    <row r="151" spans="3:7" x14ac:dyDescent="0.3">
      <c r="C151" s="2" t="s">
        <v>306</v>
      </c>
      <c r="D151">
        <v>1</v>
      </c>
      <c r="F151"/>
      <c r="G151"/>
    </row>
    <row r="152" spans="3:7" x14ac:dyDescent="0.3">
      <c r="C152" s="2" t="s">
        <v>307</v>
      </c>
      <c r="D152">
        <v>1</v>
      </c>
      <c r="F152"/>
      <c r="G152"/>
    </row>
    <row r="153" spans="3:7" x14ac:dyDescent="0.3">
      <c r="C153" s="2" t="s">
        <v>308</v>
      </c>
      <c r="D153">
        <v>1</v>
      </c>
      <c r="F153"/>
      <c r="G153"/>
    </row>
    <row r="154" spans="3:7" x14ac:dyDescent="0.3">
      <c r="C154" s="2" t="s">
        <v>309</v>
      </c>
      <c r="D154">
        <v>1</v>
      </c>
      <c r="F154"/>
      <c r="G154"/>
    </row>
    <row r="155" spans="3:7" x14ac:dyDescent="0.3">
      <c r="C155" s="2" t="s">
        <v>310</v>
      </c>
      <c r="D155">
        <v>1</v>
      </c>
      <c r="F155"/>
      <c r="G155"/>
    </row>
    <row r="156" spans="3:7" x14ac:dyDescent="0.3">
      <c r="C156" s="2" t="s">
        <v>311</v>
      </c>
      <c r="D156">
        <v>1</v>
      </c>
      <c r="F156"/>
      <c r="G156"/>
    </row>
    <row r="157" spans="3:7" x14ac:dyDescent="0.3">
      <c r="C157" s="2" t="s">
        <v>312</v>
      </c>
      <c r="D157">
        <v>1</v>
      </c>
      <c r="F157"/>
      <c r="G157"/>
    </row>
    <row r="158" spans="3:7" x14ac:dyDescent="0.3">
      <c r="C158" s="2" t="s">
        <v>313</v>
      </c>
      <c r="D158">
        <v>1</v>
      </c>
      <c r="F158"/>
      <c r="G158"/>
    </row>
    <row r="159" spans="3:7" x14ac:dyDescent="0.3">
      <c r="C159" s="2" t="s">
        <v>314</v>
      </c>
      <c r="D159">
        <v>1</v>
      </c>
      <c r="F159"/>
      <c r="G159"/>
    </row>
    <row r="160" spans="3:7" x14ac:dyDescent="0.3">
      <c r="C160" s="2" t="s">
        <v>315</v>
      </c>
      <c r="D160">
        <v>1</v>
      </c>
      <c r="F160"/>
      <c r="G160"/>
    </row>
    <row r="161" spans="3:7" x14ac:dyDescent="0.3">
      <c r="C161" s="2" t="s">
        <v>316</v>
      </c>
      <c r="D161">
        <v>1</v>
      </c>
      <c r="F161"/>
      <c r="G161"/>
    </row>
    <row r="162" spans="3:7" x14ac:dyDescent="0.3">
      <c r="C162" s="2" t="s">
        <v>317</v>
      </c>
      <c r="D162">
        <v>1</v>
      </c>
      <c r="F162"/>
      <c r="G162"/>
    </row>
    <row r="163" spans="3:7" x14ac:dyDescent="0.3">
      <c r="C163" s="2" t="s">
        <v>318</v>
      </c>
      <c r="D163">
        <v>1</v>
      </c>
      <c r="F163"/>
      <c r="G163"/>
    </row>
    <row r="164" spans="3:7" x14ac:dyDescent="0.3">
      <c r="C164" s="2" t="s">
        <v>319</v>
      </c>
      <c r="D164">
        <v>1</v>
      </c>
      <c r="F164"/>
      <c r="G164"/>
    </row>
    <row r="165" spans="3:7" x14ac:dyDescent="0.3">
      <c r="C165" s="2" t="s">
        <v>320</v>
      </c>
      <c r="D165">
        <v>1</v>
      </c>
      <c r="F165"/>
      <c r="G165"/>
    </row>
    <row r="166" spans="3:7" x14ac:dyDescent="0.3">
      <c r="C166" s="2" t="s">
        <v>321</v>
      </c>
      <c r="D166">
        <v>1</v>
      </c>
      <c r="F166"/>
      <c r="G166"/>
    </row>
    <row r="167" spans="3:7" x14ac:dyDescent="0.3">
      <c r="C167" s="2" t="s">
        <v>322</v>
      </c>
      <c r="D167">
        <v>1</v>
      </c>
      <c r="F167"/>
      <c r="G167"/>
    </row>
    <row r="168" spans="3:7" x14ac:dyDescent="0.3">
      <c r="C168" s="2" t="s">
        <v>323</v>
      </c>
      <c r="D168">
        <v>1</v>
      </c>
      <c r="F168"/>
      <c r="G168"/>
    </row>
    <row r="169" spans="3:7" x14ac:dyDescent="0.3">
      <c r="C169" s="2" t="s">
        <v>324</v>
      </c>
      <c r="D169">
        <v>1</v>
      </c>
      <c r="F169"/>
      <c r="G169"/>
    </row>
    <row r="170" spans="3:7" x14ac:dyDescent="0.3">
      <c r="C170" s="2" t="s">
        <v>325</v>
      </c>
      <c r="D170">
        <v>1</v>
      </c>
      <c r="F170"/>
      <c r="G170"/>
    </row>
    <row r="171" spans="3:7" x14ac:dyDescent="0.3">
      <c r="C171" s="2" t="s">
        <v>326</v>
      </c>
      <c r="D171">
        <v>1</v>
      </c>
      <c r="F171"/>
      <c r="G171"/>
    </row>
    <row r="172" spans="3:7" x14ac:dyDescent="0.3">
      <c r="C172" s="2" t="s">
        <v>327</v>
      </c>
      <c r="D172">
        <v>1</v>
      </c>
      <c r="F172"/>
      <c r="G172"/>
    </row>
    <row r="173" spans="3:7" x14ac:dyDescent="0.3">
      <c r="C173" s="2" t="s">
        <v>328</v>
      </c>
      <c r="D173">
        <v>1</v>
      </c>
      <c r="F173"/>
      <c r="G173"/>
    </row>
    <row r="174" spans="3:7" x14ac:dyDescent="0.3">
      <c r="C174" s="2" t="s">
        <v>329</v>
      </c>
      <c r="D174">
        <v>1</v>
      </c>
      <c r="F174"/>
      <c r="G174"/>
    </row>
    <row r="175" spans="3:7" x14ac:dyDescent="0.3">
      <c r="C175" s="2" t="s">
        <v>330</v>
      </c>
      <c r="D175">
        <v>1</v>
      </c>
      <c r="F175"/>
      <c r="G175"/>
    </row>
    <row r="176" spans="3:7" x14ac:dyDescent="0.3">
      <c r="C176" s="2" t="s">
        <v>331</v>
      </c>
      <c r="D176">
        <v>1</v>
      </c>
      <c r="F176"/>
      <c r="G176"/>
    </row>
    <row r="177" spans="3:7" x14ac:dyDescent="0.3">
      <c r="C177" s="2" t="s">
        <v>332</v>
      </c>
      <c r="D177">
        <v>1</v>
      </c>
      <c r="F177"/>
      <c r="G177"/>
    </row>
    <row r="178" spans="3:7" x14ac:dyDescent="0.3">
      <c r="C178" s="2" t="s">
        <v>333</v>
      </c>
      <c r="D178">
        <v>1</v>
      </c>
      <c r="F178"/>
      <c r="G178"/>
    </row>
    <row r="179" spans="3:7" x14ac:dyDescent="0.3">
      <c r="C179" s="2" t="s">
        <v>334</v>
      </c>
      <c r="D179">
        <v>1</v>
      </c>
      <c r="F179"/>
      <c r="G179"/>
    </row>
    <row r="180" spans="3:7" x14ac:dyDescent="0.3">
      <c r="C180" s="2" t="s">
        <v>335</v>
      </c>
      <c r="D180">
        <v>1</v>
      </c>
      <c r="F180"/>
      <c r="G180"/>
    </row>
    <row r="181" spans="3:7" x14ac:dyDescent="0.3">
      <c r="C181" s="2" t="s">
        <v>336</v>
      </c>
      <c r="D181">
        <v>1</v>
      </c>
      <c r="F181"/>
      <c r="G181"/>
    </row>
    <row r="182" spans="3:7" x14ac:dyDescent="0.3">
      <c r="C182" s="2" t="s">
        <v>337</v>
      </c>
      <c r="D182">
        <v>1</v>
      </c>
      <c r="F182"/>
      <c r="G182"/>
    </row>
    <row r="183" spans="3:7" x14ac:dyDescent="0.3">
      <c r="C183" s="2" t="s">
        <v>338</v>
      </c>
      <c r="D183">
        <v>1</v>
      </c>
      <c r="F183"/>
      <c r="G183"/>
    </row>
    <row r="184" spans="3:7" x14ac:dyDescent="0.3">
      <c r="C184" s="2" t="s">
        <v>339</v>
      </c>
      <c r="D184">
        <v>1</v>
      </c>
      <c r="F184"/>
      <c r="G184"/>
    </row>
    <row r="185" spans="3:7" x14ac:dyDescent="0.3">
      <c r="C185" s="2" t="s">
        <v>340</v>
      </c>
      <c r="D185">
        <v>1</v>
      </c>
      <c r="F185"/>
      <c r="G185"/>
    </row>
    <row r="186" spans="3:7" x14ac:dyDescent="0.3">
      <c r="C186" s="2" t="s">
        <v>341</v>
      </c>
      <c r="D186">
        <v>1</v>
      </c>
      <c r="F186"/>
      <c r="G186"/>
    </row>
    <row r="187" spans="3:7" x14ac:dyDescent="0.3">
      <c r="C187" s="2" t="s">
        <v>342</v>
      </c>
      <c r="D187">
        <v>1</v>
      </c>
      <c r="F187"/>
      <c r="G187"/>
    </row>
    <row r="188" spans="3:7" x14ac:dyDescent="0.3">
      <c r="C188" s="2" t="s">
        <v>343</v>
      </c>
      <c r="D188">
        <v>1</v>
      </c>
      <c r="F188"/>
      <c r="G188"/>
    </row>
    <row r="189" spans="3:7" x14ac:dyDescent="0.3">
      <c r="C189" s="2" t="s">
        <v>344</v>
      </c>
      <c r="D189">
        <v>1</v>
      </c>
      <c r="F189"/>
      <c r="G189"/>
    </row>
    <row r="190" spans="3:7" x14ac:dyDescent="0.3">
      <c r="C190" s="2" t="s">
        <v>345</v>
      </c>
      <c r="D190">
        <v>1</v>
      </c>
      <c r="F190"/>
      <c r="G190"/>
    </row>
    <row r="191" spans="3:7" x14ac:dyDescent="0.3">
      <c r="C191" s="2" t="s">
        <v>346</v>
      </c>
      <c r="D191">
        <v>1</v>
      </c>
      <c r="F191"/>
      <c r="G191"/>
    </row>
    <row r="192" spans="3:7" x14ac:dyDescent="0.3">
      <c r="C192" s="2" t="s">
        <v>347</v>
      </c>
      <c r="D192">
        <v>1</v>
      </c>
      <c r="F192"/>
      <c r="G192"/>
    </row>
    <row r="193" spans="3:7" x14ac:dyDescent="0.3">
      <c r="C193" s="2" t="s">
        <v>348</v>
      </c>
      <c r="D193">
        <v>1</v>
      </c>
      <c r="F193"/>
      <c r="G193"/>
    </row>
    <row r="194" spans="3:7" x14ac:dyDescent="0.3">
      <c r="C194" s="2" t="s">
        <v>349</v>
      </c>
      <c r="D194">
        <v>1</v>
      </c>
      <c r="F194"/>
      <c r="G194"/>
    </row>
    <row r="195" spans="3:7" x14ac:dyDescent="0.3">
      <c r="C195" s="2" t="s">
        <v>350</v>
      </c>
      <c r="D195">
        <v>1</v>
      </c>
      <c r="F195"/>
      <c r="G195"/>
    </row>
    <row r="196" spans="3:7" x14ac:dyDescent="0.3">
      <c r="C196" s="2" t="s">
        <v>351</v>
      </c>
      <c r="D196">
        <v>1</v>
      </c>
      <c r="F196"/>
      <c r="G196"/>
    </row>
    <row r="197" spans="3:7" x14ac:dyDescent="0.3">
      <c r="C197" s="2" t="s">
        <v>352</v>
      </c>
      <c r="D197">
        <v>1</v>
      </c>
      <c r="F197"/>
      <c r="G197"/>
    </row>
    <row r="198" spans="3:7" x14ac:dyDescent="0.3">
      <c r="C198" s="2" t="s">
        <v>353</v>
      </c>
      <c r="D198">
        <v>1</v>
      </c>
      <c r="F198"/>
      <c r="G198"/>
    </row>
    <row r="199" spans="3:7" x14ac:dyDescent="0.3">
      <c r="C199" s="2" t="s">
        <v>354</v>
      </c>
      <c r="D199">
        <v>1</v>
      </c>
      <c r="F199"/>
      <c r="G199"/>
    </row>
    <row r="200" spans="3:7" x14ac:dyDescent="0.3">
      <c r="C200" s="2" t="s">
        <v>355</v>
      </c>
      <c r="D200">
        <v>1</v>
      </c>
      <c r="F200"/>
      <c r="G200"/>
    </row>
    <row r="201" spans="3:7" x14ac:dyDescent="0.3">
      <c r="C201" s="2" t="s">
        <v>356</v>
      </c>
      <c r="D201">
        <v>1</v>
      </c>
      <c r="F201"/>
      <c r="G201"/>
    </row>
    <row r="202" spans="3:7" x14ac:dyDescent="0.3">
      <c r="C202" s="2" t="s">
        <v>357</v>
      </c>
      <c r="D202">
        <v>1</v>
      </c>
      <c r="F202"/>
      <c r="G202"/>
    </row>
    <row r="203" spans="3:7" x14ac:dyDescent="0.3">
      <c r="C203" s="2" t="s">
        <v>358</v>
      </c>
      <c r="D203">
        <v>1</v>
      </c>
      <c r="F203"/>
      <c r="G203"/>
    </row>
    <row r="204" spans="3:7" x14ac:dyDescent="0.3">
      <c r="C204" s="2" t="s">
        <v>359</v>
      </c>
      <c r="D204">
        <v>1</v>
      </c>
      <c r="F204"/>
      <c r="G204"/>
    </row>
    <row r="205" spans="3:7" x14ac:dyDescent="0.3">
      <c r="C205" s="2" t="s">
        <v>360</v>
      </c>
      <c r="D205">
        <v>1</v>
      </c>
      <c r="F205"/>
      <c r="G205"/>
    </row>
    <row r="206" spans="3:7" x14ac:dyDescent="0.3">
      <c r="C206" s="2" t="s">
        <v>361</v>
      </c>
      <c r="D206">
        <v>1</v>
      </c>
      <c r="F206"/>
      <c r="G206"/>
    </row>
    <row r="207" spans="3:7" x14ac:dyDescent="0.3">
      <c r="C207" s="2" t="s">
        <v>362</v>
      </c>
      <c r="D207">
        <v>1</v>
      </c>
      <c r="F207"/>
      <c r="G207"/>
    </row>
    <row r="208" spans="3:7" x14ac:dyDescent="0.3">
      <c r="C208" s="2" t="s">
        <v>363</v>
      </c>
      <c r="D208">
        <v>1</v>
      </c>
      <c r="F208"/>
      <c r="G208"/>
    </row>
    <row r="209" spans="3:7" x14ac:dyDescent="0.3">
      <c r="C209" s="2" t="s">
        <v>364</v>
      </c>
      <c r="D209">
        <v>1</v>
      </c>
      <c r="F209"/>
      <c r="G209"/>
    </row>
    <row r="210" spans="3:7" x14ac:dyDescent="0.3">
      <c r="C210" s="2" t="s">
        <v>82</v>
      </c>
      <c r="D210">
        <v>277</v>
      </c>
      <c r="F210"/>
      <c r="G210"/>
    </row>
    <row r="211" spans="3:7" x14ac:dyDescent="0.3">
      <c r="C211"/>
      <c r="D211"/>
      <c r="F211"/>
      <c r="G211"/>
    </row>
    <row r="212" spans="3:7" x14ac:dyDescent="0.3">
      <c r="C212"/>
      <c r="D212"/>
      <c r="F212"/>
      <c r="G212"/>
    </row>
    <row r="213" spans="3:7" x14ac:dyDescent="0.3">
      <c r="C213"/>
      <c r="D213"/>
      <c r="F213"/>
      <c r="G213"/>
    </row>
    <row r="214" spans="3:7" x14ac:dyDescent="0.3">
      <c r="C214"/>
      <c r="D214"/>
      <c r="F214"/>
      <c r="G214"/>
    </row>
    <row r="215" spans="3:7" x14ac:dyDescent="0.3">
      <c r="C215"/>
      <c r="D215"/>
      <c r="F215"/>
      <c r="G215"/>
    </row>
    <row r="216" spans="3:7" x14ac:dyDescent="0.3">
      <c r="C216"/>
      <c r="D216"/>
      <c r="F216"/>
      <c r="G216"/>
    </row>
    <row r="217" spans="3:7" x14ac:dyDescent="0.3">
      <c r="C217"/>
      <c r="D217"/>
      <c r="F217"/>
      <c r="G217"/>
    </row>
    <row r="218" spans="3:7" x14ac:dyDescent="0.3">
      <c r="C218"/>
      <c r="D218"/>
      <c r="F218"/>
      <c r="G218"/>
    </row>
    <row r="219" spans="3:7" x14ac:dyDescent="0.3">
      <c r="C219"/>
      <c r="D219"/>
      <c r="F219"/>
      <c r="G219"/>
    </row>
    <row r="220" spans="3:7" x14ac:dyDescent="0.3">
      <c r="C220"/>
      <c r="D220"/>
      <c r="F220"/>
      <c r="G220"/>
    </row>
    <row r="221" spans="3:7" x14ac:dyDescent="0.3">
      <c r="C221"/>
      <c r="D221"/>
      <c r="F221"/>
      <c r="G221"/>
    </row>
    <row r="222" spans="3:7" x14ac:dyDescent="0.3">
      <c r="C222"/>
      <c r="D222"/>
      <c r="F222"/>
      <c r="G222"/>
    </row>
    <row r="223" spans="3:7" x14ac:dyDescent="0.3">
      <c r="C223"/>
      <c r="D223"/>
      <c r="F223"/>
      <c r="G223"/>
    </row>
    <row r="224" spans="3:7" x14ac:dyDescent="0.3">
      <c r="C224"/>
      <c r="D224"/>
      <c r="F224"/>
      <c r="G224"/>
    </row>
    <row r="225" spans="3:7" x14ac:dyDescent="0.3">
      <c r="C225"/>
      <c r="D225"/>
      <c r="F225"/>
      <c r="G225"/>
    </row>
    <row r="226" spans="3:7" x14ac:dyDescent="0.3">
      <c r="C226"/>
      <c r="D226"/>
      <c r="F226"/>
      <c r="G226"/>
    </row>
    <row r="227" spans="3:7" x14ac:dyDescent="0.3">
      <c r="C227"/>
      <c r="D227"/>
      <c r="F227"/>
      <c r="G227"/>
    </row>
    <row r="228" spans="3:7" x14ac:dyDescent="0.3">
      <c r="C228"/>
      <c r="D228"/>
      <c r="F228"/>
      <c r="G228"/>
    </row>
    <row r="229" spans="3:7" x14ac:dyDescent="0.3">
      <c r="C229"/>
      <c r="D229"/>
      <c r="F229"/>
      <c r="G229"/>
    </row>
    <row r="230" spans="3:7" x14ac:dyDescent="0.3">
      <c r="C230"/>
      <c r="D230"/>
      <c r="F230"/>
      <c r="G230"/>
    </row>
    <row r="231" spans="3:7" x14ac:dyDescent="0.3">
      <c r="C231"/>
      <c r="D231"/>
      <c r="F231"/>
      <c r="G231"/>
    </row>
    <row r="232" spans="3:7" x14ac:dyDescent="0.3">
      <c r="C232"/>
      <c r="D232"/>
      <c r="F232"/>
      <c r="G232"/>
    </row>
    <row r="233" spans="3:7" x14ac:dyDescent="0.3">
      <c r="C233"/>
      <c r="D233"/>
      <c r="F233"/>
      <c r="G233"/>
    </row>
    <row r="234" spans="3:7" x14ac:dyDescent="0.3">
      <c r="C234"/>
      <c r="D234"/>
      <c r="F234"/>
      <c r="G234"/>
    </row>
    <row r="235" spans="3:7" x14ac:dyDescent="0.3">
      <c r="C235"/>
      <c r="D235"/>
      <c r="F235"/>
      <c r="G235"/>
    </row>
    <row r="236" spans="3:7" x14ac:dyDescent="0.3">
      <c r="C236"/>
      <c r="D236"/>
      <c r="F236"/>
      <c r="G236"/>
    </row>
    <row r="237" spans="3:7" x14ac:dyDescent="0.3">
      <c r="C237"/>
      <c r="D237"/>
      <c r="F237"/>
      <c r="G237"/>
    </row>
    <row r="238" spans="3:7" x14ac:dyDescent="0.3">
      <c r="C238"/>
      <c r="D238"/>
    </row>
    <row r="239" spans="3:7" x14ac:dyDescent="0.3">
      <c r="C239"/>
      <c r="D239"/>
    </row>
    <row r="240" spans="3:7" x14ac:dyDescent="0.3">
      <c r="C240"/>
      <c r="D240"/>
    </row>
    <row r="241" spans="3:4" x14ac:dyDescent="0.3">
      <c r="C241"/>
      <c r="D241"/>
    </row>
    <row r="242" spans="3:4" x14ac:dyDescent="0.3">
      <c r="C242"/>
      <c r="D242"/>
    </row>
    <row r="243" spans="3:4" x14ac:dyDescent="0.3">
      <c r="C243"/>
      <c r="D243"/>
    </row>
    <row r="244" spans="3:4" x14ac:dyDescent="0.3">
      <c r="C244"/>
      <c r="D244"/>
    </row>
    <row r="245" spans="3:4" x14ac:dyDescent="0.3">
      <c r="C245"/>
      <c r="D245"/>
    </row>
    <row r="246" spans="3:4" x14ac:dyDescent="0.3">
      <c r="C246"/>
      <c r="D246"/>
    </row>
    <row r="247" spans="3:4" x14ac:dyDescent="0.3">
      <c r="C247"/>
      <c r="D247"/>
    </row>
    <row r="248" spans="3:4" x14ac:dyDescent="0.3">
      <c r="C248"/>
      <c r="D248"/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8"/>
  <sheetViews>
    <sheetView tabSelected="1" topLeftCell="B1" zoomScale="85" zoomScaleNormal="85" workbookViewId="0">
      <pane ySplit="1" topLeftCell="A580" activePane="bottomLeft" state="frozen"/>
      <selection activeCell="F1" sqref="F1"/>
      <selection pane="bottomLeft" activeCell="X635" sqref="X635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19.5546875" bestFit="1" customWidth="1"/>
    <col min="6" max="6" width="20.33203125" style="3" bestFit="1" customWidth="1"/>
    <col min="7" max="7" width="11.5546875" style="5" hidden="1" customWidth="1"/>
    <col min="8" max="8" width="14.5546875" style="5" hidden="1" customWidth="1"/>
    <col min="9" max="9" width="9.5546875" style="5" hidden="1" customWidth="1"/>
    <col min="10" max="10" width="8.33203125" style="5" hidden="1" customWidth="1"/>
    <col min="11" max="11" width="10.88671875" style="5" hidden="1" customWidth="1"/>
    <col min="12" max="13" width="9.109375" style="5" hidden="1" customWidth="1"/>
    <col min="14" max="14" width="11.44140625" style="5" customWidth="1"/>
    <col min="15" max="15" width="13" style="5" customWidth="1"/>
    <col min="16" max="16" width="10.44140625" style="5" hidden="1" customWidth="1"/>
    <col min="17" max="18" width="12.5546875" style="5" hidden="1" customWidth="1"/>
    <col min="19" max="19" width="12.5546875" style="5" customWidth="1"/>
    <col min="20" max="20" width="11.88671875" style="9" bestFit="1" customWidth="1"/>
    <col min="21" max="21" width="106" style="5" customWidth="1"/>
    <col min="22" max="22" width="9.33203125" style="5" bestFit="1" customWidth="1"/>
    <col min="23" max="23" width="9.33203125" style="5" customWidth="1"/>
    <col min="25" max="25" width="31.5546875" bestFit="1" customWidth="1"/>
  </cols>
  <sheetData>
    <row r="1" spans="1:28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hidden="1" x14ac:dyDescent="0.3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hidden="1" x14ac:dyDescent="0.3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hidden="1" x14ac:dyDescent="0.3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hidden="1" x14ac:dyDescent="0.3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hidden="1" x14ac:dyDescent="0.3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hidden="1" x14ac:dyDescent="0.3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hidden="1" x14ac:dyDescent="0.3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hidden="1" x14ac:dyDescent="0.3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hidden="1" x14ac:dyDescent="0.3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hidden="1" x14ac:dyDescent="0.3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hidden="1" x14ac:dyDescent="0.3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hidden="1" x14ac:dyDescent="0.3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hidden="1" x14ac:dyDescent="0.3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hidden="1" x14ac:dyDescent="0.3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hidden="1" x14ac:dyDescent="0.3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hidden="1" x14ac:dyDescent="0.3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hidden="1" x14ac:dyDescent="0.3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hidden="1" x14ac:dyDescent="0.3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hidden="1" x14ac:dyDescent="0.3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hidden="1" x14ac:dyDescent="0.3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hidden="1" x14ac:dyDescent="0.3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hidden="1" x14ac:dyDescent="0.3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hidden="1" x14ac:dyDescent="0.3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hidden="1" x14ac:dyDescent="0.3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hidden="1" x14ac:dyDescent="0.3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hidden="1" x14ac:dyDescent="0.3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hidden="1" x14ac:dyDescent="0.3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hidden="1" x14ac:dyDescent="0.3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hidden="1" x14ac:dyDescent="0.3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hidden="1" x14ac:dyDescent="0.3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hidden="1" x14ac:dyDescent="0.3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hidden="1" x14ac:dyDescent="0.3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hidden="1" x14ac:dyDescent="0.3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hidden="1" x14ac:dyDescent="0.3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hidden="1" x14ac:dyDescent="0.3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hidden="1" x14ac:dyDescent="0.3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hidden="1" x14ac:dyDescent="0.3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hidden="1" x14ac:dyDescent="0.3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hidden="1" x14ac:dyDescent="0.3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hidden="1" x14ac:dyDescent="0.3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hidden="1" x14ac:dyDescent="0.3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6"/>
      <c r="H514" s="6">
        <v>1</v>
      </c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45695</v>
      </c>
      <c r="U514" s="8" t="s">
        <v>1051</v>
      </c>
      <c r="V514" s="8">
        <v>1</v>
      </c>
      <c r="W514" s="8"/>
      <c r="X514" t="s">
        <v>3545</v>
      </c>
      <c r="Y514" t="s">
        <v>10</v>
      </c>
    </row>
    <row r="515" spans="1:25" hidden="1" x14ac:dyDescent="0.3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1222</v>
      </c>
      <c r="V515" s="24">
        <v>1</v>
      </c>
      <c r="W515" s="24"/>
      <c r="X515" t="s">
        <v>3545</v>
      </c>
      <c r="Y515" t="s">
        <v>227</v>
      </c>
    </row>
    <row r="516" spans="1:25" hidden="1" x14ac:dyDescent="0.3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>
        <v>45841</v>
      </c>
      <c r="G516" s="7"/>
      <c r="H516" s="7"/>
      <c r="I516" s="7"/>
      <c r="M516" s="5">
        <v>1</v>
      </c>
      <c r="S516" s="5">
        <f>SUM(bron[[#This Row],[Januari]:[December]])</f>
        <v>1</v>
      </c>
      <c r="U516" s="8" t="s">
        <v>1334</v>
      </c>
      <c r="V516" s="24">
        <v>1</v>
      </c>
      <c r="W516" s="24"/>
      <c r="X516" t="s">
        <v>7</v>
      </c>
      <c r="Y516" t="s">
        <v>1335</v>
      </c>
    </row>
    <row r="517" spans="1:25" hidden="1" x14ac:dyDescent="0.3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1163</v>
      </c>
      <c r="V517" s="8">
        <v>1</v>
      </c>
      <c r="W517" s="8"/>
      <c r="X517" t="s">
        <v>3545</v>
      </c>
      <c r="Y517" t="s">
        <v>34</v>
      </c>
    </row>
    <row r="518" spans="1:25" hidden="1" x14ac:dyDescent="0.3">
      <c r="A518">
        <v>4720</v>
      </c>
      <c r="B518" t="str">
        <f>_xlfn.CONCAT(bron[[#This Row],[personeelsnr]]," ",bron[[#This Row],[achternaam]]," ",bron[[#This Row],[voornaam]])</f>
        <v>4720 De Roo Jo</v>
      </c>
      <c r="C518" t="str">
        <f>VLOOKUP(bron[[#This Row],[personeelsnr]],'data hastus'!$A:$C,2,0)</f>
        <v>De Roo</v>
      </c>
      <c r="D518" t="str">
        <f>VLOOKUP(bron[[#This Row],[personeelsnr]],'data hastus'!$A:$C,3,0)</f>
        <v>Jo</v>
      </c>
      <c r="E518" t="str">
        <f>VLOOKUP(bron[[#This Row],[personeelsnr]],'data hastus'!A:K,11,FALSE)</f>
        <v>Els Vanhoe</v>
      </c>
      <c r="F518" s="10"/>
      <c r="G518" s="7"/>
      <c r="H518" s="7"/>
      <c r="I518" s="7"/>
      <c r="M518" s="5">
        <v>1</v>
      </c>
      <c r="S518" s="5">
        <f>SUM(bron[[#This Row],[Januari]:[December]])</f>
        <v>1</v>
      </c>
      <c r="T518" s="9">
        <v>45847</v>
      </c>
      <c r="U518" s="8" t="s">
        <v>1237</v>
      </c>
      <c r="V518" s="24">
        <v>1</v>
      </c>
      <c r="W518" s="24"/>
      <c r="X518" t="s">
        <v>3546</v>
      </c>
      <c r="Y518" t="s">
        <v>191</v>
      </c>
    </row>
    <row r="519" spans="1:25" hidden="1" x14ac:dyDescent="0.3">
      <c r="A519">
        <v>6229</v>
      </c>
      <c r="B519" t="str">
        <f>_xlfn.CONCAT(bron[[#This Row],[personeelsnr]]," ",bron[[#This Row],[achternaam]]," ",bron[[#This Row],[voornaam]])</f>
        <v>6229 De Meyer Antoon</v>
      </c>
      <c r="C519" t="str">
        <f>VLOOKUP(bron[[#This Row],[personeelsnr]],'data hastus'!$A:$C,2,0)</f>
        <v>De Meyer</v>
      </c>
      <c r="D519" t="str">
        <f>VLOOKUP(bron[[#This Row],[personeelsnr]],'data hastus'!$A:$C,3,0)</f>
        <v>Antoon</v>
      </c>
      <c r="E519" t="str">
        <f>VLOOKUP(bron[[#This Row],[personeelsnr]],'data hastus'!A:K,11,FALSE)</f>
        <v>Els Vanhoe</v>
      </c>
      <c r="F519" s="10"/>
      <c r="G519" s="6"/>
      <c r="H519" s="6">
        <v>1</v>
      </c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45701</v>
      </c>
      <c r="U519" s="8" t="s">
        <v>1056</v>
      </c>
      <c r="V519" s="8">
        <v>1</v>
      </c>
      <c r="W519" s="8"/>
      <c r="X519" t="s">
        <v>3545</v>
      </c>
      <c r="Y519" t="s">
        <v>193</v>
      </c>
    </row>
    <row r="520" spans="1:25" hidden="1" x14ac:dyDescent="0.3">
      <c r="A520">
        <v>7746</v>
      </c>
      <c r="B520" t="str">
        <f>_xlfn.CONCAT(bron[[#This Row],[personeelsnr]]," ",bron[[#This Row],[achternaam]]," ",bron[[#This Row],[voornaam]])</f>
        <v>7746 Aelterman Didier</v>
      </c>
      <c r="C520" t="str">
        <f>VLOOKUP(bron[[#This Row],[personeelsnr]],'data hastus'!$A:$C,2,0)</f>
        <v>Aelterman</v>
      </c>
      <c r="D520" t="str">
        <f>VLOOKUP(bron[[#This Row],[personeelsnr]],'data hastus'!$A:$C,3,0)</f>
        <v>Didier</v>
      </c>
      <c r="E520" t="str">
        <f>VLOOKUP(bron[[#This Row],[personeelsnr]],'data hastus'!A:K,11,FALSE)</f>
        <v>Christoff Rotty</v>
      </c>
      <c r="F520" s="10"/>
      <c r="G520" s="7"/>
      <c r="H520" s="7"/>
      <c r="I520" s="7"/>
      <c r="L520" s="5">
        <v>1</v>
      </c>
      <c r="S520" s="5">
        <f>SUM(bron[[#This Row],[Januari]:[December]])</f>
        <v>1</v>
      </c>
      <c r="T520" s="9">
        <v>45820</v>
      </c>
      <c r="U520" s="8" t="s">
        <v>1203</v>
      </c>
      <c r="V520" s="24">
        <v>1</v>
      </c>
      <c r="W520" s="24"/>
      <c r="X520" t="s">
        <v>3546</v>
      </c>
      <c r="Y520" t="s">
        <v>94</v>
      </c>
    </row>
    <row r="521" spans="1:25" hidden="1" x14ac:dyDescent="0.3">
      <c r="A521">
        <v>8394</v>
      </c>
      <c r="B521" t="str">
        <f>_xlfn.CONCAT(bron[[#This Row],[personeelsnr]]," ",bron[[#This Row],[achternaam]]," ",bron[[#This Row],[voornaam]])</f>
        <v>8394 Smet Antoon</v>
      </c>
      <c r="C521" t="str">
        <f>VLOOKUP(bron[[#This Row],[personeelsnr]],'data hastus'!$A:$C,2,0)</f>
        <v>Smet</v>
      </c>
      <c r="D521" t="str">
        <f>VLOOKUP(bron[[#This Row],[personeelsnr]],'data hastus'!$A:$C,3,0)</f>
        <v>Antoon</v>
      </c>
      <c r="E521" t="str">
        <f>VLOOKUP(bron[[#This Row],[personeelsnr]],'data hastus'!A:K,11,FALSE)</f>
        <v>Lucie Vande Velde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45677</v>
      </c>
      <c r="U521" s="8" t="s">
        <v>1022</v>
      </c>
      <c r="V521" s="8">
        <v>1</v>
      </c>
      <c r="W521" s="8"/>
      <c r="X521" t="s">
        <v>3545</v>
      </c>
      <c r="Y521" t="s">
        <v>285</v>
      </c>
    </row>
    <row r="522" spans="1:25" hidden="1" x14ac:dyDescent="0.3">
      <c r="A522">
        <v>11213</v>
      </c>
      <c r="B522" t="str">
        <f>_xlfn.CONCAT(bron[[#This Row],[personeelsnr]]," ",bron[[#This Row],[achternaam]]," ",bron[[#This Row],[voornaam]])</f>
        <v>11213 De Plus Gunter</v>
      </c>
      <c r="C522" t="str">
        <f>VLOOKUP(bron[[#This Row],[personeelsnr]],'data hastus'!$A:$C,2,0)</f>
        <v>De Plus</v>
      </c>
      <c r="D522" t="str">
        <f>VLOOKUP(bron[[#This Row],[personeelsnr]],'data hastus'!$A:$C,3,0)</f>
        <v>Gunter</v>
      </c>
      <c r="E522" t="str">
        <f>VLOOKUP(bron[[#This Row],[personeelsnr]],'data hastus'!A:K,11,FALSE)</f>
        <v>Bart Van Der Beken</v>
      </c>
      <c r="F522" s="10"/>
      <c r="G522" s="7"/>
      <c r="H522" s="7"/>
      <c r="I522" s="7"/>
      <c r="M522" s="5">
        <v>1</v>
      </c>
      <c r="S522" s="5">
        <f>SUM(bron[[#This Row],[Januari]:[December]])</f>
        <v>1</v>
      </c>
      <c r="T522" s="9">
        <v>45862</v>
      </c>
      <c r="U522" s="8" t="s">
        <v>1256</v>
      </c>
      <c r="V522" s="24"/>
      <c r="W522" s="24">
        <v>1</v>
      </c>
      <c r="X522" t="s">
        <v>3581</v>
      </c>
      <c r="Y522" t="s">
        <v>233</v>
      </c>
    </row>
    <row r="523" spans="1:25" hidden="1" x14ac:dyDescent="0.3">
      <c r="A523">
        <v>12514</v>
      </c>
      <c r="B523" t="str">
        <f>_xlfn.CONCAT(bron[[#This Row],[personeelsnr]]," ",bron[[#This Row],[achternaam]]," ",bron[[#This Row],[voornaam]])</f>
        <v>12514 De Smet Kenneth</v>
      </c>
      <c r="C523" t="str">
        <f>VLOOKUP(bron[[#This Row],[personeelsnr]],'data hastus'!$A:$C,2,0)</f>
        <v>De Smet</v>
      </c>
      <c r="D523" t="str">
        <f>VLOOKUP(bron[[#This Row],[personeelsnr]],'data hastus'!$A:$C,3,0)</f>
        <v>Kenneth</v>
      </c>
      <c r="E523" t="str">
        <f>VLOOKUP(bron[[#This Row],[personeelsnr]],'data hastus'!A:K,11,FALSE)</f>
        <v>Lucie Vande Velde</v>
      </c>
      <c r="F523" s="10"/>
      <c r="G523" s="6"/>
      <c r="H523" s="6">
        <v>1</v>
      </c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45691</v>
      </c>
      <c r="U523" s="8" t="s">
        <v>1042</v>
      </c>
      <c r="V523" s="8"/>
      <c r="W523" s="8">
        <v>1</v>
      </c>
      <c r="X523" t="s">
        <v>3581</v>
      </c>
      <c r="Y523" t="s">
        <v>147</v>
      </c>
    </row>
    <row r="524" spans="1:25" hidden="1" x14ac:dyDescent="0.3">
      <c r="A524">
        <v>9999</v>
      </c>
      <c r="B524" t="e">
        <f>_xlfn.CONCAT(bron[[#This Row],[personeelsnr]]," ",bron[[#This Row],[achternaam]]," ",bron[[#This Row],[voornaam]])</f>
        <v>#N/A</v>
      </c>
      <c r="C524" t="e">
        <f>VLOOKUP(bron[[#This Row],[personeelsnr]],'data hastus'!$A:$C,2,0)</f>
        <v>#N/A</v>
      </c>
      <c r="D524" t="e">
        <f>VLOOKUP(bron[[#This Row],[personeelsnr]],'data hastus'!$A:$C,3,0)</f>
        <v>#N/A</v>
      </c>
      <c r="E524" t="s">
        <v>79</v>
      </c>
      <c r="F524" s="10"/>
      <c r="G524" s="6"/>
      <c r="H524" s="6"/>
      <c r="I524" s="6"/>
      <c r="J524">
        <v>1</v>
      </c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45771</v>
      </c>
      <c r="U524" s="8" t="s">
        <v>1153</v>
      </c>
      <c r="V524" s="8">
        <v>1</v>
      </c>
      <c r="W524" s="8"/>
      <c r="X524" t="s">
        <v>7</v>
      </c>
      <c r="Y524" t="s">
        <v>5</v>
      </c>
    </row>
    <row r="525" spans="1:25" hidden="1" x14ac:dyDescent="0.3">
      <c r="A525">
        <v>10782</v>
      </c>
      <c r="B525" t="str">
        <f>_xlfn.CONCAT(bron[[#This Row],[personeelsnr]]," ",bron[[#This Row],[achternaam]]," ",bron[[#This Row],[voornaam]])</f>
        <v>10782 De Kee Ina</v>
      </c>
      <c r="C525" t="str">
        <f>VLOOKUP(bron[[#This Row],[personeelsnr]],'data hastus'!$A:$C,2,0)</f>
        <v>De Kee</v>
      </c>
      <c r="D525" t="str">
        <f>VLOOKUP(bron[[#This Row],[personeelsnr]],'data hastus'!$A:$C,3,0)</f>
        <v>Ina</v>
      </c>
      <c r="E525" t="str">
        <f>VLOOKUP(bron[[#This Row],[personeelsnr]],'data hastus'!A:K,11,FALSE)</f>
        <v>Kenneth De Rick</v>
      </c>
      <c r="F525" s="10">
        <v>45868</v>
      </c>
      <c r="G525" s="7"/>
      <c r="H525" s="7"/>
      <c r="I525" s="7"/>
      <c r="S525" s="5">
        <v>1</v>
      </c>
      <c r="U525" s="8" t="s">
        <v>1323</v>
      </c>
      <c r="V525" s="24"/>
      <c r="W525" s="24">
        <v>1</v>
      </c>
      <c r="X525" t="s">
        <v>8</v>
      </c>
      <c r="Y525" t="s">
        <v>1324</v>
      </c>
    </row>
    <row r="526" spans="1:25" hidden="1" x14ac:dyDescent="0.3">
      <c r="A526">
        <v>11120</v>
      </c>
      <c r="B526" t="str">
        <f>_xlfn.CONCAT(bron[[#This Row],[personeelsnr]]," ",bron[[#This Row],[achternaam]]," ",bron[[#This Row],[voornaam]])</f>
        <v>11120 De Vrieze Ludo</v>
      </c>
      <c r="C526" t="str">
        <f>VLOOKUP(bron[[#This Row],[personeelsnr]],'data hastus'!$A:$C,2,0)</f>
        <v>De Vrieze</v>
      </c>
      <c r="D526" t="str">
        <f>VLOOKUP(bron[[#This Row],[personeelsnr]],'data hastus'!$A:$C,3,0)</f>
        <v>Ludo</v>
      </c>
      <c r="E526" t="str">
        <f>VLOOKUP(bron[[#This Row],[personeelsnr]],'data hastus'!A:K,11,FALSE)</f>
        <v>Lucie Vande Velde</v>
      </c>
      <c r="F526" s="10">
        <v>45735</v>
      </c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/>
      <c r="U526" s="8" t="s">
        <v>1332</v>
      </c>
      <c r="V526" s="8"/>
      <c r="W526" s="8">
        <v>1</v>
      </c>
      <c r="X526" t="s">
        <v>8</v>
      </c>
      <c r="Y526" t="s">
        <v>1333</v>
      </c>
    </row>
    <row r="527" spans="1:25" hidden="1" x14ac:dyDescent="0.3">
      <c r="A527">
        <v>13398</v>
      </c>
      <c r="B527" t="str">
        <f>_xlfn.CONCAT(bron[[#This Row],[personeelsnr]]," ",bron[[#This Row],[achternaam]]," ",bron[[#This Row],[voornaam]])</f>
        <v>13398 Kirdas Ramazan</v>
      </c>
      <c r="C527" t="str">
        <f>VLOOKUP(bron[[#This Row],[personeelsnr]],'data hastus'!$A:$C,2,0)</f>
        <v>Kirdas</v>
      </c>
      <c r="D527" t="str">
        <f>VLOOKUP(bron[[#This Row],[personeelsnr]],'data hastus'!$A:$C,3,0)</f>
        <v>Ramazan</v>
      </c>
      <c r="E527" t="str">
        <f>VLOOKUP(bron[[#This Row],[personeelsnr]],'data hastus'!A:K,11,FALSE)</f>
        <v>Dominique De Clercq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45681</v>
      </c>
      <c r="U527" s="8" t="s">
        <v>1029</v>
      </c>
      <c r="V527" s="8"/>
      <c r="W527" s="8">
        <v>1</v>
      </c>
      <c r="X527" t="s">
        <v>3581</v>
      </c>
      <c r="Y527" t="s">
        <v>129</v>
      </c>
    </row>
    <row r="528" spans="1:25" hidden="1" x14ac:dyDescent="0.3">
      <c r="A528">
        <v>11236</v>
      </c>
      <c r="B528" t="str">
        <f>_xlfn.CONCAT(bron[[#This Row],[personeelsnr]]," ",bron[[#This Row],[achternaam]]," ",bron[[#This Row],[voornaam]])</f>
        <v>11236 Baert Freddy</v>
      </c>
      <c r="C528" t="str">
        <f>VLOOKUP(bron[[#This Row],[personeelsnr]],'data hastus'!$A:$C,2,0)</f>
        <v>Baert</v>
      </c>
      <c r="D528" t="str">
        <f>VLOOKUP(bron[[#This Row],[personeelsnr]],'data hastus'!$A:$C,3,0)</f>
        <v>Freddy</v>
      </c>
      <c r="E528" t="str">
        <f>VLOOKUP(bron[[#This Row],[personeelsnr]],'data hastus'!A:K,11,FALSE)</f>
        <v>Bart Van Der Beken</v>
      </c>
      <c r="F528" s="10"/>
      <c r="G528" s="6"/>
      <c r="H528" s="6">
        <v>1</v>
      </c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45702</v>
      </c>
      <c r="U528" s="8" t="s">
        <v>1058</v>
      </c>
      <c r="V528" s="8">
        <v>1</v>
      </c>
      <c r="W528" s="8"/>
      <c r="X528" t="s">
        <v>3545</v>
      </c>
      <c r="Y528" t="s">
        <v>66</v>
      </c>
    </row>
    <row r="529" spans="1:25" hidden="1" x14ac:dyDescent="0.3">
      <c r="A529">
        <v>11236</v>
      </c>
      <c r="B529" t="str">
        <f>_xlfn.CONCAT(bron[[#This Row],[personeelsnr]]," ",bron[[#This Row],[achternaam]]," ",bron[[#This Row],[voornaam]])</f>
        <v>11236 Baert Freddy</v>
      </c>
      <c r="C529" t="str">
        <f>VLOOKUP(bron[[#This Row],[personeelsnr]],'data hastus'!$A:$C,2,0)</f>
        <v>Baert</v>
      </c>
      <c r="D529" t="str">
        <f>VLOOKUP(bron[[#This Row],[personeelsnr]],'data hastus'!$A:$C,3,0)</f>
        <v>Freddy</v>
      </c>
      <c r="E529" t="str">
        <f>VLOOKUP(bron[[#This Row],[personeelsnr]],'data hastus'!A:K,11,FALSE)</f>
        <v>Bart Van Der Beken</v>
      </c>
      <c r="F529" s="10"/>
      <c r="G529" s="7"/>
      <c r="H529" s="7"/>
      <c r="I529" s="7"/>
      <c r="N529" s="5">
        <v>1</v>
      </c>
      <c r="S529" s="5">
        <f>SUM(bron[[#This Row],[Januari]:[December]])</f>
        <v>1</v>
      </c>
      <c r="T529" s="9">
        <v>45897</v>
      </c>
      <c r="U529" s="5" t="s">
        <v>1285</v>
      </c>
      <c r="V529" s="24">
        <v>1</v>
      </c>
      <c r="W529" s="24"/>
      <c r="X529" t="s">
        <v>3545</v>
      </c>
      <c r="Y529" t="s">
        <v>195</v>
      </c>
    </row>
    <row r="530" spans="1:25" hidden="1" x14ac:dyDescent="0.3">
      <c r="A530">
        <v>15282</v>
      </c>
      <c r="B530" t="str">
        <f>_xlfn.CONCAT(bron[[#This Row],[personeelsnr]]," ",bron[[#This Row],[achternaam]]," ",bron[[#This Row],[voornaam]])</f>
        <v>15282 Marinx Kristoff</v>
      </c>
      <c r="C530" t="str">
        <f>VLOOKUP(bron[[#This Row],[personeelsnr]],'data hastus'!$A:$C,2,0)</f>
        <v>Marinx</v>
      </c>
      <c r="D530" t="str">
        <f>VLOOKUP(bron[[#This Row],[personeelsnr]],'data hastus'!$A:$C,3,0)</f>
        <v>Kristoff</v>
      </c>
      <c r="E530" t="str">
        <f>VLOOKUP(bron[[#This Row],[personeelsnr]],'data hastus'!A:K,11,FALSE)</f>
        <v>Kenneth De Rick</v>
      </c>
      <c r="F530" s="10"/>
      <c r="G530" s="7"/>
      <c r="H530" s="7"/>
      <c r="I530" s="7"/>
      <c r="K530" s="5">
        <v>1</v>
      </c>
      <c r="S530" s="5">
        <f>SUM(bron[[#This Row],[Januari]:[December]])</f>
        <v>1</v>
      </c>
      <c r="T530" s="9">
        <v>45803</v>
      </c>
      <c r="U530" s="8" t="s">
        <v>1185</v>
      </c>
      <c r="V530" s="8"/>
      <c r="W530" s="8">
        <v>1</v>
      </c>
      <c r="X530" t="s">
        <v>3581</v>
      </c>
      <c r="Y530" t="s">
        <v>129</v>
      </c>
    </row>
    <row r="531" spans="1:25" hidden="1" x14ac:dyDescent="0.3">
      <c r="A531">
        <v>12684</v>
      </c>
      <c r="B531" t="str">
        <f>_xlfn.CONCAT(bron[[#This Row],[personeelsnr]]," ",bron[[#This Row],[achternaam]]," ",bron[[#This Row],[voornaam]])</f>
        <v>12684 Van Den Bossche Martine</v>
      </c>
      <c r="C531" t="str">
        <f>VLOOKUP(bron[[#This Row],[personeelsnr]],'data hastus'!$A:$C,2,0)</f>
        <v>Van Den Bossche</v>
      </c>
      <c r="D531" t="str">
        <f>VLOOKUP(bron[[#This Row],[personeelsnr]],'data hastus'!$A:$C,3,0)</f>
        <v>Martine</v>
      </c>
      <c r="E531" t="str">
        <f>VLOOKUP(bron[[#This Row],[personeelsnr]],'data hastus'!A:K,11,FALSE)</f>
        <v>Els Vanhoe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45848</v>
      </c>
      <c r="U531" s="8" t="s">
        <v>1239</v>
      </c>
      <c r="V531" s="24">
        <v>1</v>
      </c>
      <c r="W531" s="24"/>
      <c r="X531" t="s">
        <v>3545</v>
      </c>
      <c r="Y531" t="s">
        <v>37</v>
      </c>
    </row>
    <row r="532" spans="1:25" hidden="1" x14ac:dyDescent="0.3">
      <c r="A532">
        <v>12684</v>
      </c>
      <c r="B532" t="str">
        <f>_xlfn.CONCAT(bron[[#This Row],[personeelsnr]]," ",bron[[#This Row],[achternaam]]," ",bron[[#This Row],[voornaam]])</f>
        <v>12684 Van Den Bossche Martine</v>
      </c>
      <c r="C532" t="str">
        <f>VLOOKUP(bron[[#This Row],[personeelsnr]],'data hastus'!$A:$C,2,0)</f>
        <v>Van Den Bossche</v>
      </c>
      <c r="D532" t="str">
        <f>VLOOKUP(bron[[#This Row],[personeelsnr]],'data hastus'!$A:$C,3,0)</f>
        <v>Martine</v>
      </c>
      <c r="E532" t="str">
        <f>VLOOKUP(bron[[#This Row],[personeelsnr]],'data hastus'!A:K,11,FALSE)</f>
        <v>Els Vanhoe</v>
      </c>
      <c r="F532" s="10"/>
      <c r="G532" s="7"/>
      <c r="H532" s="7"/>
      <c r="I532" s="7"/>
      <c r="M532" s="5">
        <v>1</v>
      </c>
      <c r="S532" s="5">
        <f>SUM(bron[[#This Row],[Januari]:[December]])</f>
        <v>1</v>
      </c>
      <c r="T532" s="9">
        <v>45853</v>
      </c>
      <c r="U532" s="8" t="s">
        <v>1248</v>
      </c>
      <c r="V532" s="24">
        <v>1</v>
      </c>
      <c r="W532" s="24"/>
      <c r="X532" t="s">
        <v>3545</v>
      </c>
      <c r="Y532" t="s">
        <v>237</v>
      </c>
    </row>
    <row r="533" spans="1:25" hidden="1" x14ac:dyDescent="0.3">
      <c r="A533">
        <v>12819</v>
      </c>
      <c r="B533" t="str">
        <f>_xlfn.CONCAT(bron[[#This Row],[personeelsnr]]," ",bron[[#This Row],[achternaam]]," ",bron[[#This Row],[voornaam]])</f>
        <v>12819 Van Eenaeme David</v>
      </c>
      <c r="C533" t="str">
        <f>VLOOKUP(bron[[#This Row],[personeelsnr]],'data hastus'!$A:$C,2,0)</f>
        <v>Van Eenaeme</v>
      </c>
      <c r="D533" t="str">
        <f>VLOOKUP(bron[[#This Row],[personeelsnr]],'data hastus'!$A:$C,3,0)</f>
        <v>David</v>
      </c>
      <c r="E533" t="str">
        <f>VLOOKUP(bron[[#This Row],[personeelsnr]],'data hastus'!A:K,11,FALSE)</f>
        <v>Bart Van Der Beken</v>
      </c>
      <c r="F533" s="10"/>
      <c r="G533" s="7"/>
      <c r="H533" s="7"/>
      <c r="I533" s="7"/>
      <c r="M533" s="5">
        <v>1</v>
      </c>
      <c r="S533" s="5">
        <f>SUM(bron[[#This Row],[Januari]:[December]])</f>
        <v>1</v>
      </c>
      <c r="T533" s="9">
        <v>45863</v>
      </c>
      <c r="U533" s="8" t="s">
        <v>1258</v>
      </c>
      <c r="V533" s="24">
        <v>1</v>
      </c>
      <c r="W533" s="24"/>
      <c r="X533" t="s">
        <v>3545</v>
      </c>
      <c r="Y533" t="s">
        <v>203</v>
      </c>
    </row>
    <row r="534" spans="1:25" hidden="1" x14ac:dyDescent="0.3">
      <c r="A534">
        <v>16895</v>
      </c>
      <c r="B534" t="str">
        <f>_xlfn.CONCAT(bron[[#This Row],[personeelsnr]]," ",bron[[#This Row],[achternaam]]," ",bron[[#This Row],[voornaam]])</f>
        <v>16895 Van Lauwe Freddy</v>
      </c>
      <c r="C534" t="str">
        <f>VLOOKUP(bron[[#This Row],[personeelsnr]],'data hastus'!$A:$C,2,0)</f>
        <v>Van Lauwe</v>
      </c>
      <c r="D534" t="str">
        <f>VLOOKUP(bron[[#This Row],[personeelsnr]],'data hastus'!$A:$C,3,0)</f>
        <v>Freddy</v>
      </c>
      <c r="E534" t="str">
        <f>VLOOKUP(bron[[#This Row],[personeelsnr]],'data hastus'!A:K,11,FALSE)</f>
        <v>Bart Van Der Beken</v>
      </c>
      <c r="F534" s="10"/>
      <c r="G534" s="7"/>
      <c r="H534" s="7"/>
      <c r="I534" s="7"/>
      <c r="N534" s="5">
        <v>1</v>
      </c>
      <c r="S534" s="5">
        <f>SUM(bron[[#This Row],[Januari]:[December]])</f>
        <v>1</v>
      </c>
      <c r="T534" s="9">
        <v>45897</v>
      </c>
      <c r="U534" s="5" t="s">
        <v>1286</v>
      </c>
      <c r="V534" s="24">
        <v>1</v>
      </c>
      <c r="W534" s="24"/>
      <c r="X534" t="s">
        <v>3581</v>
      </c>
      <c r="Y534" t="s">
        <v>199</v>
      </c>
    </row>
    <row r="535" spans="1:25" hidden="1" x14ac:dyDescent="0.3">
      <c r="A535">
        <v>13568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/>
      <c r="H535" s="6">
        <v>1</v>
      </c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45691</v>
      </c>
      <c r="U535" s="8" t="s">
        <v>1043</v>
      </c>
      <c r="V535" s="8">
        <v>1</v>
      </c>
      <c r="W535" s="8"/>
      <c r="X535" t="s">
        <v>7</v>
      </c>
      <c r="Y535" t="s">
        <v>149</v>
      </c>
    </row>
    <row r="536" spans="1:25" hidden="1" x14ac:dyDescent="0.3">
      <c r="A536">
        <v>14625</v>
      </c>
      <c r="B536" t="str">
        <f>_xlfn.CONCAT(bron[[#This Row],[personeelsnr]]," ",bron[[#This Row],[achternaam]]," ",bron[[#This Row],[voornaam]])</f>
        <v>14625 Rodrigue Vincent</v>
      </c>
      <c r="C536" t="str">
        <f>VLOOKUP(bron[[#This Row],[personeelsnr]],'data hastus'!$A:$C,2,0)</f>
        <v>Rodrigue</v>
      </c>
      <c r="D536" t="str">
        <f>VLOOKUP(bron[[#This Row],[personeelsnr]],'data hastus'!$A:$C,3,0)</f>
        <v>Vincent</v>
      </c>
      <c r="E536" t="str">
        <f>VLOOKUP(bron[[#This Row],[personeelsnr]],'data hastus'!A:K,11,FALSE)</f>
        <v>Lucie Vande Velde</v>
      </c>
      <c r="F536" s="10">
        <v>45828</v>
      </c>
      <c r="G536" s="7"/>
      <c r="H536" s="7"/>
      <c r="I536" s="7"/>
      <c r="L536" s="5">
        <v>1</v>
      </c>
      <c r="S536" s="5">
        <f>SUM(bron[[#This Row],[Januari]:[December]])</f>
        <v>1</v>
      </c>
      <c r="U536" s="8" t="s">
        <v>1331</v>
      </c>
      <c r="V536" s="24">
        <v>1</v>
      </c>
      <c r="W536" s="24"/>
      <c r="X536" t="s">
        <v>7</v>
      </c>
      <c r="Y536" t="s">
        <v>427</v>
      </c>
    </row>
    <row r="537" spans="1:25" hidden="1" x14ac:dyDescent="0.3">
      <c r="A537">
        <v>15088</v>
      </c>
      <c r="B537" t="str">
        <f>_xlfn.CONCAT(bron[[#This Row],[personeelsnr]]," ",bron[[#This Row],[achternaam]]," ",bron[[#This Row],[voornaam]])</f>
        <v>15088 Laute Dirk</v>
      </c>
      <c r="C537" t="str">
        <f>VLOOKUP(bron[[#This Row],[personeelsnr]],'data hastus'!$A:$C,2,0)</f>
        <v>Laute</v>
      </c>
      <c r="D537" t="str">
        <f>VLOOKUP(bron[[#This Row],[personeelsnr]],'data hastus'!$A:$C,3,0)</f>
        <v>Dirk</v>
      </c>
      <c r="E537" t="str">
        <f>VLOOKUP(bron[[#This Row],[personeelsnr]],'data hastus'!A:K,11,FALSE)</f>
        <v>Els Vanhoe</v>
      </c>
      <c r="F537" s="10">
        <v>45837</v>
      </c>
      <c r="G537" s="7"/>
      <c r="H537" s="7"/>
      <c r="I537" s="7"/>
      <c r="L537" s="5">
        <v>1</v>
      </c>
      <c r="S537" s="5">
        <f>SUM(bron[[#This Row],[Januari]:[December]])</f>
        <v>1</v>
      </c>
      <c r="U537" s="8" t="s">
        <v>1316</v>
      </c>
      <c r="V537" s="24">
        <v>1</v>
      </c>
      <c r="W537" s="24"/>
      <c r="X537" t="s">
        <v>7</v>
      </c>
      <c r="Y537" t="s">
        <v>48</v>
      </c>
    </row>
    <row r="538" spans="1:25" hidden="1" x14ac:dyDescent="0.3">
      <c r="A538">
        <v>16895</v>
      </c>
      <c r="B538" t="str">
        <f>_xlfn.CONCAT(bron[[#This Row],[personeelsnr]]," ",bron[[#This Row],[achternaam]]," ",bron[[#This Row],[voornaam]])</f>
        <v>16895 Van Lauwe Freddy</v>
      </c>
      <c r="C538" t="str">
        <f>VLOOKUP(bron[[#This Row],[personeelsnr]],'data hastus'!$A:$C,2,0)</f>
        <v>Van Lauwe</v>
      </c>
      <c r="D538" t="str">
        <f>VLOOKUP(bron[[#This Row],[personeelsnr]],'data hastus'!$A:$C,3,0)</f>
        <v>Freddy</v>
      </c>
      <c r="E538" t="str">
        <f>VLOOKUP(bron[[#This Row],[personeelsnr]],'data hastus'!A:K,11,FALSE)</f>
        <v>Bart Van Der Beken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45909</v>
      </c>
      <c r="U538" s="5" t="s">
        <v>3539</v>
      </c>
      <c r="V538" s="24"/>
      <c r="W538" s="24">
        <v>1</v>
      </c>
      <c r="X538" t="s">
        <v>3581</v>
      </c>
      <c r="Y538" t="s">
        <v>75</v>
      </c>
    </row>
    <row r="539" spans="1:25" hidden="1" x14ac:dyDescent="0.3">
      <c r="A539">
        <v>15412</v>
      </c>
      <c r="B539" t="str">
        <f>_xlfn.CONCAT(bron[[#This Row],[personeelsnr]]," ",bron[[#This Row],[achternaam]]," ",bron[[#This Row],[voornaam]])</f>
        <v>15412 Dhondt Frank</v>
      </c>
      <c r="C539" t="str">
        <f>VLOOKUP(bron[[#This Row],[personeelsnr]],'data hastus'!$A:$C,2,0)</f>
        <v>Dhondt</v>
      </c>
      <c r="D539" t="str">
        <f>VLOOKUP(bron[[#This Row],[personeelsnr]],'data hastus'!$A:$C,3,0)</f>
        <v>Frank</v>
      </c>
      <c r="E539" t="str">
        <f>VLOOKUP(bron[[#This Row],[personeelsnr]],'data hastus'!A:K,11,FALSE)</f>
        <v>Bart Van Der Beken</v>
      </c>
      <c r="F539" s="10"/>
      <c r="G539" s="7"/>
      <c r="H539" s="7"/>
      <c r="I539" s="7"/>
      <c r="L539" s="5">
        <v>1</v>
      </c>
      <c r="S539" s="5">
        <f>SUM(bron[[#This Row],[Januari]:[December]])</f>
        <v>1</v>
      </c>
      <c r="T539" s="9">
        <v>45803</v>
      </c>
      <c r="U539" s="8" t="s">
        <v>1183</v>
      </c>
      <c r="V539" s="8">
        <v>1</v>
      </c>
      <c r="W539" s="8"/>
      <c r="X539" t="s">
        <v>3547</v>
      </c>
      <c r="Y539" t="s">
        <v>115</v>
      </c>
    </row>
    <row r="540" spans="1:25" hidden="1" x14ac:dyDescent="0.3">
      <c r="A540">
        <v>15412</v>
      </c>
      <c r="B540" t="str">
        <f>_xlfn.CONCAT(bron[[#This Row],[personeelsnr]]," ",bron[[#This Row],[achternaam]]," ",bron[[#This Row],[voornaam]])</f>
        <v>15412 Dhondt Frank</v>
      </c>
      <c r="C540" t="str">
        <f>VLOOKUP(bron[[#This Row],[personeelsnr]],'data hastus'!$A:$C,2,0)</f>
        <v>Dhondt</v>
      </c>
      <c r="D540" t="str">
        <f>VLOOKUP(bron[[#This Row],[personeelsnr]],'data hastus'!$A:$C,3,0)</f>
        <v>Frank</v>
      </c>
      <c r="E540" t="str">
        <f>VLOOKUP(bron[[#This Row],[personeelsnr]],'data hastus'!A:K,11,FALSE)</f>
        <v>Bart Van Der Beken</v>
      </c>
      <c r="F540" s="10"/>
      <c r="G540" s="7"/>
      <c r="H540" s="7"/>
      <c r="I540" s="7"/>
      <c r="S540" s="5">
        <f>SUM(bron[[#This Row],[Januari]:[December]])</f>
        <v>0</v>
      </c>
      <c r="T540" s="9">
        <v>45833</v>
      </c>
      <c r="U540" s="8" t="s">
        <v>1217</v>
      </c>
      <c r="V540" s="24">
        <v>1</v>
      </c>
      <c r="W540" s="24"/>
      <c r="X540" t="s">
        <v>3547</v>
      </c>
      <c r="Y540" t="s">
        <v>205</v>
      </c>
    </row>
    <row r="541" spans="1:25" hidden="1" x14ac:dyDescent="0.3">
      <c r="A541">
        <v>16545</v>
      </c>
      <c r="B541" t="str">
        <f>_xlfn.CONCAT(bron[[#This Row],[personeelsnr]]," ",bron[[#This Row],[achternaam]]," ",bron[[#This Row],[voornaam]])</f>
        <v>16545 Toch Erwin</v>
      </c>
      <c r="C541" t="str">
        <f>VLOOKUP(bron[[#This Row],[personeelsnr]],'data hastus'!$A:$C,2,0)</f>
        <v>Toch</v>
      </c>
      <c r="D541" t="str">
        <f>VLOOKUP(bron[[#This Row],[personeelsnr]],'data hastus'!$A:$C,3,0)</f>
        <v>Erwin</v>
      </c>
      <c r="E541" t="str">
        <f>VLOOKUP(bron[[#This Row],[personeelsnr]],'data hastus'!A:K,11,FALSE)</f>
        <v>Bart Van Der Beken</v>
      </c>
      <c r="F541" s="10"/>
      <c r="G541" s="6"/>
      <c r="H541" s="6">
        <v>1</v>
      </c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45691</v>
      </c>
      <c r="U541" s="8" t="s">
        <v>1040</v>
      </c>
      <c r="V541" s="8">
        <v>1</v>
      </c>
      <c r="W541" s="8"/>
      <c r="X541" t="s">
        <v>3545</v>
      </c>
      <c r="Y541" t="s">
        <v>19</v>
      </c>
    </row>
    <row r="542" spans="1:25" hidden="1" x14ac:dyDescent="0.3">
      <c r="A542">
        <v>16895</v>
      </c>
      <c r="B542" t="str">
        <f>_xlfn.CONCAT(bron[[#This Row],[personeelsnr]]," ",bron[[#This Row],[achternaam]]," ",bron[[#This Row],[voornaam]])</f>
        <v>16895 Van Lauwe Freddy</v>
      </c>
      <c r="C542" t="str">
        <f>VLOOKUP(bron[[#This Row],[personeelsnr]],'data hastus'!$A:$C,2,0)</f>
        <v>Van Lauwe</v>
      </c>
      <c r="D542" t="str">
        <f>VLOOKUP(bron[[#This Row],[personeelsnr]],'data hastus'!$A:$C,3,0)</f>
        <v>Freddy</v>
      </c>
      <c r="E542" t="str">
        <f>VLOOKUP(bron[[#This Row],[personeelsnr]],'data hastus'!A:K,11,FALSE)</f>
        <v>Bart Van Der Beken</v>
      </c>
      <c r="F542" s="10"/>
      <c r="G542" s="7"/>
      <c r="H542" s="7"/>
      <c r="I542" s="7"/>
      <c r="S542" s="5">
        <f>SUM(bron[[#This Row],[Januari]:[December]])</f>
        <v>0</v>
      </c>
      <c r="T542" s="9">
        <v>45910</v>
      </c>
      <c r="U542" s="24" t="s">
        <v>3541</v>
      </c>
      <c r="V542" s="24"/>
      <c r="W542" s="24">
        <v>1</v>
      </c>
      <c r="X542" t="s">
        <v>3582</v>
      </c>
      <c r="Y542" t="s">
        <v>3542</v>
      </c>
    </row>
    <row r="543" spans="1:25" hidden="1" x14ac:dyDescent="0.3">
      <c r="A543">
        <v>16897</v>
      </c>
      <c r="B543" t="str">
        <f>_xlfn.CONCAT(bron[[#This Row],[personeelsnr]]," ",bron[[#This Row],[achternaam]]," ",bron[[#This Row],[voornaam]])</f>
        <v>16897 VandenDaele Andy</v>
      </c>
      <c r="C543" t="str">
        <f>VLOOKUP(bron[[#This Row],[personeelsnr]],'data hastus'!$A:$C,2,0)</f>
        <v>VandenDaele</v>
      </c>
      <c r="D543" t="str">
        <f>VLOOKUP(bron[[#This Row],[personeelsnr]],'data hastus'!$A:$C,3,0)</f>
        <v>Andy</v>
      </c>
      <c r="E543" t="str">
        <f>VLOOKUP(bron[[#This Row],[personeelsnr]],'data hastus'!A:K,11,FALSE)</f>
        <v>Steven Storm</v>
      </c>
      <c r="F543" s="10"/>
      <c r="G543" s="6"/>
      <c r="H543" s="6"/>
      <c r="I543" s="6">
        <v>1</v>
      </c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45722</v>
      </c>
      <c r="U543" s="8" t="s">
        <v>1095</v>
      </c>
      <c r="V543" s="8"/>
      <c r="W543" s="8">
        <v>1</v>
      </c>
      <c r="X543" t="s">
        <v>3581</v>
      </c>
      <c r="Y543" t="s">
        <v>72</v>
      </c>
    </row>
    <row r="544" spans="1:25" hidden="1" x14ac:dyDescent="0.3">
      <c r="A544">
        <v>17566</v>
      </c>
      <c r="B544" t="str">
        <f>_xlfn.CONCAT(bron[[#This Row],[personeelsnr]]," ",bron[[#This Row],[achternaam]]," ",bron[[#This Row],[voornaam]])</f>
        <v>17566 Praet Reginald</v>
      </c>
      <c r="C544" t="str">
        <f>VLOOKUP(bron[[#This Row],[personeelsnr]],'data hastus'!$A:$C,2,0)</f>
        <v>Praet</v>
      </c>
      <c r="D544" t="str">
        <f>VLOOKUP(bron[[#This Row],[personeelsnr]],'data hastus'!$A:$C,3,0)</f>
        <v>Reginald</v>
      </c>
      <c r="E544" t="str">
        <f>VLOOKUP(bron[[#This Row],[personeelsnr]],'data hastus'!A:K,11,FALSE)</f>
        <v>Bart Van Der Beken</v>
      </c>
      <c r="F544" s="10"/>
      <c r="G544" s="6"/>
      <c r="H544" s="6"/>
      <c r="I544" s="6"/>
      <c r="J544">
        <v>1</v>
      </c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45749</v>
      </c>
      <c r="U544" s="8" t="s">
        <v>1122</v>
      </c>
      <c r="V544" s="8"/>
      <c r="W544" s="8">
        <v>1</v>
      </c>
      <c r="X544" t="s">
        <v>3581</v>
      </c>
      <c r="Y544" t="s">
        <v>31</v>
      </c>
    </row>
    <row r="545" spans="1:25" hidden="1" x14ac:dyDescent="0.3">
      <c r="A545">
        <v>17951</v>
      </c>
      <c r="B545" t="str">
        <f>_xlfn.CONCAT(bron[[#This Row],[personeelsnr]]," ",bron[[#This Row],[achternaam]]," ",bron[[#This Row],[voornaam]])</f>
        <v>17951 Lega Claude</v>
      </c>
      <c r="C545" t="str">
        <f>VLOOKUP(bron[[#This Row],[personeelsnr]],'data hastus'!$A:$C,2,0)</f>
        <v>Lega</v>
      </c>
      <c r="D545" t="str">
        <f>VLOOKUP(bron[[#This Row],[personeelsnr]],'data hastus'!$A:$C,3,0)</f>
        <v>Claude</v>
      </c>
      <c r="E545" t="str">
        <f>VLOOKUP(bron[[#This Row],[personeelsnr]],'data hastus'!A:K,11,FALSE)</f>
        <v>Bart Van Der Beken</v>
      </c>
      <c r="F545" s="10"/>
      <c r="G545" s="6"/>
      <c r="H545" s="6">
        <v>1</v>
      </c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45694</v>
      </c>
      <c r="U545" s="8" t="s">
        <v>1048</v>
      </c>
      <c r="V545" s="8"/>
      <c r="W545" s="8">
        <v>1</v>
      </c>
      <c r="X545" t="s">
        <v>3581</v>
      </c>
      <c r="Y545" t="s">
        <v>121</v>
      </c>
    </row>
    <row r="546" spans="1:25" hidden="1" x14ac:dyDescent="0.3">
      <c r="A546">
        <v>18987</v>
      </c>
      <c r="B546" t="str">
        <f>_xlfn.CONCAT(bron[[#This Row],[personeelsnr]]," ",bron[[#This Row],[achternaam]]," ",bron[[#This Row],[voornaam]])</f>
        <v>18987 De Geyter Dolly</v>
      </c>
      <c r="C546" t="str">
        <f>VLOOKUP(bron[[#This Row],[personeelsnr]],'data hastus'!$A:$C,2,0)</f>
        <v>De Geyter</v>
      </c>
      <c r="D546" t="str">
        <f>VLOOKUP(bron[[#This Row],[personeelsnr]],'data hastus'!$A:$C,3,0)</f>
        <v>Dolly</v>
      </c>
      <c r="E546" t="str">
        <f>VLOOKUP(bron[[#This Row],[personeelsnr]],'data hastus'!A:K,11,FALSE)</f>
        <v>Steven Storm</v>
      </c>
      <c r="F546" s="10"/>
      <c r="G546" s="7"/>
      <c r="H546" s="7"/>
      <c r="I546" s="7"/>
      <c r="M546" s="5">
        <v>1</v>
      </c>
      <c r="S546" s="5">
        <f>SUM(bron[[#This Row],[Januari]:[December]])</f>
        <v>1</v>
      </c>
      <c r="T546" s="9">
        <v>45846</v>
      </c>
      <c r="U546" s="8" t="s">
        <v>1235</v>
      </c>
      <c r="V546" s="24"/>
      <c r="W546" s="24">
        <v>1</v>
      </c>
      <c r="X546" t="s">
        <v>3581</v>
      </c>
      <c r="Y546" t="s">
        <v>104</v>
      </c>
    </row>
    <row r="547" spans="1:25" hidden="1" x14ac:dyDescent="0.3">
      <c r="A547">
        <v>19249</v>
      </c>
      <c r="B547" t="str">
        <f>_xlfn.CONCAT(bron[[#This Row],[personeelsnr]]," ",bron[[#This Row],[achternaam]]," ",bron[[#This Row],[voornaam]])</f>
        <v>19249 Odaci Kadir</v>
      </c>
      <c r="C547" t="str">
        <f>VLOOKUP(bron[[#This Row],[personeelsnr]],'data hastus'!$A:$C,2,0)</f>
        <v>Odaci</v>
      </c>
      <c r="D547" t="str">
        <f>VLOOKUP(bron[[#This Row],[personeelsnr]],'data hastus'!$A:$C,3,0)</f>
        <v>Kadir</v>
      </c>
      <c r="E547" t="str">
        <f>VLOOKUP(bron[[#This Row],[personeelsnr]],'data hastus'!A:K,11,FALSE)</f>
        <v>Lucie Vande Velde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45686</v>
      </c>
      <c r="U547" s="8" t="s">
        <v>1034</v>
      </c>
      <c r="V547" s="8"/>
      <c r="W547" s="8">
        <v>1</v>
      </c>
      <c r="X547" t="s">
        <v>3581</v>
      </c>
      <c r="Y547" t="s">
        <v>75</v>
      </c>
    </row>
    <row r="548" spans="1:25" hidden="1" x14ac:dyDescent="0.3">
      <c r="A548">
        <v>18051</v>
      </c>
      <c r="B548" t="str">
        <f>_xlfn.CONCAT(bron[[#This Row],[personeelsnr]]," ",bron[[#This Row],[achternaam]]," ",bron[[#This Row],[voornaam]])</f>
        <v>18051 Van Wittenberge Filip</v>
      </c>
      <c r="C548" t="str">
        <f>VLOOKUP(bron[[#This Row],[personeelsnr]],'data hastus'!$A:$C,2,0)</f>
        <v>Van Wittenberge</v>
      </c>
      <c r="D548" t="str">
        <f>VLOOKUP(bron[[#This Row],[personeelsnr]],'data hastus'!$A:$C,3,0)</f>
        <v>Filip</v>
      </c>
      <c r="E548" t="str">
        <f>VLOOKUP(bron[[#This Row],[personeelsnr]],'data hastus'!A:K,11,FALSE)</f>
        <v>Christoff Rotty</v>
      </c>
      <c r="F548" s="10"/>
      <c r="G548" s="7"/>
      <c r="H548" s="7"/>
      <c r="I548" s="7"/>
      <c r="N548" s="5">
        <v>1</v>
      </c>
      <c r="S548" s="5">
        <f>SUM(bron[[#This Row],[Januari]:[December]])</f>
        <v>1</v>
      </c>
      <c r="T548" s="9">
        <v>45890</v>
      </c>
      <c r="U548" s="5" t="s">
        <v>1275</v>
      </c>
      <c r="V548" s="24">
        <v>1</v>
      </c>
      <c r="W548" s="24"/>
      <c r="X548" t="s">
        <v>3545</v>
      </c>
      <c r="Y548" t="s">
        <v>123</v>
      </c>
    </row>
    <row r="549" spans="1:25" hidden="1" x14ac:dyDescent="0.3">
      <c r="A549">
        <v>18051</v>
      </c>
      <c r="B549" t="str">
        <f>_xlfn.CONCAT(bron[[#This Row],[personeelsnr]]," ",bron[[#This Row],[achternaam]]," ",bron[[#This Row],[voornaam]])</f>
        <v>18051 Van Wittenberge Filip</v>
      </c>
      <c r="C549" t="str">
        <f>VLOOKUP(bron[[#This Row],[personeelsnr]],'data hastus'!$A:$C,2,0)</f>
        <v>Van Wittenberge</v>
      </c>
      <c r="D549" t="str">
        <f>VLOOKUP(bron[[#This Row],[personeelsnr]],'data hastus'!$A:$C,3,0)</f>
        <v>Filip</v>
      </c>
      <c r="E549" t="str">
        <f>VLOOKUP(bron[[#This Row],[personeelsnr]],'data hastus'!A:K,11,FALSE)</f>
        <v>Christoff Rotty</v>
      </c>
      <c r="F549" s="10">
        <v>45863</v>
      </c>
      <c r="G549" s="7"/>
      <c r="H549" s="7"/>
      <c r="I549" s="7"/>
      <c r="M549" s="5">
        <v>1</v>
      </c>
      <c r="S549" s="5">
        <f>SUM(bron[[#This Row],[Januari]:[December]])</f>
        <v>1</v>
      </c>
      <c r="U549" s="8" t="s">
        <v>1304</v>
      </c>
      <c r="V549" s="24"/>
      <c r="W549" s="24">
        <v>1</v>
      </c>
      <c r="X549" t="s">
        <v>8</v>
      </c>
      <c r="Y549" t="s">
        <v>668</v>
      </c>
    </row>
    <row r="550" spans="1:25" hidden="1" x14ac:dyDescent="0.3">
      <c r="A550">
        <v>21424</v>
      </c>
      <c r="B550" t="str">
        <f>_xlfn.CONCAT(bron[[#This Row],[personeelsnr]]," ",bron[[#This Row],[achternaam]]," ",bron[[#This Row],[voornaam]])</f>
        <v>21424 Verstichel Jethro</v>
      </c>
      <c r="C550" t="str">
        <f>VLOOKUP(bron[[#This Row],[personeelsnr]],'data hastus'!$A:$C,2,0)</f>
        <v>Verstichel</v>
      </c>
      <c r="D550" t="str">
        <f>VLOOKUP(bron[[#This Row],[personeelsnr]],'data hastus'!$A:$C,3,0)</f>
        <v>Jethro</v>
      </c>
      <c r="E550" t="str">
        <f>VLOOKUP(bron[[#This Row],[personeelsnr]],'data hastus'!A:K,11,FALSE)</f>
        <v>Els Dewulf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1033</v>
      </c>
      <c r="V550" s="8"/>
      <c r="W550" s="8">
        <v>1</v>
      </c>
      <c r="X550" t="s">
        <v>3582</v>
      </c>
      <c r="Y550" t="s">
        <v>31</v>
      </c>
    </row>
    <row r="551" spans="1:25" hidden="1" x14ac:dyDescent="0.3">
      <c r="A551">
        <v>21509</v>
      </c>
      <c r="B551" t="str">
        <f>_xlfn.CONCAT(bron[[#This Row],[personeelsnr]]," ",bron[[#This Row],[achternaam]]," ",bron[[#This Row],[voornaam]])</f>
        <v>21509 De Craemer Kris</v>
      </c>
      <c r="C551" t="str">
        <f>VLOOKUP(bron[[#This Row],[personeelsnr]],'data hastus'!$A:$C,2,0)</f>
        <v>De Craemer</v>
      </c>
      <c r="D551" t="str">
        <f>VLOOKUP(bron[[#This Row],[personeelsnr]],'data hastus'!$A:$C,3,0)</f>
        <v>Kris</v>
      </c>
      <c r="E551" t="str">
        <f>VLOOKUP(bron[[#This Row],[personeelsnr]],'data hastus'!A:K,11,FALSE)</f>
        <v>Dominique De Clercq</v>
      </c>
      <c r="F551" s="10"/>
      <c r="G551" s="7"/>
      <c r="H551" s="7"/>
      <c r="I551" s="7"/>
      <c r="M551" s="5">
        <v>1</v>
      </c>
      <c r="S551" s="5">
        <f>SUM(bron[[#This Row],[Januari]:[December]])</f>
        <v>1</v>
      </c>
      <c r="T551" s="9">
        <v>45839</v>
      </c>
      <c r="U551" s="8" t="s">
        <v>1221</v>
      </c>
      <c r="V551" s="24"/>
      <c r="W551" s="24">
        <v>1</v>
      </c>
      <c r="X551" t="s">
        <v>3581</v>
      </c>
      <c r="Y551" t="s">
        <v>69</v>
      </c>
    </row>
    <row r="552" spans="1:25" hidden="1" x14ac:dyDescent="0.3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>
        <v>45674</v>
      </c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/>
      <c r="U552" s="8" t="s">
        <v>1329</v>
      </c>
      <c r="V552" s="8"/>
      <c r="W552" s="8">
        <v>1</v>
      </c>
      <c r="X552" t="s">
        <v>8</v>
      </c>
      <c r="Y552" t="s">
        <v>580</v>
      </c>
    </row>
    <row r="553" spans="1:25" hidden="1" x14ac:dyDescent="0.3">
      <c r="A553">
        <v>19520</v>
      </c>
      <c r="B553" t="str">
        <f>_xlfn.CONCAT(bron[[#This Row],[personeelsnr]]," ",bron[[#This Row],[achternaam]]," ",bron[[#This Row],[voornaam]])</f>
        <v>19520 Van Steenbergen Kris</v>
      </c>
      <c r="C553" t="str">
        <f>VLOOKUP(bron[[#This Row],[personeelsnr]],'data hastus'!$A:$C,2,0)</f>
        <v>Van Steenbergen</v>
      </c>
      <c r="D553" t="str">
        <f>VLOOKUP(bron[[#This Row],[personeelsnr]],'data hastus'!$A:$C,3,0)</f>
        <v>Kris</v>
      </c>
      <c r="E553" t="str">
        <f>VLOOKUP(bron[[#This Row],[personeelsnr]],'data hastus'!A:K,11,FALSE)</f>
        <v>Els Dewulf</v>
      </c>
      <c r="F553" s="10"/>
      <c r="G553" s="6"/>
      <c r="H553" s="6"/>
      <c r="I553" s="6">
        <v>1</v>
      </c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45720</v>
      </c>
      <c r="U553" s="8" t="s">
        <v>1088</v>
      </c>
      <c r="V553" s="8">
        <v>1</v>
      </c>
      <c r="W553" s="8"/>
      <c r="X553" t="s">
        <v>3545</v>
      </c>
      <c r="Y553" t="s">
        <v>40</v>
      </c>
    </row>
    <row r="554" spans="1:25" hidden="1" x14ac:dyDescent="0.3">
      <c r="A554">
        <v>19917</v>
      </c>
      <c r="B554" t="str">
        <f>_xlfn.CONCAT(bron[[#This Row],[personeelsnr]]," ",bron[[#This Row],[achternaam]]," ",bron[[#This Row],[voornaam]])</f>
        <v>19917 Vandevyvere Frank</v>
      </c>
      <c r="C554" t="str">
        <f>VLOOKUP(bron[[#This Row],[personeelsnr]],'data hastus'!$A:$C,2,0)</f>
        <v>Vandevyvere</v>
      </c>
      <c r="D554" t="str">
        <f>VLOOKUP(bron[[#This Row],[personeelsnr]],'data hastus'!$A:$C,3,0)</f>
        <v>Frank</v>
      </c>
      <c r="E554" t="str">
        <f>VLOOKUP(bron[[#This Row],[personeelsnr]],'data hastus'!A:K,11,FALSE)</f>
        <v>Bart Van Der Beken</v>
      </c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45667</v>
      </c>
      <c r="U554" s="8" t="s">
        <v>1007</v>
      </c>
      <c r="V554" s="8">
        <v>1</v>
      </c>
      <c r="W554" s="8"/>
      <c r="X554" t="s">
        <v>3546</v>
      </c>
      <c r="Y554" t="s">
        <v>28</v>
      </c>
    </row>
    <row r="555" spans="1:25" hidden="1" x14ac:dyDescent="0.3">
      <c r="A555">
        <v>19917</v>
      </c>
      <c r="B555" t="str">
        <f>_xlfn.CONCAT(bron[[#This Row],[personeelsnr]]," ",bron[[#This Row],[achternaam]]," ",bron[[#This Row],[voornaam]])</f>
        <v>19917 Vandevyvere Frank</v>
      </c>
      <c r="C555" t="str">
        <f>VLOOKUP(bron[[#This Row],[personeelsnr]],'data hastus'!$A:$C,2,0)</f>
        <v>Vandevyvere</v>
      </c>
      <c r="D555" t="str">
        <f>VLOOKUP(bron[[#This Row],[personeelsnr]],'data hastus'!$A:$C,3,0)</f>
        <v>Frank</v>
      </c>
      <c r="E555" t="str">
        <f>VLOOKUP(bron[[#This Row],[personeelsnr]],'data hastus'!A:K,11,FALSE)</f>
        <v>Bart Van Der Beken</v>
      </c>
      <c r="F555" s="10"/>
      <c r="G555" s="7"/>
      <c r="H555" s="7"/>
      <c r="I555" s="7"/>
      <c r="L555" s="5">
        <v>1</v>
      </c>
      <c r="S555" s="5">
        <f>SUM(bron[[#This Row],[Januari]:[December]])</f>
        <v>1</v>
      </c>
      <c r="T555" s="9">
        <v>45831</v>
      </c>
      <c r="U555" s="8" t="s">
        <v>1213</v>
      </c>
      <c r="V555" s="24">
        <v>1</v>
      </c>
      <c r="W555" s="24"/>
      <c r="X555" t="s">
        <v>3545</v>
      </c>
      <c r="Y555" t="s">
        <v>48</v>
      </c>
    </row>
    <row r="556" spans="1:25" hidden="1" x14ac:dyDescent="0.3">
      <c r="A556">
        <v>19917</v>
      </c>
      <c r="B556" t="str">
        <f>_xlfn.CONCAT(bron[[#This Row],[personeelsnr]]," ",bron[[#This Row],[achternaam]]," ",bron[[#This Row],[voornaam]])</f>
        <v>19917 Vandevyvere Frank</v>
      </c>
      <c r="C556" t="str">
        <f>VLOOKUP(bron[[#This Row],[personeelsnr]],'data hastus'!$A:$C,2,0)</f>
        <v>Vandevyvere</v>
      </c>
      <c r="D556" t="str">
        <f>VLOOKUP(bron[[#This Row],[personeelsnr]],'data hastus'!$A:$C,3,0)</f>
        <v>Frank</v>
      </c>
      <c r="E556" t="str">
        <f>VLOOKUP(bron[[#This Row],[personeelsnr]],'data hastus'!A:K,11,FALSE)</f>
        <v>Bart Van Der Beken</v>
      </c>
      <c r="F556" s="10"/>
      <c r="G556" s="7"/>
      <c r="H556" s="7"/>
      <c r="I556" s="7"/>
      <c r="M556" s="5">
        <v>1</v>
      </c>
      <c r="S556" s="5">
        <f>SUM(bron[[#This Row],[Januari]:[December]])</f>
        <v>1</v>
      </c>
      <c r="T556" s="9">
        <v>45853</v>
      </c>
      <c r="U556" s="8" t="s">
        <v>1247</v>
      </c>
      <c r="V556" s="24">
        <v>1</v>
      </c>
      <c r="W556" s="24"/>
      <c r="X556" t="s">
        <v>3545</v>
      </c>
      <c r="Y556" t="s">
        <v>28</v>
      </c>
    </row>
    <row r="557" spans="1:25" hidden="1" x14ac:dyDescent="0.3">
      <c r="A557">
        <v>20653</v>
      </c>
      <c r="B557" t="str">
        <f>_xlfn.CONCAT(bron[[#This Row],[personeelsnr]]," ",bron[[#This Row],[achternaam]]," ",bron[[#This Row],[voornaam]])</f>
        <v>20653 Mestdag Marius</v>
      </c>
      <c r="C557" t="str">
        <f>VLOOKUP(bron[[#This Row],[personeelsnr]],'data hastus'!$A:$C,2,0)</f>
        <v>Mestdag</v>
      </c>
      <c r="D557" t="str">
        <f>VLOOKUP(bron[[#This Row],[personeelsnr]],'data hastus'!$A:$C,3,0)</f>
        <v>Marius</v>
      </c>
      <c r="E557" t="str">
        <f>VLOOKUP(bron[[#This Row],[personeelsnr]],'data hastus'!A:K,11,FALSE)</f>
        <v>Bart Van Der Beken</v>
      </c>
      <c r="F557" s="10">
        <v>45867</v>
      </c>
      <c r="G557" s="7"/>
      <c r="H557" s="7"/>
      <c r="I557" s="7"/>
      <c r="M557" s="5">
        <v>1</v>
      </c>
      <c r="S557" s="5">
        <f>SUM(bron[[#This Row],[Januari]:[December]])</f>
        <v>1</v>
      </c>
      <c r="U557" s="8" t="s">
        <v>1299</v>
      </c>
      <c r="V557" s="24"/>
      <c r="W557" s="24">
        <v>1</v>
      </c>
      <c r="X557" t="s">
        <v>8</v>
      </c>
      <c r="Y557" t="s">
        <v>133</v>
      </c>
    </row>
    <row r="558" spans="1:25" hidden="1" x14ac:dyDescent="0.3">
      <c r="A558">
        <v>20656</v>
      </c>
      <c r="B558" t="str">
        <f>_xlfn.CONCAT(bron[[#This Row],[personeelsnr]]," ",bron[[#This Row],[achternaam]]," ",bron[[#This Row],[voornaam]])</f>
        <v>20656 Vonck Bart</v>
      </c>
      <c r="C558" t="str">
        <f>VLOOKUP(bron[[#This Row],[personeelsnr]],'data hastus'!$A:$C,2,0)</f>
        <v>Vonck</v>
      </c>
      <c r="D558" t="str">
        <f>VLOOKUP(bron[[#This Row],[personeelsnr]],'data hastus'!$A:$C,3,0)</f>
        <v>Bart</v>
      </c>
      <c r="E558" t="str">
        <f>VLOOKUP(bron[[#This Row],[personeelsnr]],'data hastus'!A:K,11,FALSE)</f>
        <v>Els Vanhoe</v>
      </c>
      <c r="F558" s="10"/>
      <c r="G558" s="7"/>
      <c r="H558" s="7"/>
      <c r="I558" s="7"/>
      <c r="O558" s="5">
        <v>1</v>
      </c>
      <c r="S558" s="5">
        <f>SUM(bron[[#This Row],[Januari]:[December]])</f>
        <v>1</v>
      </c>
      <c r="T558" s="9">
        <v>45903</v>
      </c>
      <c r="U558" s="5" t="s">
        <v>3530</v>
      </c>
      <c r="V558" s="24">
        <v>1</v>
      </c>
      <c r="W558" s="24"/>
      <c r="X558" t="s">
        <v>3545</v>
      </c>
      <c r="Y558" t="s">
        <v>3531</v>
      </c>
    </row>
    <row r="559" spans="1:25" hidden="1" x14ac:dyDescent="0.3">
      <c r="A559">
        <v>21582</v>
      </c>
      <c r="B559" t="str">
        <f>_xlfn.CONCAT(bron[[#This Row],[personeelsnr]]," ",bron[[#This Row],[achternaam]]," ",bron[[#This Row],[voornaam]])</f>
        <v>21582 De Grom Patrick</v>
      </c>
      <c r="C559" t="str">
        <f>VLOOKUP(bron[[#This Row],[personeelsnr]],'data hastus'!$A:$C,2,0)</f>
        <v>De Grom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/>
      <c r="H559" s="6"/>
      <c r="I559" s="6"/>
      <c r="J559">
        <v>1</v>
      </c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45765</v>
      </c>
      <c r="U559" s="8" t="s">
        <v>1143</v>
      </c>
      <c r="V559" s="8"/>
      <c r="W559" s="8">
        <v>1</v>
      </c>
      <c r="X559" t="s">
        <v>3581</v>
      </c>
      <c r="Y559" t="s">
        <v>10</v>
      </c>
    </row>
    <row r="560" spans="1:25" hidden="1" x14ac:dyDescent="0.3">
      <c r="A560">
        <v>21424</v>
      </c>
      <c r="B560" t="str">
        <f>_xlfn.CONCAT(bron[[#This Row],[personeelsnr]]," ",bron[[#This Row],[achternaam]]," ",bron[[#This Row],[voornaam]])</f>
        <v>21424 Verstichel Jethro</v>
      </c>
      <c r="C560" t="str">
        <f>VLOOKUP(bron[[#This Row],[personeelsnr]],'data hastus'!$A:$C,2,0)</f>
        <v>Verstichel</v>
      </c>
      <c r="D560" t="str">
        <f>VLOOKUP(bron[[#This Row],[personeelsnr]],'data hastus'!$A:$C,3,0)</f>
        <v>Jethro</v>
      </c>
      <c r="E560" t="str">
        <f>VLOOKUP(bron[[#This Row],[personeelsnr]],'data hastus'!A:K,11,FALSE)</f>
        <v>Els Dewulf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1041</v>
      </c>
      <c r="V560" s="8">
        <v>1</v>
      </c>
      <c r="W560" s="8"/>
      <c r="X560" t="s">
        <v>3546</v>
      </c>
      <c r="Y560" t="s">
        <v>78</v>
      </c>
    </row>
    <row r="561" spans="1:25" hidden="1" x14ac:dyDescent="0.3">
      <c r="A561">
        <v>22240</v>
      </c>
      <c r="B561" t="str">
        <f>_xlfn.CONCAT(bron[[#This Row],[personeelsnr]]," ",bron[[#This Row],[achternaam]]," ",bron[[#This Row],[voornaam]])</f>
        <v>22240 Delahaye Karina</v>
      </c>
      <c r="C561" t="str">
        <f>VLOOKUP(bron[[#This Row],[personeelsnr]],'data hastus'!$A:$C,2,0)</f>
        <v>Delahaye</v>
      </c>
      <c r="D561" t="str">
        <f>VLOOKUP(bron[[#This Row],[personeelsnr]],'data hastus'!$A:$C,3,0)</f>
        <v>Karina</v>
      </c>
      <c r="E561" t="str">
        <f>VLOOKUP(bron[[#This Row],[personeelsnr]],'data hastus'!A:K,11,FALSE)</f>
        <v>Els Dewulf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45674</v>
      </c>
      <c r="U561" s="8" t="s">
        <v>1020</v>
      </c>
      <c r="V561" s="8"/>
      <c r="W561" s="8">
        <v>1</v>
      </c>
      <c r="X561" t="s">
        <v>3582</v>
      </c>
      <c r="Y561" t="s">
        <v>187</v>
      </c>
    </row>
    <row r="562" spans="1:25" hidden="1" x14ac:dyDescent="0.3">
      <c r="A562">
        <v>21509</v>
      </c>
      <c r="B562" t="str">
        <f>_xlfn.CONCAT(bron[[#This Row],[personeelsnr]]," ",bron[[#This Row],[achternaam]]," ",bron[[#This Row],[voornaam]])</f>
        <v>21509 De Craemer Kris</v>
      </c>
      <c r="C562" t="str">
        <f>VLOOKUP(bron[[#This Row],[personeelsnr]],'data hastus'!$A:$C,2,0)</f>
        <v>De Craemer</v>
      </c>
      <c r="D562" t="str">
        <f>VLOOKUP(bron[[#This Row],[personeelsnr]],'data hastus'!$A:$C,3,0)</f>
        <v>Kris</v>
      </c>
      <c r="E562" t="str">
        <f>VLOOKUP(bron[[#This Row],[personeelsnr]],'data hastus'!A:K,11,FALSE)</f>
        <v>Dominique De Clercq</v>
      </c>
      <c r="F562" s="10">
        <v>45684</v>
      </c>
      <c r="G562" s="6"/>
      <c r="H562" s="6"/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0</v>
      </c>
      <c r="T562" s="3"/>
      <c r="U562" s="8" t="s">
        <v>1306</v>
      </c>
      <c r="V562" s="8"/>
      <c r="W562" s="8">
        <v>1</v>
      </c>
      <c r="X562" t="s">
        <v>8</v>
      </c>
      <c r="Y562" t="s">
        <v>81</v>
      </c>
    </row>
    <row r="563" spans="1:25" hidden="1" x14ac:dyDescent="0.3">
      <c r="A563">
        <v>21581</v>
      </c>
      <c r="B563" t="str">
        <f>_xlfn.CONCAT(bron[[#This Row],[personeelsnr]]," ",bron[[#This Row],[achternaam]]," ",bron[[#This Row],[voornaam]])</f>
        <v>21581 Vanderstraeten Franky</v>
      </c>
      <c r="C563" t="str">
        <f>VLOOKUP(bron[[#This Row],[personeelsnr]],'data hastus'!$A:$C,2,0)</f>
        <v>Vanderstraeten</v>
      </c>
      <c r="D563" t="str">
        <f>VLOOKUP(bron[[#This Row],[personeelsnr]],'data hastus'!$A:$C,3,0)</f>
        <v>Franky</v>
      </c>
      <c r="E563" t="str">
        <f>VLOOKUP(bron[[#This Row],[personeelsnr]],'data hastus'!A:K,11,FALSE)</f>
        <v>Lucie Vande Velde</v>
      </c>
      <c r="F563" s="10">
        <v>45678</v>
      </c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/>
      <c r="U563" s="8" t="s">
        <v>1325</v>
      </c>
      <c r="V563" s="8">
        <v>1</v>
      </c>
      <c r="W563" s="8"/>
      <c r="X563" t="s">
        <v>7</v>
      </c>
      <c r="Y563" t="s">
        <v>1326</v>
      </c>
    </row>
    <row r="564" spans="1:25" hidden="1" x14ac:dyDescent="0.3">
      <c r="A564">
        <v>22416</v>
      </c>
      <c r="B564" t="str">
        <f>_xlfn.CONCAT(bron[[#This Row],[personeelsnr]]," ",bron[[#This Row],[achternaam]]," ",bron[[#This Row],[voornaam]])</f>
        <v>22416 Bicici Abdul Kadir</v>
      </c>
      <c r="C564" t="str">
        <f>VLOOKUP(bron[[#This Row],[personeelsnr]],'data hastus'!$A:$C,2,0)</f>
        <v>Bicici</v>
      </c>
      <c r="D564" t="str">
        <f>VLOOKUP(bron[[#This Row],[personeelsnr]],'data hastus'!$A:$C,3,0)</f>
        <v>Abdul Kadir</v>
      </c>
      <c r="E564" t="str">
        <f>VLOOKUP(bron[[#This Row],[personeelsnr]],'data hastus'!A:K,11,FALSE)</f>
        <v>Christoff Rotty</v>
      </c>
      <c r="F564" s="10"/>
      <c r="G564" s="7"/>
      <c r="H564" s="7"/>
      <c r="I564" s="7"/>
      <c r="M564" s="5">
        <v>1</v>
      </c>
      <c r="S564" s="5">
        <f>SUM(bron[[#This Row],[Januari]:[December]])</f>
        <v>1</v>
      </c>
      <c r="T564" s="9">
        <v>45843</v>
      </c>
      <c r="U564" s="8" t="s">
        <v>1228</v>
      </c>
      <c r="V564" s="24"/>
      <c r="W564" s="24">
        <v>1</v>
      </c>
      <c r="X564" t="s">
        <v>3582</v>
      </c>
      <c r="Y564" t="s">
        <v>231</v>
      </c>
    </row>
    <row r="565" spans="1:25" hidden="1" x14ac:dyDescent="0.3">
      <c r="A565">
        <v>22052</v>
      </c>
      <c r="B565" t="str">
        <f>_xlfn.CONCAT(bron[[#This Row],[personeelsnr]]," ",bron[[#This Row],[achternaam]]," ",bron[[#This Row],[voornaam]])</f>
        <v>22052 Meyvaert Peter</v>
      </c>
      <c r="C565" t="str">
        <f>VLOOKUP(bron[[#This Row],[personeelsnr]],'data hastus'!$A:$C,2,0)</f>
        <v>Meyvaert</v>
      </c>
      <c r="D565" t="str">
        <f>VLOOKUP(bron[[#This Row],[personeelsnr]],'data hastus'!$A:$C,3,0)</f>
        <v>Peter</v>
      </c>
      <c r="E565" t="str">
        <f>VLOOKUP(bron[[#This Row],[personeelsnr]],'data hastus'!A:K,11,FALSE)</f>
        <v>Els Dewulf</v>
      </c>
      <c r="F565" s="10">
        <v>45670</v>
      </c>
      <c r="G565" s="6">
        <v>1</v>
      </c>
      <c r="H565" s="6"/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/>
      <c r="U565" s="8" t="s">
        <v>1313</v>
      </c>
      <c r="V565" s="8">
        <v>1</v>
      </c>
      <c r="W565" s="8"/>
      <c r="X565" t="s">
        <v>7</v>
      </c>
      <c r="Y565" t="s">
        <v>113</v>
      </c>
    </row>
    <row r="566" spans="1:25" hidden="1" x14ac:dyDescent="0.3">
      <c r="A566">
        <v>22202</v>
      </c>
      <c r="B566" t="str">
        <f>_xlfn.CONCAT(bron[[#This Row],[personeelsnr]]," ",bron[[#This Row],[achternaam]]," ",bron[[#This Row],[voornaam]])</f>
        <v>22202 Pluym Pascal</v>
      </c>
      <c r="C566" t="str">
        <f>VLOOKUP(bron[[#This Row],[personeelsnr]],'data hastus'!$A:$C,2,0)</f>
        <v>Pluym</v>
      </c>
      <c r="D566" t="str">
        <f>VLOOKUP(bron[[#This Row],[personeelsnr]],'data hastus'!$A:$C,3,0)</f>
        <v>Pascal</v>
      </c>
      <c r="E566" t="str">
        <f>VLOOKUP(bron[[#This Row],[personeelsnr]],'data hastus'!A:K,11,FALSE)</f>
        <v>Steven Storm</v>
      </c>
      <c r="F566" s="10"/>
      <c r="G566" s="7"/>
      <c r="H566" s="7"/>
      <c r="I566" s="7"/>
      <c r="N566" s="5">
        <v>1</v>
      </c>
      <c r="S566" s="5">
        <f>SUM(bron[[#This Row],[Januari]:[December]])</f>
        <v>1</v>
      </c>
      <c r="T566" s="9">
        <v>45883</v>
      </c>
      <c r="U566" s="5" t="s">
        <v>1273</v>
      </c>
      <c r="V566" s="24">
        <v>1</v>
      </c>
      <c r="W566" s="24"/>
      <c r="X566" t="s">
        <v>3545</v>
      </c>
      <c r="Y566" t="s">
        <v>19</v>
      </c>
    </row>
    <row r="567" spans="1:25" hidden="1" x14ac:dyDescent="0.3">
      <c r="A567">
        <v>24155</v>
      </c>
      <c r="B567" t="str">
        <f>_xlfn.CONCAT(bron[[#This Row],[personeelsnr]]," ",bron[[#This Row],[achternaam]]," ",bron[[#This Row],[voornaam]])</f>
        <v>24155 Luttens Koen</v>
      </c>
      <c r="C567" t="str">
        <f>VLOOKUP(bron[[#This Row],[personeelsnr]],'data hastus'!$A:$C,2,0)</f>
        <v>Luttens</v>
      </c>
      <c r="D567" t="str">
        <f>VLOOKUP(bron[[#This Row],[personeelsnr]],'data hastus'!$A:$C,3,0)</f>
        <v>Koen</v>
      </c>
      <c r="E567" t="str">
        <f>VLOOKUP(bron[[#This Row],[personeelsnr]],'data hastus'!A:K,11,FALSE)</f>
        <v>Els Vanhoe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45776</v>
      </c>
      <c r="U567" s="8" t="s">
        <v>1158</v>
      </c>
      <c r="V567" s="8"/>
      <c r="W567" s="8">
        <v>1</v>
      </c>
      <c r="X567" t="s">
        <v>3582</v>
      </c>
      <c r="Y567" t="s">
        <v>223</v>
      </c>
    </row>
    <row r="568" spans="1:25" hidden="1" x14ac:dyDescent="0.3">
      <c r="A568">
        <v>22244</v>
      </c>
      <c r="B568" t="str">
        <f>_xlfn.CONCAT(bron[[#This Row],[personeelsnr]]," ",bron[[#This Row],[achternaam]]," ",bron[[#This Row],[voornaam]])</f>
        <v>22244 Kirdas Süleyman</v>
      </c>
      <c r="C568" t="str">
        <f>VLOOKUP(bron[[#This Row],[personeelsnr]],'data hastus'!$A:$C,2,0)</f>
        <v>Kirdas</v>
      </c>
      <c r="D568" t="str">
        <f>VLOOKUP(bron[[#This Row],[personeelsnr]],'data hastus'!$A:$C,3,0)</f>
        <v>Süleyman</v>
      </c>
      <c r="E568" t="str">
        <f>VLOOKUP(bron[[#This Row],[personeelsnr]],'data hastus'!A:K,11,FALSE)</f>
        <v>Christoff Rotty</v>
      </c>
      <c r="F568" s="10"/>
      <c r="G568" s="7"/>
      <c r="H568" s="7"/>
      <c r="I568" s="7"/>
      <c r="O568" s="5">
        <v>1</v>
      </c>
      <c r="S568" s="5">
        <f>SUM(bron[[#This Row],[Januari]:[December]])</f>
        <v>1</v>
      </c>
      <c r="T568" s="9">
        <v>45905</v>
      </c>
      <c r="U568" s="5" t="s">
        <v>3535</v>
      </c>
      <c r="V568" s="24">
        <v>1</v>
      </c>
      <c r="W568" s="24"/>
      <c r="X568" t="s">
        <v>3546</v>
      </c>
      <c r="Y568" t="s">
        <v>3536</v>
      </c>
    </row>
    <row r="569" spans="1:25" hidden="1" x14ac:dyDescent="0.3">
      <c r="A569">
        <v>24367</v>
      </c>
      <c r="B569" t="str">
        <f>_xlfn.CONCAT(bron[[#This Row],[personeelsnr]]," ",bron[[#This Row],[achternaam]]," ",bron[[#This Row],[voornaam]])</f>
        <v>24367 Tayefeh Arbab Ali</v>
      </c>
      <c r="C569" t="str">
        <f>VLOOKUP(bron[[#This Row],[personeelsnr]],'data hastus'!$A:$C,2,0)</f>
        <v>Tayefeh Arbab</v>
      </c>
      <c r="D569" t="str">
        <f>VLOOKUP(bron[[#This Row],[personeelsnr]],'data hastus'!$A:$C,3,0)</f>
        <v>Ali</v>
      </c>
      <c r="E569" t="str">
        <f>VLOOKUP(bron[[#This Row],[personeelsnr]],'data hastus'!A:K,11,FALSE)</f>
        <v>Bart Van Der Beken</v>
      </c>
      <c r="F569" s="10"/>
      <c r="G569" s="7"/>
      <c r="H569" s="7"/>
      <c r="I569" s="7"/>
      <c r="O569" s="5">
        <v>1</v>
      </c>
      <c r="S569" s="5">
        <f>SUM(bron[[#This Row],[Januari]:[December]])</f>
        <v>1</v>
      </c>
      <c r="T569" s="9">
        <v>45903</v>
      </c>
      <c r="U569" s="5" t="s">
        <v>3543</v>
      </c>
      <c r="V569" s="24"/>
      <c r="W569" s="24">
        <v>1</v>
      </c>
      <c r="X569" t="s">
        <v>3581</v>
      </c>
      <c r="Y569" t="s">
        <v>3544</v>
      </c>
    </row>
    <row r="570" spans="1:25" hidden="1" x14ac:dyDescent="0.3">
      <c r="A570">
        <v>22877</v>
      </c>
      <c r="B570" t="str">
        <f>_xlfn.CONCAT(bron[[#This Row],[personeelsnr]]," ",bron[[#This Row],[achternaam]]," ",bron[[#This Row],[voornaam]])</f>
        <v>22877 Goossens Gunther</v>
      </c>
      <c r="C570" t="str">
        <f>VLOOKUP(bron[[#This Row],[personeelsnr]],'data hastus'!$A:$C,2,0)</f>
        <v>Goossens</v>
      </c>
      <c r="D570" t="str">
        <f>VLOOKUP(bron[[#This Row],[personeelsnr]],'data hastus'!$A:$C,3,0)</f>
        <v>Gunther</v>
      </c>
      <c r="E570" t="str">
        <f>VLOOKUP(bron[[#This Row],[personeelsnr]],'data hastus'!A:K,11,FALSE)</f>
        <v>Els Dewulf</v>
      </c>
      <c r="F570" s="10"/>
      <c r="G570" s="7"/>
      <c r="H570" s="7"/>
      <c r="I570" s="7"/>
      <c r="M570" s="5">
        <v>1</v>
      </c>
      <c r="S570" s="5">
        <f>SUM(bron[[#This Row],[Januari]:[December]])</f>
        <v>1</v>
      </c>
      <c r="T570" s="9">
        <v>45847</v>
      </c>
      <c r="U570" s="8" t="s">
        <v>1236</v>
      </c>
      <c r="V570" s="24">
        <v>1</v>
      </c>
      <c r="W570" s="24"/>
      <c r="X570" t="s">
        <v>3545</v>
      </c>
      <c r="Y570" t="s">
        <v>125</v>
      </c>
    </row>
    <row r="571" spans="1:25" hidden="1" x14ac:dyDescent="0.3">
      <c r="A571">
        <v>23700</v>
      </c>
      <c r="B571" t="str">
        <f>_xlfn.CONCAT(bron[[#This Row],[personeelsnr]]," ",bron[[#This Row],[achternaam]]," ",bron[[#This Row],[voornaam]])</f>
        <v>23700 Byosière Christof</v>
      </c>
      <c r="C571" t="str">
        <f>VLOOKUP(bron[[#This Row],[personeelsnr]],'data hastus'!$A:$C,2,0)</f>
        <v>Byosière</v>
      </c>
      <c r="D571" t="str">
        <f>VLOOKUP(bron[[#This Row],[personeelsnr]],'data hastus'!$A:$C,3,0)</f>
        <v>Christof</v>
      </c>
      <c r="E571" t="str">
        <f>VLOOKUP(bron[[#This Row],[personeelsnr]],'data hastus'!A:K,11,FALSE)</f>
        <v>Dominique De Clercq</v>
      </c>
      <c r="F571" s="10">
        <v>45763</v>
      </c>
      <c r="G571" s="6"/>
      <c r="H571" s="6"/>
      <c r="I571" s="6"/>
      <c r="J571">
        <v>1</v>
      </c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/>
      <c r="U571" s="8" t="s">
        <v>1309</v>
      </c>
      <c r="V571" s="8">
        <v>1</v>
      </c>
      <c r="W571" s="8"/>
      <c r="X571" t="s">
        <v>7</v>
      </c>
      <c r="Y571" t="s">
        <v>5</v>
      </c>
    </row>
    <row r="572" spans="1:25" hidden="1" x14ac:dyDescent="0.3">
      <c r="A572">
        <v>23918</v>
      </c>
      <c r="B572" t="str">
        <f>_xlfn.CONCAT(bron[[#This Row],[personeelsnr]]," ",bron[[#This Row],[achternaam]]," ",bron[[#This Row],[voornaam]])</f>
        <v>23918 D'Haeyere Bernard</v>
      </c>
      <c r="C572" t="str">
        <f>VLOOKUP(bron[[#This Row],[personeelsnr]],'data hastus'!$A:$C,2,0)</f>
        <v>D'Haeyere</v>
      </c>
      <c r="D572" t="str">
        <f>VLOOKUP(bron[[#This Row],[personeelsnr]],'data hastus'!$A:$C,3,0)</f>
        <v>Bernard</v>
      </c>
      <c r="E572" t="str">
        <f>VLOOKUP(bron[[#This Row],[personeelsnr]],'data hastus'!A:K,11,FALSE)</f>
        <v>Els Vanhoe</v>
      </c>
      <c r="F572" s="10"/>
      <c r="G572" s="7"/>
      <c r="H572" s="7"/>
      <c r="I572" s="7"/>
      <c r="L572" s="5">
        <v>1</v>
      </c>
      <c r="S572" s="5">
        <f>SUM(bron[[#This Row],[Januari]:[December]])</f>
        <v>1</v>
      </c>
      <c r="T572" s="9">
        <v>45811</v>
      </c>
      <c r="U572" s="8" t="s">
        <v>1194</v>
      </c>
      <c r="V572" s="8">
        <v>1</v>
      </c>
      <c r="W572" s="8"/>
      <c r="X572" t="s">
        <v>3546</v>
      </c>
      <c r="Y572" t="s">
        <v>155</v>
      </c>
    </row>
    <row r="573" spans="1:25" hidden="1" x14ac:dyDescent="0.3">
      <c r="A573">
        <v>23918</v>
      </c>
      <c r="B573" t="str">
        <f>_xlfn.CONCAT(bron[[#This Row],[personeelsnr]]," ",bron[[#This Row],[achternaam]]," ",bron[[#This Row],[voornaam]])</f>
        <v>23918 D'Haeyere Bernard</v>
      </c>
      <c r="C573" t="str">
        <f>VLOOKUP(bron[[#This Row],[personeelsnr]],'data hastus'!$A:$C,2,0)</f>
        <v>D'Haeyere</v>
      </c>
      <c r="D573" t="str">
        <f>VLOOKUP(bron[[#This Row],[personeelsnr]],'data hastus'!$A:$C,3,0)</f>
        <v>Bernard</v>
      </c>
      <c r="E573" t="str">
        <f>VLOOKUP(bron[[#This Row],[personeelsnr]],'data hastus'!A:K,11,FALSE)</f>
        <v>Els Vanhoe</v>
      </c>
      <c r="F573" s="10"/>
      <c r="G573" s="7"/>
      <c r="H573" s="7"/>
      <c r="I573" s="7"/>
      <c r="M573" s="5">
        <v>1</v>
      </c>
      <c r="S573" s="5">
        <f>SUM(bron[[#This Row],[Januari]:[December]])</f>
        <v>1</v>
      </c>
      <c r="T573" s="9">
        <v>45862</v>
      </c>
      <c r="U573" s="8" t="s">
        <v>1257</v>
      </c>
      <c r="V573" s="24">
        <v>1</v>
      </c>
      <c r="W573" s="24"/>
      <c r="X573" t="s">
        <v>3546</v>
      </c>
      <c r="Y573" t="s">
        <v>16</v>
      </c>
    </row>
    <row r="574" spans="1:25" hidden="1" x14ac:dyDescent="0.3">
      <c r="A574">
        <v>25487</v>
      </c>
      <c r="B574" t="str">
        <f>_xlfn.CONCAT(bron[[#This Row],[personeelsnr]]," ",bron[[#This Row],[achternaam]]," ",bron[[#This Row],[voornaam]])</f>
        <v>25487 Devos Stefaan</v>
      </c>
      <c r="C574" t="str">
        <f>VLOOKUP(bron[[#This Row],[personeelsnr]],'data hastus'!$A:$C,2,0)</f>
        <v>Devos</v>
      </c>
      <c r="D574" t="str">
        <f>VLOOKUP(bron[[#This Row],[personeelsnr]],'data hastus'!$A:$C,3,0)</f>
        <v>Stefaan</v>
      </c>
      <c r="E574" t="str">
        <f>VLOOKUP(bron[[#This Row],[personeelsnr]],'data hastus'!A:K,11,FALSE)</f>
        <v>Steven Storm</v>
      </c>
      <c r="F574" s="10"/>
      <c r="G574" s="6"/>
      <c r="H574" s="6"/>
      <c r="I574" s="6">
        <v>1</v>
      </c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45725</v>
      </c>
      <c r="U574" s="8" t="s">
        <v>1098</v>
      </c>
      <c r="V574" s="8"/>
      <c r="W574" s="8">
        <v>1</v>
      </c>
      <c r="X574" t="s">
        <v>3581</v>
      </c>
      <c r="Y574" t="s">
        <v>137</v>
      </c>
    </row>
    <row r="575" spans="1:25" hidden="1" x14ac:dyDescent="0.3">
      <c r="A575">
        <v>25487</v>
      </c>
      <c r="B575" t="str">
        <f>_xlfn.CONCAT(bron[[#This Row],[personeelsnr]]," ",bron[[#This Row],[achternaam]]," ",bron[[#This Row],[voornaam]])</f>
        <v>25487 Devos Stefaan</v>
      </c>
      <c r="C575" t="str">
        <f>VLOOKUP(bron[[#This Row],[personeelsnr]],'data hastus'!$A:$C,2,0)</f>
        <v>Devos</v>
      </c>
      <c r="D575" t="str">
        <f>VLOOKUP(bron[[#This Row],[personeelsnr]],'data hastus'!$A:$C,3,0)</f>
        <v>Stefaan</v>
      </c>
      <c r="E575" t="str">
        <f>VLOOKUP(bron[[#This Row],[personeelsnr]],'data hastus'!A:K,11,FALSE)</f>
        <v>Steven Storm</v>
      </c>
      <c r="F575" s="10"/>
      <c r="G575" s="7"/>
      <c r="H575" s="7"/>
      <c r="I575" s="7"/>
      <c r="N575" s="5">
        <v>1</v>
      </c>
      <c r="S575" s="5">
        <f>SUM(bron[[#This Row],[Januari]:[December]])</f>
        <v>1</v>
      </c>
      <c r="T575" s="9">
        <v>45887</v>
      </c>
      <c r="U575" s="5" t="s">
        <v>1276</v>
      </c>
      <c r="V575" s="24"/>
      <c r="W575" s="24">
        <v>1</v>
      </c>
      <c r="X575" t="s">
        <v>3581</v>
      </c>
      <c r="Y575" t="s">
        <v>235</v>
      </c>
    </row>
    <row r="576" spans="1:25" hidden="1" x14ac:dyDescent="0.3">
      <c r="A576">
        <v>25487</v>
      </c>
      <c r="B576" t="str">
        <f>_xlfn.CONCAT(bron[[#This Row],[personeelsnr]]," ",bron[[#This Row],[achternaam]]," ",bron[[#This Row],[voornaam]])</f>
        <v>25487 Devos Stefaan</v>
      </c>
      <c r="C576" t="str">
        <f>VLOOKUP(bron[[#This Row],[personeelsnr]],'data hastus'!$A:$C,2,0)</f>
        <v>Devos</v>
      </c>
      <c r="D576" t="str">
        <f>VLOOKUP(bron[[#This Row],[personeelsnr]],'data hastus'!$A:$C,3,0)</f>
        <v>Stefaan</v>
      </c>
      <c r="E576" t="str">
        <f>VLOOKUP(bron[[#This Row],[personeelsnr]],'data hastus'!A:K,11,FALSE)</f>
        <v>Steven Storm</v>
      </c>
      <c r="F576" s="10"/>
      <c r="G576" s="6">
        <v>1</v>
      </c>
      <c r="H576" s="6"/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45671</v>
      </c>
      <c r="U576" s="8" t="s">
        <v>1014</v>
      </c>
      <c r="V576" s="8">
        <v>1</v>
      </c>
      <c r="W576" s="8"/>
      <c r="X576" t="s">
        <v>3546</v>
      </c>
      <c r="Y576" t="s">
        <v>92</v>
      </c>
    </row>
    <row r="577" spans="1:25" hidden="1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/>
      <c r="I577" s="6"/>
      <c r="J577">
        <v>1</v>
      </c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45756</v>
      </c>
      <c r="U577" s="8" t="s">
        <v>1132</v>
      </c>
      <c r="V577" s="8"/>
      <c r="W577" s="8">
        <v>1</v>
      </c>
      <c r="X577" t="s">
        <v>3581</v>
      </c>
      <c r="Y577" t="s">
        <v>5</v>
      </c>
    </row>
    <row r="578" spans="1:25" hidden="1" x14ac:dyDescent="0.3">
      <c r="A578">
        <v>25733</v>
      </c>
      <c r="B578" t="str">
        <f>_xlfn.CONCAT(bron[[#This Row],[personeelsnr]]," ",bron[[#This Row],[achternaam]]," ",bron[[#This Row],[voornaam]])</f>
        <v>25733 Simsek Abdullah</v>
      </c>
      <c r="C578" t="str">
        <f>VLOOKUP(bron[[#This Row],[personeelsnr]],'data hastus'!$A:$C,2,0)</f>
        <v>Simsek</v>
      </c>
      <c r="D578" t="str">
        <f>VLOOKUP(bron[[#This Row],[personeelsnr]],'data hastus'!$A:$C,3,0)</f>
        <v>Abdullah</v>
      </c>
      <c r="E578" t="str">
        <f>VLOOKUP(bron[[#This Row],[personeelsnr]],'data hastus'!A:K,11,FALSE)</f>
        <v>Els Vanhoe</v>
      </c>
      <c r="F578" s="10"/>
      <c r="G578" s="6"/>
      <c r="H578" s="6"/>
      <c r="I578" s="6"/>
      <c r="J578">
        <v>1</v>
      </c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45759</v>
      </c>
      <c r="U578" s="8" t="s">
        <v>1136</v>
      </c>
      <c r="V578" s="8"/>
      <c r="W578" s="8">
        <v>1</v>
      </c>
      <c r="X578" t="s">
        <v>3581</v>
      </c>
      <c r="Y578" t="s">
        <v>133</v>
      </c>
    </row>
    <row r="579" spans="1:25" hidden="1" x14ac:dyDescent="0.3">
      <c r="A579">
        <v>25679</v>
      </c>
      <c r="B579" t="str">
        <f>_xlfn.CONCAT(bron[[#This Row],[personeelsnr]]," ",bron[[#This Row],[achternaam]]," ",bron[[#This Row],[voornaam]])</f>
        <v>25679 Vanrenterghem Serge</v>
      </c>
      <c r="C579" t="str">
        <f>VLOOKUP(bron[[#This Row],[personeelsnr]],'data hastus'!$A:$C,2,0)</f>
        <v>Vanrenterghem</v>
      </c>
      <c r="D579" t="str">
        <f>VLOOKUP(bron[[#This Row],[personeelsnr]],'data hastus'!$A:$C,3,0)</f>
        <v>Serge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45699</v>
      </c>
      <c r="U579" s="8" t="s">
        <v>1053</v>
      </c>
      <c r="V579" s="8">
        <v>1</v>
      </c>
      <c r="W579" s="8"/>
      <c r="X579" t="s">
        <v>3546</v>
      </c>
      <c r="Y579" t="s">
        <v>10</v>
      </c>
    </row>
    <row r="580" spans="1:25" hidden="1" x14ac:dyDescent="0.3">
      <c r="A580">
        <v>26137</v>
      </c>
      <c r="B580" t="str">
        <f>_xlfn.CONCAT(bron[[#This Row],[personeelsnr]]," ",bron[[#This Row],[achternaam]]," ",bron[[#This Row],[voornaam]])</f>
        <v>26137 Hublau Roland</v>
      </c>
      <c r="C580" t="str">
        <f>VLOOKUP(bron[[#This Row],[personeelsnr]],'data hastus'!$A:$C,2,0)</f>
        <v>Hublau</v>
      </c>
      <c r="D580" t="str">
        <f>VLOOKUP(bron[[#This Row],[personeelsnr]],'data hastus'!$A:$C,3,0)</f>
        <v>Roland</v>
      </c>
      <c r="E580" t="str">
        <f>VLOOKUP(bron[[#This Row],[personeelsnr]],'data hastus'!A:K,11,FALSE)</f>
        <v>Steven Storm</v>
      </c>
      <c r="F580" s="10"/>
      <c r="G580" s="7"/>
      <c r="H580" s="7"/>
      <c r="I580" s="7">
        <v>1</v>
      </c>
      <c r="S580" s="5">
        <f>SUM(bron[[#This Row],[Januari]:[December]])</f>
        <v>1</v>
      </c>
      <c r="T580" s="9">
        <v>45719</v>
      </c>
      <c r="U580" s="8" t="s">
        <v>1087</v>
      </c>
      <c r="V580" s="8"/>
      <c r="W580" s="8">
        <v>1</v>
      </c>
      <c r="X580" t="s">
        <v>3582</v>
      </c>
      <c r="Y580" t="s">
        <v>10</v>
      </c>
    </row>
    <row r="581" spans="1:25" hidden="1" x14ac:dyDescent="0.3">
      <c r="A581">
        <v>26199</v>
      </c>
      <c r="B581" t="str">
        <f>_xlfn.CONCAT(bron[[#This Row],[personeelsnr]]," ",bron[[#This Row],[achternaam]]," ",bron[[#This Row],[voornaam]])</f>
        <v>26199 Wauters Franky</v>
      </c>
      <c r="C581" t="str">
        <f>VLOOKUP(bron[[#This Row],[personeelsnr]],'data hastus'!$A:$C,2,0)</f>
        <v>Wauters</v>
      </c>
      <c r="D581" t="str">
        <f>VLOOKUP(bron[[#This Row],[personeelsnr]],'data hastus'!$A:$C,3,0)</f>
        <v>Franky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45703</v>
      </c>
      <c r="U581" s="8" t="s">
        <v>1062</v>
      </c>
      <c r="V581" s="8"/>
      <c r="W581" s="8">
        <v>1</v>
      </c>
      <c r="X581" t="s">
        <v>3582</v>
      </c>
      <c r="Y581" t="s">
        <v>163</v>
      </c>
    </row>
    <row r="582" spans="1:25" hidden="1" x14ac:dyDescent="0.3">
      <c r="A582">
        <v>25829</v>
      </c>
      <c r="B582" t="str">
        <f>_xlfn.CONCAT(bron[[#This Row],[personeelsnr]]," ",bron[[#This Row],[achternaam]]," ",bron[[#This Row],[voornaam]])</f>
        <v>25829 Kayim Akin</v>
      </c>
      <c r="C582" t="str">
        <f>VLOOKUP(bron[[#This Row],[personeelsnr]],'data hastus'!$A:$C,2,0)</f>
        <v>Kayim</v>
      </c>
      <c r="D582" t="str">
        <f>VLOOKUP(bron[[#This Row],[personeelsnr]],'data hastus'!$A:$C,3,0)</f>
        <v>Akin</v>
      </c>
      <c r="E582" t="str">
        <f>VLOOKUP(bron[[#This Row],[personeelsnr]],'data hastus'!A:K,11,FALSE)</f>
        <v>Steven Storm</v>
      </c>
      <c r="F582" s="10">
        <v>45891</v>
      </c>
      <c r="G582" s="7"/>
      <c r="H582" s="7"/>
      <c r="I582" s="7"/>
      <c r="N582" s="5">
        <v>1</v>
      </c>
      <c r="S582" s="5">
        <f>SUM(bron[[#This Row],[Januari]:[December]])</f>
        <v>1</v>
      </c>
      <c r="U582" s="5" t="s">
        <v>1339</v>
      </c>
      <c r="V582" s="24"/>
      <c r="W582" s="24">
        <v>1</v>
      </c>
      <c r="X582" t="s">
        <v>8</v>
      </c>
      <c r="Y582" t="s">
        <v>967</v>
      </c>
    </row>
    <row r="583" spans="1:25" hidden="1" x14ac:dyDescent="0.3">
      <c r="A583">
        <v>26847</v>
      </c>
      <c r="B583" t="str">
        <f>_xlfn.CONCAT(bron[[#This Row],[personeelsnr]]," ",bron[[#This Row],[achternaam]]," ",bron[[#This Row],[voornaam]])</f>
        <v>26847 De Meester David</v>
      </c>
      <c r="C583" t="str">
        <f>VLOOKUP(bron[[#This Row],[personeelsnr]],'data hastus'!$A:$C,2,0)</f>
        <v>De Meester</v>
      </c>
      <c r="D583" t="str">
        <f>VLOOKUP(bron[[#This Row],[personeelsnr]],'data hastus'!$A:$C,3,0)</f>
        <v>David</v>
      </c>
      <c r="E583" t="str">
        <f>VLOOKUP(bron[[#This Row],[personeelsnr]],'data hastus'!A:K,11,FALSE)</f>
        <v>Bart Van Der Beken</v>
      </c>
      <c r="F583" s="10"/>
      <c r="G583" s="7"/>
      <c r="H583" s="7"/>
      <c r="I583" s="7"/>
      <c r="L583" s="5">
        <v>1</v>
      </c>
      <c r="S583" s="5">
        <f>SUM(bron[[#This Row],[Januari]:[December]])</f>
        <v>1</v>
      </c>
      <c r="T583" s="9">
        <v>45828</v>
      </c>
      <c r="U583" s="8" t="s">
        <v>1207</v>
      </c>
      <c r="V583" s="24"/>
      <c r="W583" s="24">
        <v>1</v>
      </c>
      <c r="X583" t="s">
        <v>3581</v>
      </c>
      <c r="Y583" t="s">
        <v>10</v>
      </c>
    </row>
    <row r="584" spans="1:25" hidden="1" x14ac:dyDescent="0.3">
      <c r="A584">
        <v>27672</v>
      </c>
      <c r="B584" t="str">
        <f>_xlfn.CONCAT(bron[[#This Row],[personeelsnr]]," ",bron[[#This Row],[achternaam]]," ",bron[[#This Row],[voornaam]])</f>
        <v>27672 Criel Veronique</v>
      </c>
      <c r="C584" t="str">
        <f>VLOOKUP(bron[[#This Row],[personeelsnr]],'data hastus'!$A:$C,2,0)</f>
        <v>Criel</v>
      </c>
      <c r="D584" t="str">
        <f>VLOOKUP(bron[[#This Row],[personeelsnr]],'data hastus'!$A:$C,3,0)</f>
        <v>Veronique</v>
      </c>
      <c r="E584" t="str">
        <f>VLOOKUP(bron[[#This Row],[personeelsnr]],'data hastus'!A:K,11,FALSE)</f>
        <v>Steven Storm</v>
      </c>
      <c r="F584" s="10"/>
      <c r="G584" s="6"/>
      <c r="H584" s="6"/>
      <c r="I584" s="6"/>
      <c r="J584"/>
      <c r="K584">
        <v>1</v>
      </c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45787</v>
      </c>
      <c r="U584" s="8" t="s">
        <v>1170</v>
      </c>
      <c r="V584" s="8"/>
      <c r="W584" s="8">
        <v>1</v>
      </c>
      <c r="X584" t="s">
        <v>3581</v>
      </c>
      <c r="Y584" t="s">
        <v>72</v>
      </c>
    </row>
    <row r="585" spans="1:25" hidden="1" x14ac:dyDescent="0.3">
      <c r="A585">
        <v>26331</v>
      </c>
      <c r="B585" t="str">
        <f>_xlfn.CONCAT(bron[[#This Row],[personeelsnr]]," ",bron[[#This Row],[achternaam]]," ",bron[[#This Row],[voornaam]])</f>
        <v>26331 Van Semmertier Pascal</v>
      </c>
      <c r="C585" t="str">
        <f>VLOOKUP(bron[[#This Row],[personeelsnr]],'data hastus'!$A:$C,2,0)</f>
        <v>Van Semmertier</v>
      </c>
      <c r="D585" t="str">
        <f>VLOOKUP(bron[[#This Row],[personeelsnr]],'data hastus'!$A:$C,3,0)</f>
        <v>Pascal</v>
      </c>
      <c r="E585" t="str">
        <f>VLOOKUP(bron[[#This Row],[personeelsnr]],'data hastus'!A:K,11,FALSE)</f>
        <v>Bart Van Der Beken</v>
      </c>
      <c r="F585" s="10"/>
      <c r="G585" s="7"/>
      <c r="H585" s="7"/>
      <c r="I585" s="7"/>
      <c r="M585" s="5">
        <v>1</v>
      </c>
      <c r="S585" s="5">
        <f>SUM(bron[[#This Row],[Januari]:[December]])</f>
        <v>1</v>
      </c>
      <c r="T585" s="9">
        <v>45857</v>
      </c>
      <c r="U585" s="8" t="s">
        <v>1250</v>
      </c>
      <c r="V585" s="24">
        <v>1</v>
      </c>
      <c r="W585" s="24"/>
      <c r="X585" t="s">
        <v>3547</v>
      </c>
      <c r="Y585" t="s">
        <v>251</v>
      </c>
    </row>
    <row r="586" spans="1:25" hidden="1" x14ac:dyDescent="0.3">
      <c r="A586">
        <v>26695</v>
      </c>
      <c r="B586" t="str">
        <f>_xlfn.CONCAT(bron[[#This Row],[personeelsnr]]," ",bron[[#This Row],[achternaam]]," ",bron[[#This Row],[voornaam]])</f>
        <v>26695 Lippens Miguel</v>
      </c>
      <c r="C586" t="str">
        <f>VLOOKUP(bron[[#This Row],[personeelsnr]],'data hastus'!$A:$C,2,0)</f>
        <v>Lippens</v>
      </c>
      <c r="D586" t="str">
        <f>VLOOKUP(bron[[#This Row],[personeelsnr]],'data hastus'!$A:$C,3,0)</f>
        <v>Miguel</v>
      </c>
      <c r="E586" t="str">
        <f>VLOOKUP(bron[[#This Row],[personeelsnr]],'data hastus'!A:K,11,FALSE)</f>
        <v>Christoff Rotty</v>
      </c>
      <c r="F586" s="10">
        <v>45821</v>
      </c>
      <c r="G586" s="7"/>
      <c r="H586" s="7"/>
      <c r="I586" s="7"/>
      <c r="L586" s="5">
        <v>1</v>
      </c>
      <c r="S586" s="5">
        <f>SUM(bron[[#This Row],[Januari]:[December]])</f>
        <v>1</v>
      </c>
      <c r="T586" s="9">
        <v>45821</v>
      </c>
      <c r="U586" s="8" t="s">
        <v>1205</v>
      </c>
      <c r="V586" s="24">
        <v>1</v>
      </c>
      <c r="W586" s="24"/>
      <c r="X586" t="s">
        <v>7</v>
      </c>
      <c r="Y586" t="s">
        <v>94</v>
      </c>
    </row>
    <row r="587" spans="1:25" hidden="1" x14ac:dyDescent="0.3">
      <c r="A587">
        <v>28737</v>
      </c>
      <c r="B587" t="str">
        <f>_xlfn.CONCAT(bron[[#This Row],[personeelsnr]]," ",bron[[#This Row],[achternaam]]," ",bron[[#This Row],[voornaam]])</f>
        <v>28737 El-Mohamed Mohamed</v>
      </c>
      <c r="C587" t="str">
        <f>VLOOKUP(bron[[#This Row],[personeelsnr]],'data hastus'!$A:$C,2,0)</f>
        <v>El-Mohamed</v>
      </c>
      <c r="D587" t="str">
        <f>VLOOKUP(bron[[#This Row],[personeelsnr]],'data hastus'!$A:$C,3,0)</f>
        <v>Mohamed</v>
      </c>
      <c r="E587" t="str">
        <f>VLOOKUP(bron[[#This Row],[personeelsnr]],'data hastus'!A:K,11,FALSE)</f>
        <v>Lucie Vande Velde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45698</v>
      </c>
      <c r="U587" s="8" t="s">
        <v>1052</v>
      </c>
      <c r="V587" s="8"/>
      <c r="W587" s="8">
        <v>1</v>
      </c>
      <c r="X587" t="s">
        <v>3582</v>
      </c>
      <c r="Y587" t="s">
        <v>221</v>
      </c>
    </row>
    <row r="588" spans="1:25" hidden="1" x14ac:dyDescent="0.3">
      <c r="A588">
        <v>26960</v>
      </c>
      <c r="B588" t="str">
        <f>_xlfn.CONCAT(bron[[#This Row],[personeelsnr]]," ",bron[[#This Row],[achternaam]]," ",bron[[#This Row],[voornaam]])</f>
        <v>26960 Toubadie Mossa</v>
      </c>
      <c r="C588" t="str">
        <f>VLOOKUP(bron[[#This Row],[personeelsnr]],'data hastus'!$A:$C,2,0)</f>
        <v>Toubadie</v>
      </c>
      <c r="D588" t="str">
        <f>VLOOKUP(bron[[#This Row],[personeelsnr]],'data hastus'!$A:$C,3,0)</f>
        <v>Mossa</v>
      </c>
      <c r="E588" t="str">
        <f>VLOOKUP(bron[[#This Row],[personeelsnr]],'data hastus'!A:K,11,FALSE)</f>
        <v>Els Vanhoe</v>
      </c>
      <c r="F588" s="10"/>
      <c r="G588" s="6"/>
      <c r="H588" s="6"/>
      <c r="I588" s="6">
        <v>1</v>
      </c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45722</v>
      </c>
      <c r="U588" s="8" t="s">
        <v>1093</v>
      </c>
      <c r="V588" s="8">
        <v>1</v>
      </c>
      <c r="W588" s="8"/>
      <c r="X588" t="s">
        <v>3546</v>
      </c>
      <c r="Y588" t="s">
        <v>63</v>
      </c>
    </row>
    <row r="589" spans="1:25" hidden="1" x14ac:dyDescent="0.3">
      <c r="A589">
        <v>26960</v>
      </c>
      <c r="B589" t="str">
        <f>_xlfn.CONCAT(bron[[#This Row],[personeelsnr]]," ",bron[[#This Row],[achternaam]]," ",bron[[#This Row],[voornaam]])</f>
        <v>26960 Toubadie Mossa</v>
      </c>
      <c r="C589" t="str">
        <f>VLOOKUP(bron[[#This Row],[personeelsnr]],'data hastus'!$A:$C,2,0)</f>
        <v>Toubadie</v>
      </c>
      <c r="D589" t="str">
        <f>VLOOKUP(bron[[#This Row],[personeelsnr]],'data hastus'!$A:$C,3,0)</f>
        <v>Mossa</v>
      </c>
      <c r="E589" t="str">
        <f>VLOOKUP(bron[[#This Row],[personeelsnr]],'data hastus'!A:K,11,FALSE)</f>
        <v>Els Vanhoe</v>
      </c>
      <c r="F589" s="10">
        <v>45798</v>
      </c>
      <c r="G589" s="7"/>
      <c r="H589" s="7"/>
      <c r="I589" s="7"/>
      <c r="K589" s="5">
        <v>1</v>
      </c>
      <c r="S589" s="5">
        <f>SUM(bron[[#This Row],[Januari]:[December]])</f>
        <v>1</v>
      </c>
      <c r="T589" s="23"/>
      <c r="U589" s="8" t="s">
        <v>1317</v>
      </c>
      <c r="V589" s="8">
        <v>1</v>
      </c>
      <c r="W589" s="8"/>
      <c r="X589" t="s">
        <v>7</v>
      </c>
      <c r="Y589" t="s">
        <v>131</v>
      </c>
    </row>
    <row r="590" spans="1:25" hidden="1" x14ac:dyDescent="0.3">
      <c r="A590">
        <v>27153</v>
      </c>
      <c r="B590" t="str">
        <f>_xlfn.CONCAT(bron[[#This Row],[personeelsnr]]," ",bron[[#This Row],[achternaam]]," ",bron[[#This Row],[voornaam]])</f>
        <v>27153 Oben Thibaud</v>
      </c>
      <c r="C590" t="str">
        <f>VLOOKUP(bron[[#This Row],[personeelsnr]],'data hastus'!$A:$C,2,0)</f>
        <v>Oben</v>
      </c>
      <c r="D590" t="str">
        <f>VLOOKUP(bron[[#This Row],[personeelsnr]],'data hastus'!$A:$C,3,0)</f>
        <v>Thibaud</v>
      </c>
      <c r="E590" t="str">
        <f>VLOOKUP(bron[[#This Row],[personeelsnr]],'data hastus'!A:K,11,FALSE)</f>
        <v>Christoff Rotty</v>
      </c>
      <c r="F590" s="10"/>
      <c r="G590" s="7"/>
      <c r="H590" s="7"/>
      <c r="I590" s="7"/>
      <c r="O590" s="5">
        <v>1</v>
      </c>
      <c r="S590" s="5">
        <f>SUM(bron[[#This Row],[Januari]:[December]])</f>
        <v>1</v>
      </c>
      <c r="T590" s="9">
        <v>45902</v>
      </c>
      <c r="U590" s="5" t="s">
        <v>3533</v>
      </c>
      <c r="V590" s="24">
        <v>1</v>
      </c>
      <c r="W590" s="24"/>
      <c r="X590" t="s">
        <v>3547</v>
      </c>
      <c r="Y590" t="s">
        <v>100</v>
      </c>
    </row>
    <row r="591" spans="1:25" hidden="1" x14ac:dyDescent="0.3">
      <c r="A591">
        <v>29674</v>
      </c>
      <c r="B591" t="str">
        <f>_xlfn.CONCAT(bron[[#This Row],[personeelsnr]]," ",bron[[#This Row],[achternaam]]," ",bron[[#This Row],[voornaam]])</f>
        <v>29674 Martens Geoffrey</v>
      </c>
      <c r="C591" t="str">
        <f>VLOOKUP(bron[[#This Row],[personeelsnr]],'data hastus'!$A:$C,2,0)</f>
        <v>Martens</v>
      </c>
      <c r="D591" t="str">
        <f>VLOOKUP(bron[[#This Row],[personeelsnr]],'data hastus'!$A:$C,3,0)</f>
        <v>Geoffrey</v>
      </c>
      <c r="E591" t="str">
        <f>VLOOKUP(bron[[#This Row],[personeelsnr]],'data hastus'!A:K,11,FALSE)</f>
        <v>Dominique De Clercq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1092</v>
      </c>
      <c r="V591" s="8"/>
      <c r="W591" s="8">
        <v>1</v>
      </c>
      <c r="X591" t="s">
        <v>3581</v>
      </c>
      <c r="Y591" t="s">
        <v>5</v>
      </c>
    </row>
    <row r="592" spans="1:25" hidden="1" x14ac:dyDescent="0.3">
      <c r="A592">
        <v>30967</v>
      </c>
      <c r="B592" t="str">
        <f>_xlfn.CONCAT(bron[[#This Row],[personeelsnr]]," ",bron[[#This Row],[achternaam]]," ",bron[[#This Row],[voornaam]])</f>
        <v>30967 Taser Fatih</v>
      </c>
      <c r="C592" t="str">
        <f>VLOOKUP(bron[[#This Row],[personeelsnr]],'data hastus'!$A:$C,2,0)</f>
        <v>Taser</v>
      </c>
      <c r="D592" t="str">
        <f>VLOOKUP(bron[[#This Row],[personeelsnr]],'data hastus'!$A:$C,3,0)</f>
        <v>Fatih</v>
      </c>
      <c r="E592" t="str">
        <f>VLOOKUP(bron[[#This Row],[personeelsnr]],'data hastus'!A:K,11,FALSE)</f>
        <v>Dominique De Clercq</v>
      </c>
      <c r="F592" s="10"/>
      <c r="G592" s="6">
        <v>1</v>
      </c>
      <c r="H592" s="6"/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45672</v>
      </c>
      <c r="U592" s="8" t="s">
        <v>1017</v>
      </c>
      <c r="V592" s="8"/>
      <c r="W592" s="8">
        <v>1</v>
      </c>
      <c r="X592" t="s">
        <v>3581</v>
      </c>
      <c r="Y592" t="s">
        <v>63</v>
      </c>
    </row>
    <row r="593" spans="1:25" hidden="1" x14ac:dyDescent="0.3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7"/>
      <c r="H593" s="7"/>
      <c r="I593" s="7"/>
      <c r="M593" s="5">
        <v>1</v>
      </c>
      <c r="S593" s="5">
        <f>SUM(bron[[#This Row],[Januari]:[December]])</f>
        <v>1</v>
      </c>
      <c r="T593" s="9">
        <v>45842</v>
      </c>
      <c r="U593" s="8" t="s">
        <v>1227</v>
      </c>
      <c r="V593" s="24">
        <v>1</v>
      </c>
      <c r="W593" s="24"/>
      <c r="X593" t="s">
        <v>3545</v>
      </c>
      <c r="Y593" t="s">
        <v>537</v>
      </c>
    </row>
    <row r="594" spans="1:25" hidden="1" x14ac:dyDescent="0.3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>
        <v>45715</v>
      </c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/>
      <c r="U594" s="8" t="s">
        <v>1328</v>
      </c>
      <c r="V594" s="8"/>
      <c r="W594" s="8">
        <v>1</v>
      </c>
      <c r="X594" t="s">
        <v>8</v>
      </c>
      <c r="Y594" t="s">
        <v>668</v>
      </c>
    </row>
    <row r="595" spans="1:25" hidden="1" x14ac:dyDescent="0.3">
      <c r="A595">
        <v>28910</v>
      </c>
      <c r="B595" t="str">
        <f>_xlfn.CONCAT(bron[[#This Row],[personeelsnr]]," ",bron[[#This Row],[achternaam]]," ",bron[[#This Row],[voornaam]])</f>
        <v>28910 Gassa Osmane</v>
      </c>
      <c r="C595" t="str">
        <f>VLOOKUP(bron[[#This Row],[personeelsnr]],'data hastus'!$A:$C,2,0)</f>
        <v>Gassa</v>
      </c>
      <c r="D595" t="str">
        <f>VLOOKUP(bron[[#This Row],[personeelsnr]],'data hastus'!$A:$C,3,0)</f>
        <v>Osmane</v>
      </c>
      <c r="E595" t="str">
        <f>VLOOKUP(bron[[#This Row],[personeelsnr]],'data hastus'!A:K,11,FALSE)</f>
        <v>Bart Van Der Beken</v>
      </c>
      <c r="F595" s="10"/>
      <c r="G595" s="6"/>
      <c r="H595" s="6"/>
      <c r="I595" s="6">
        <v>1</v>
      </c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45725</v>
      </c>
      <c r="U595" s="8" t="s">
        <v>1096</v>
      </c>
      <c r="V595" s="8">
        <v>1</v>
      </c>
      <c r="W595" s="8"/>
      <c r="X595" t="s">
        <v>3545</v>
      </c>
      <c r="Y595" t="s">
        <v>151</v>
      </c>
    </row>
    <row r="596" spans="1:25" hidden="1" x14ac:dyDescent="0.3">
      <c r="A596">
        <v>29646</v>
      </c>
      <c r="B596" t="str">
        <f>_xlfn.CONCAT(bron[[#This Row],[personeelsnr]]," ",bron[[#This Row],[achternaam]]," ",bron[[#This Row],[voornaam]])</f>
        <v>29646 Özer Mesut</v>
      </c>
      <c r="C596" t="str">
        <f>VLOOKUP(bron[[#This Row],[personeelsnr]],'data hastus'!$A:$C,2,0)</f>
        <v>Özer</v>
      </c>
      <c r="D596" t="str">
        <f>VLOOKUP(bron[[#This Row],[personeelsnr]],'data hastus'!$A:$C,3,0)</f>
        <v>Mesut</v>
      </c>
      <c r="E596" t="str">
        <f>VLOOKUP(bron[[#This Row],[personeelsnr]],'data hastus'!A:K,11,FALSE)</f>
        <v>Dominique De Clercq</v>
      </c>
      <c r="F596" s="10">
        <v>45836</v>
      </c>
      <c r="G596" s="7"/>
      <c r="H596" s="7"/>
      <c r="I596" s="7"/>
      <c r="L596" s="5">
        <v>1</v>
      </c>
      <c r="S596" s="5">
        <f>SUM(bron[[#This Row],[Januari]:[December]])</f>
        <v>1</v>
      </c>
      <c r="U596" s="8" t="s">
        <v>1307</v>
      </c>
      <c r="V596" s="24">
        <v>1</v>
      </c>
      <c r="W596" s="24"/>
      <c r="X596" t="s">
        <v>7</v>
      </c>
      <c r="Y596" t="s">
        <v>1308</v>
      </c>
    </row>
    <row r="597" spans="1:25" hidden="1" x14ac:dyDescent="0.3">
      <c r="A597">
        <v>31231</v>
      </c>
      <c r="B597" t="str">
        <f>_xlfn.CONCAT(bron[[#This Row],[personeelsnr]]," ",bron[[#This Row],[achternaam]]," ",bron[[#This Row],[voornaam]])</f>
        <v>31231 Colaes Dylan</v>
      </c>
      <c r="C597" t="str">
        <f>VLOOKUP(bron[[#This Row],[personeelsnr]],'data hastus'!$A:$C,2,0)</f>
        <v>Colaes</v>
      </c>
      <c r="D597" t="str">
        <f>VLOOKUP(bron[[#This Row],[personeelsnr]],'data hastus'!$A:$C,3,0)</f>
        <v>Dylan</v>
      </c>
      <c r="E597" t="str">
        <f>VLOOKUP(bron[[#This Row],[personeelsnr]],'data hastus'!A:K,11,FALSE)</f>
        <v>Els Vanhoe</v>
      </c>
      <c r="F597" s="10"/>
      <c r="G597" s="6">
        <v>1</v>
      </c>
      <c r="H597" s="6"/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45660</v>
      </c>
      <c r="U597" s="8" t="s">
        <v>998</v>
      </c>
      <c r="V597" s="8"/>
      <c r="W597" s="8">
        <v>1</v>
      </c>
      <c r="X597" t="s">
        <v>3581</v>
      </c>
      <c r="Y597" t="s">
        <v>169</v>
      </c>
    </row>
    <row r="598" spans="1:25" hidden="1" x14ac:dyDescent="0.3">
      <c r="A598">
        <v>29746</v>
      </c>
      <c r="B598" t="str">
        <f>_xlfn.CONCAT(bron[[#This Row],[personeelsnr]]," ",bron[[#This Row],[achternaam]]," ",bron[[#This Row],[voornaam]])</f>
        <v>29746 Huyse Annicke</v>
      </c>
      <c r="C598" t="str">
        <f>VLOOKUP(bron[[#This Row],[personeelsnr]],'data hastus'!$A:$C,2,0)</f>
        <v>Huyse</v>
      </c>
      <c r="D598" t="str">
        <f>VLOOKUP(bron[[#This Row],[personeelsnr]],'data hastus'!$A:$C,3,0)</f>
        <v>Annicke</v>
      </c>
      <c r="E598" t="str">
        <f>VLOOKUP(bron[[#This Row],[personeelsnr]],'data hastus'!A:K,11,FALSE)</f>
        <v>Bart Van Der Beken</v>
      </c>
      <c r="F598" s="10"/>
      <c r="G598" s="7"/>
      <c r="H598" s="7"/>
      <c r="I598" s="7"/>
      <c r="K598" s="5">
        <v>1</v>
      </c>
      <c r="S598" s="5">
        <f>SUM(bron[[#This Row],[Januari]:[December]])</f>
        <v>1</v>
      </c>
      <c r="T598" s="9">
        <v>45791</v>
      </c>
      <c r="U598" s="8" t="s">
        <v>1173</v>
      </c>
      <c r="V598" s="8">
        <v>1</v>
      </c>
      <c r="W598" s="8"/>
      <c r="X598" t="s">
        <v>3545</v>
      </c>
      <c r="Y598" t="s">
        <v>13</v>
      </c>
    </row>
    <row r="599" spans="1:25" hidden="1" x14ac:dyDescent="0.3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>
        <v>45831</v>
      </c>
      <c r="G599" s="7"/>
      <c r="H599" s="7"/>
      <c r="I599" s="7"/>
      <c r="L599" s="5">
        <v>1</v>
      </c>
      <c r="S599" s="5">
        <f>SUM(bron[[#This Row],[Januari]:[December]])</f>
        <v>1</v>
      </c>
      <c r="U599" s="8" t="s">
        <v>1296</v>
      </c>
      <c r="V599" s="24"/>
      <c r="W599" s="24">
        <v>1</v>
      </c>
      <c r="X599" t="s">
        <v>8</v>
      </c>
      <c r="Y599" t="s">
        <v>739</v>
      </c>
    </row>
    <row r="600" spans="1:25" hidden="1" x14ac:dyDescent="0.3">
      <c r="A600">
        <v>30119</v>
      </c>
      <c r="B600" t="str">
        <f>_xlfn.CONCAT(bron[[#This Row],[personeelsnr]]," ",bron[[#This Row],[achternaam]]," ",bron[[#This Row],[voornaam]])</f>
        <v>30119 Haerens Tom</v>
      </c>
      <c r="C600" t="str">
        <f>VLOOKUP(bron[[#This Row],[personeelsnr]],'data hastus'!$A:$C,2,0)</f>
        <v>Haerens</v>
      </c>
      <c r="D600" t="str">
        <f>VLOOKUP(bron[[#This Row],[personeelsnr]],'data hastus'!$A:$C,3,0)</f>
        <v>Tom</v>
      </c>
      <c r="E600" t="str">
        <f>VLOOKUP(bron[[#This Row],[personeelsnr]],'data hastus'!A:K,11,FALSE)</f>
        <v>Dominique De Clercq</v>
      </c>
      <c r="F600" s="10">
        <v>45813</v>
      </c>
      <c r="G600" s="7"/>
      <c r="H600" s="7"/>
      <c r="I600" s="7"/>
      <c r="L600" s="5">
        <v>1</v>
      </c>
      <c r="S600" s="5">
        <f>SUM(bron[[#This Row],[Januari]:[December]])</f>
        <v>1</v>
      </c>
      <c r="U600" s="8" t="s">
        <v>1310</v>
      </c>
      <c r="V600" s="24"/>
      <c r="W600" s="24">
        <v>1</v>
      </c>
      <c r="X600" t="s">
        <v>8</v>
      </c>
      <c r="Y600" t="s">
        <v>31</v>
      </c>
    </row>
    <row r="601" spans="1:25" hidden="1" x14ac:dyDescent="0.3">
      <c r="A601">
        <v>30121</v>
      </c>
      <c r="B601" t="str">
        <f>_xlfn.CONCAT(bron[[#This Row],[personeelsnr]]," ",bron[[#This Row],[achternaam]]," ",bron[[#This Row],[voornaam]])</f>
        <v>30121 Simons Andreas</v>
      </c>
      <c r="C601" t="str">
        <f>VLOOKUP(bron[[#This Row],[personeelsnr]],'data hastus'!$A:$C,2,0)</f>
        <v>Simons</v>
      </c>
      <c r="D601" t="str">
        <f>VLOOKUP(bron[[#This Row],[personeelsnr]],'data hastus'!$A:$C,3,0)</f>
        <v>Andreas</v>
      </c>
      <c r="E601" t="str">
        <f>VLOOKUP(bron[[#This Row],[personeelsnr]],'data hastus'!A:K,11,FALSE)</f>
        <v>Christoff Rotty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45712</v>
      </c>
      <c r="U601" s="8" t="s">
        <v>1079</v>
      </c>
      <c r="V601" s="8">
        <v>1</v>
      </c>
      <c r="W601" s="8"/>
      <c r="X601" t="s">
        <v>3545</v>
      </c>
      <c r="Y601" t="s">
        <v>189</v>
      </c>
    </row>
    <row r="602" spans="1:25" hidden="1" x14ac:dyDescent="0.3">
      <c r="A602">
        <v>30271</v>
      </c>
      <c r="B602" t="str">
        <f>_xlfn.CONCAT(bron[[#This Row],[personeelsnr]]," ",bron[[#This Row],[achternaam]]," ",bron[[#This Row],[voornaam]])</f>
        <v>30271 Bracke Jeroen</v>
      </c>
      <c r="C602" t="str">
        <f>VLOOKUP(bron[[#This Row],[personeelsnr]],'data hastus'!$A:$C,2,0)</f>
        <v>Bracke</v>
      </c>
      <c r="D602" t="str">
        <f>VLOOKUP(bron[[#This Row],[personeelsnr]],'data hastus'!$A:$C,3,0)</f>
        <v>Jeroen</v>
      </c>
      <c r="E602" t="str">
        <f>VLOOKUP(bron[[#This Row],[personeelsnr]],'data hastus'!A:K,11,FALSE)</f>
        <v>Els Dewulf</v>
      </c>
      <c r="F602" s="10"/>
      <c r="G602" s="7"/>
      <c r="H602" s="7"/>
      <c r="I602" s="7"/>
      <c r="M602" s="5">
        <v>1</v>
      </c>
      <c r="S602" s="5">
        <f>SUM(bron[[#This Row],[Januari]:[December]])</f>
        <v>1</v>
      </c>
      <c r="T602" s="9">
        <v>45854</v>
      </c>
      <c r="U602" s="8" t="s">
        <v>1249</v>
      </c>
      <c r="V602" s="24">
        <v>1</v>
      </c>
      <c r="W602" s="24"/>
      <c r="X602" t="s">
        <v>3545</v>
      </c>
      <c r="Y602" t="s">
        <v>10</v>
      </c>
    </row>
    <row r="603" spans="1:25" hidden="1" x14ac:dyDescent="0.3">
      <c r="A603">
        <v>31360</v>
      </c>
      <c r="B603" t="str">
        <f>_xlfn.CONCAT(bron[[#This Row],[personeelsnr]]," ",bron[[#This Row],[achternaam]]," ",bron[[#This Row],[voornaam]])</f>
        <v>31360 Simsek Fatih</v>
      </c>
      <c r="C603" t="str">
        <f>VLOOKUP(bron[[#This Row],[personeelsnr]],'data hastus'!$A:$C,2,0)</f>
        <v>Simsek</v>
      </c>
      <c r="D603" t="str">
        <f>VLOOKUP(bron[[#This Row],[personeelsnr]],'data hastus'!$A:$C,3,0)</f>
        <v>Fatih</v>
      </c>
      <c r="E603" t="str">
        <f>VLOOKUP(bron[[#This Row],[personeelsnr]],'data hastus'!A:K,11,FALSE)</f>
        <v>Dominique De Clercq</v>
      </c>
      <c r="F603" s="10"/>
      <c r="G603" s="6">
        <v>1</v>
      </c>
      <c r="H603" s="6"/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45680</v>
      </c>
      <c r="U603" s="8" t="s">
        <v>1027</v>
      </c>
      <c r="V603" s="8"/>
      <c r="W603" s="8">
        <v>1</v>
      </c>
      <c r="X603" t="s">
        <v>3581</v>
      </c>
      <c r="Y603" t="s">
        <v>75</v>
      </c>
    </row>
    <row r="604" spans="1:25" hidden="1" x14ac:dyDescent="0.3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1161</v>
      </c>
      <c r="V604" s="8">
        <v>1</v>
      </c>
      <c r="W604" s="8"/>
      <c r="X604" t="s">
        <v>3545</v>
      </c>
      <c r="Y604" t="s">
        <v>19</v>
      </c>
    </row>
    <row r="605" spans="1:25" hidden="1" x14ac:dyDescent="0.3">
      <c r="A605">
        <v>31118</v>
      </c>
      <c r="B605" t="str">
        <f>_xlfn.CONCAT(bron[[#This Row],[personeelsnr]]," ",bron[[#This Row],[achternaam]]," ",bron[[#This Row],[voornaam]])</f>
        <v>31118 De Sutter Michiel</v>
      </c>
      <c r="C605" t="str">
        <f>VLOOKUP(bron[[#This Row],[personeelsnr]],'data hastus'!$A:$C,2,0)</f>
        <v>De Sutter</v>
      </c>
      <c r="D605" t="str">
        <f>VLOOKUP(bron[[#This Row],[personeelsnr]],'data hastus'!$A:$C,3,0)</f>
        <v>Michiel</v>
      </c>
      <c r="E605" t="str">
        <f>VLOOKUP(bron[[#This Row],[personeelsnr]],'data hastus'!A:K,11,FALSE)</f>
        <v>Els Dewulf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45743</v>
      </c>
      <c r="U605" s="8" t="s">
        <v>1117</v>
      </c>
      <c r="V605" s="8">
        <v>1</v>
      </c>
      <c r="W605" s="8"/>
      <c r="X605" t="s">
        <v>3546</v>
      </c>
      <c r="Y605" t="s">
        <v>514</v>
      </c>
    </row>
    <row r="606" spans="1:25" hidden="1" x14ac:dyDescent="0.3">
      <c r="A606">
        <v>31150</v>
      </c>
      <c r="B606" t="str">
        <f>_xlfn.CONCAT(bron[[#This Row],[personeelsnr]]," ",bron[[#This Row],[achternaam]]," ",bron[[#This Row],[voornaam]])</f>
        <v>31150 Oueslati Mohamed Ali</v>
      </c>
      <c r="C606" t="str">
        <f>VLOOKUP(bron[[#This Row],[personeelsnr]],'data hastus'!$A:$C,2,0)</f>
        <v>Oueslati</v>
      </c>
      <c r="D606" t="str">
        <f>VLOOKUP(bron[[#This Row],[personeelsnr]],'data hastus'!$A:$C,3,0)</f>
        <v>Mohamed Ali</v>
      </c>
      <c r="E606" t="str">
        <f>VLOOKUP(bron[[#This Row],[personeelsnr]],'data hastus'!A:K,11,FALSE)</f>
        <v>Kenneth De Rick</v>
      </c>
      <c r="F606" s="10"/>
      <c r="G606" s="7"/>
      <c r="H606" s="7"/>
      <c r="I606" s="7"/>
      <c r="L606" s="5">
        <v>1</v>
      </c>
      <c r="S606" s="5">
        <f>SUM(bron[[#This Row],[Januari]:[December]])</f>
        <v>1</v>
      </c>
      <c r="T606" s="9">
        <v>45820</v>
      </c>
      <c r="U606" s="8" t="s">
        <v>1204</v>
      </c>
      <c r="V606" s="24">
        <v>1</v>
      </c>
      <c r="W606" s="24"/>
      <c r="X606" t="s">
        <v>3545</v>
      </c>
      <c r="Y606" t="s">
        <v>19</v>
      </c>
    </row>
    <row r="607" spans="1:25" hidden="1" x14ac:dyDescent="0.3">
      <c r="A607">
        <v>31165</v>
      </c>
      <c r="B607" t="str">
        <f>_xlfn.CONCAT(bron[[#This Row],[personeelsnr]]," ",bron[[#This Row],[achternaam]]," ",bron[[#This Row],[voornaam]])</f>
        <v>31165 Govaerts Sandro</v>
      </c>
      <c r="C607" t="str">
        <f>VLOOKUP(bron[[#This Row],[personeelsnr]],'data hastus'!$A:$C,2,0)</f>
        <v>Govaerts</v>
      </c>
      <c r="D607" t="str">
        <f>VLOOKUP(bron[[#This Row],[personeelsnr]],'data hastus'!$A:$C,3,0)</f>
        <v>Sandro</v>
      </c>
      <c r="E607" t="str">
        <f>VLOOKUP(bron[[#This Row],[personeelsnr]],'data hastus'!A:K,11,FALSE)</f>
        <v>Lucie Vande Velde</v>
      </c>
      <c r="F607" s="10"/>
      <c r="G607" s="6"/>
      <c r="H607" s="6"/>
      <c r="I607" s="6"/>
      <c r="J607"/>
      <c r="K607">
        <v>1</v>
      </c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45787</v>
      </c>
      <c r="U607" s="8" t="s">
        <v>1169</v>
      </c>
      <c r="V607" s="8">
        <v>1</v>
      </c>
      <c r="W607" s="8"/>
      <c r="X607" t="s">
        <v>3545</v>
      </c>
      <c r="Y607" t="s">
        <v>135</v>
      </c>
    </row>
    <row r="608" spans="1:25" hidden="1" x14ac:dyDescent="0.3">
      <c r="A608">
        <v>32002</v>
      </c>
      <c r="B608" t="str">
        <f>_xlfn.CONCAT(bron[[#This Row],[personeelsnr]]," ",bron[[#This Row],[achternaam]]," ",bron[[#This Row],[voornaam]])</f>
        <v>32002 Hasni Helmi</v>
      </c>
      <c r="C608" t="str">
        <f>VLOOKUP(bron[[#This Row],[personeelsnr]],'data hastus'!$A:$C,2,0)</f>
        <v>Hasni</v>
      </c>
      <c r="D608" t="str">
        <f>VLOOKUP(bron[[#This Row],[personeelsnr]],'data hastus'!$A:$C,3,0)</f>
        <v>Helmi</v>
      </c>
      <c r="E608" t="str">
        <f>VLOOKUP(bron[[#This Row],[personeelsnr]],'data hastus'!A:K,11,FALSE)</f>
        <v>Steven Storm</v>
      </c>
      <c r="F608" s="10"/>
      <c r="G608" s="7"/>
      <c r="H608" s="7"/>
      <c r="I608" s="7"/>
      <c r="M608" s="5">
        <v>1</v>
      </c>
      <c r="S608" s="5">
        <f>SUM(bron[[#This Row],[Januari]:[December]])</f>
        <v>1</v>
      </c>
      <c r="T608" s="9">
        <v>45848</v>
      </c>
      <c r="U608" s="8" t="s">
        <v>1241</v>
      </c>
      <c r="V608" s="24"/>
      <c r="W608" s="24">
        <v>1</v>
      </c>
      <c r="X608" t="s">
        <v>3582</v>
      </c>
      <c r="Y608" t="s">
        <v>181</v>
      </c>
    </row>
    <row r="609" spans="1:25" hidden="1" x14ac:dyDescent="0.3">
      <c r="A609">
        <v>32620</v>
      </c>
      <c r="B609" t="str">
        <f>_xlfn.CONCAT(bron[[#This Row],[personeelsnr]]," ",bron[[#This Row],[achternaam]]," ",bron[[#This Row],[voornaam]])</f>
        <v>32620 Saey Elias</v>
      </c>
      <c r="C609" t="str">
        <f>VLOOKUP(bron[[#This Row],[personeelsnr]],'data hastus'!$A:$C,2,0)</f>
        <v>Saey</v>
      </c>
      <c r="D609" t="str">
        <f>VLOOKUP(bron[[#This Row],[personeelsnr]],'data hastus'!$A:$C,3,0)</f>
        <v>Elias</v>
      </c>
      <c r="E609" t="str">
        <f>VLOOKUP(bron[[#This Row],[personeelsnr]],'data hastus'!A:K,11,FALSE)</f>
        <v>Els Vanhoe</v>
      </c>
      <c r="F609" s="10"/>
      <c r="G609" s="6"/>
      <c r="H609" s="6"/>
      <c r="I609" s="6"/>
      <c r="J609">
        <v>1</v>
      </c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45749</v>
      </c>
      <c r="U609" s="8" t="s">
        <v>1123</v>
      </c>
      <c r="V609" s="8"/>
      <c r="W609" s="8">
        <v>1</v>
      </c>
      <c r="X609" t="s">
        <v>3581</v>
      </c>
      <c r="Y609" t="s">
        <v>46</v>
      </c>
    </row>
    <row r="610" spans="1:25" hidden="1" x14ac:dyDescent="0.3">
      <c r="A610">
        <v>31490</v>
      </c>
      <c r="B610" t="str">
        <f>_xlfn.CONCAT(bron[[#This Row],[personeelsnr]]," ",bron[[#This Row],[achternaam]]," ",bron[[#This Row],[voornaam]])</f>
        <v>31490 De Weirdt Steph</v>
      </c>
      <c r="C610" t="s">
        <v>1000</v>
      </c>
      <c r="D610" t="s">
        <v>1001</v>
      </c>
      <c r="E610" t="s">
        <v>76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45660</v>
      </c>
      <c r="U610" s="8" t="s">
        <v>1002</v>
      </c>
      <c r="V610" s="8">
        <v>1</v>
      </c>
      <c r="W610" s="8"/>
      <c r="X610" t="s">
        <v>3546</v>
      </c>
      <c r="Y610" t="s">
        <v>16</v>
      </c>
    </row>
    <row r="611" spans="1:25" hidden="1" x14ac:dyDescent="0.3">
      <c r="A611">
        <v>31600</v>
      </c>
      <c r="B611" t="str">
        <f>_xlfn.CONCAT(bron[[#This Row],[personeelsnr]]," ",bron[[#This Row],[achternaam]]," ",bron[[#This Row],[voornaam]])</f>
        <v>31600 Mertens Tom</v>
      </c>
      <c r="C611" t="str">
        <f>VLOOKUP(bron[[#This Row],[personeelsnr]],'data hastus'!$A:$C,2,0)</f>
        <v>Mertens</v>
      </c>
      <c r="D611" t="str">
        <f>VLOOKUP(bron[[#This Row],[personeelsnr]],'data hastus'!$A:$C,3,0)</f>
        <v>Tom</v>
      </c>
      <c r="E611" t="str">
        <f>VLOOKUP(bron[[#This Row],[personeelsnr]],'data hastus'!A:K,11,FALSE)</f>
        <v>Els Dewulf</v>
      </c>
      <c r="F611" s="10">
        <v>45737</v>
      </c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/>
      <c r="U611" s="8" t="s">
        <v>1314</v>
      </c>
      <c r="V611" s="8">
        <v>1</v>
      </c>
      <c r="W611" s="8"/>
      <c r="X611" t="s">
        <v>7</v>
      </c>
      <c r="Y611" t="s">
        <v>1315</v>
      </c>
    </row>
    <row r="612" spans="1:25" hidden="1" x14ac:dyDescent="0.3">
      <c r="A612">
        <v>31668</v>
      </c>
      <c r="B612" t="str">
        <f>_xlfn.CONCAT(bron[[#This Row],[personeelsnr]]," ",bron[[#This Row],[achternaam]]," ",bron[[#This Row],[voornaam]])</f>
        <v>31668 Weemhof Maurice</v>
      </c>
      <c r="C612" t="str">
        <f>VLOOKUP(bron[[#This Row],[personeelsnr]],'data hastus'!$A:$C,2,0)</f>
        <v>Weemhof</v>
      </c>
      <c r="D612" t="str">
        <f>VLOOKUP(bron[[#This Row],[personeelsnr]],'data hastus'!$A:$C,3,0)</f>
        <v>Maurice</v>
      </c>
      <c r="E612" t="str">
        <f>VLOOKUP(bron[[#This Row],[personeelsnr]],'data hastus'!A:K,11,FALSE)</f>
        <v>Dominique De Clercq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45745</v>
      </c>
      <c r="U612" s="8" t="s">
        <v>1121</v>
      </c>
      <c r="V612" s="8">
        <v>1</v>
      </c>
      <c r="W612" s="8"/>
      <c r="X612" t="s">
        <v>3546</v>
      </c>
      <c r="Y612" t="s">
        <v>10</v>
      </c>
    </row>
    <row r="613" spans="1:25" hidden="1" x14ac:dyDescent="0.3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1238</v>
      </c>
      <c r="V613" s="24">
        <v>1</v>
      </c>
      <c r="W613" s="24"/>
      <c r="X613" t="s">
        <v>3545</v>
      </c>
      <c r="Y613" t="s">
        <v>16</v>
      </c>
    </row>
    <row r="614" spans="1:25" hidden="1" x14ac:dyDescent="0.3">
      <c r="A614">
        <v>31776</v>
      </c>
      <c r="B614" t="str">
        <f>_xlfn.CONCAT(bron[[#This Row],[personeelsnr]]," ",bron[[#This Row],[achternaam]]," ",bron[[#This Row],[voornaam]])</f>
        <v>31776 Famelaer Steve</v>
      </c>
      <c r="C614" t="str">
        <f>VLOOKUP(bron[[#This Row],[personeelsnr]],'data hastus'!$A:$C,2,0)</f>
        <v>Famelaer</v>
      </c>
      <c r="D614" t="str">
        <f>VLOOKUP(bron[[#This Row],[personeelsnr]],'data hastus'!$A:$C,3,0)</f>
        <v>Steve</v>
      </c>
      <c r="E614" t="str">
        <f>VLOOKUP(bron[[#This Row],[personeelsnr]],'data hastus'!A:K,11,FALSE)</f>
        <v>Dominique De Clercq</v>
      </c>
      <c r="F614" s="10"/>
      <c r="G614" s="7"/>
      <c r="H614" s="7"/>
      <c r="I614" s="7"/>
      <c r="M614" s="5">
        <v>1</v>
      </c>
      <c r="S614" s="5">
        <f>SUM(bron[[#This Row],[Januari]:[December]])</f>
        <v>1</v>
      </c>
      <c r="T614" s="9">
        <v>45845</v>
      </c>
      <c r="U614" s="8" t="s">
        <v>1230</v>
      </c>
      <c r="V614" s="24">
        <v>1</v>
      </c>
      <c r="W614" s="24"/>
      <c r="X614" t="s">
        <v>3545</v>
      </c>
      <c r="Y614" t="s">
        <v>19</v>
      </c>
    </row>
    <row r="615" spans="1:25" hidden="1" x14ac:dyDescent="0.3">
      <c r="A615">
        <v>33085</v>
      </c>
      <c r="B615" t="str">
        <f>_xlfn.CONCAT(bron[[#This Row],[personeelsnr]]," ",bron[[#This Row],[achternaam]]," ",bron[[#This Row],[voornaam]])</f>
        <v>33085 Van Hoe Ivo</v>
      </c>
      <c r="C615" t="str">
        <f>VLOOKUP(bron[[#This Row],[personeelsnr]],'data hastus'!$A:$C,2,0)</f>
        <v>Van Hoe</v>
      </c>
      <c r="D615" t="str">
        <f>VLOOKUP(bron[[#This Row],[personeelsnr]],'data hastus'!$A:$C,3,0)</f>
        <v>Ivo</v>
      </c>
      <c r="E615" t="str">
        <f>VLOOKUP(bron[[#This Row],[personeelsnr]],'data hastus'!A:K,11,FALSE)</f>
        <v>Kenneth De Rick</v>
      </c>
      <c r="F615" s="10"/>
      <c r="G615" s="7"/>
      <c r="H615" s="7"/>
      <c r="I615" s="7"/>
      <c r="O615" s="5">
        <v>1</v>
      </c>
      <c r="S615" s="5">
        <f>SUM(bron[[#This Row],[Januari]:[December]])</f>
        <v>1</v>
      </c>
      <c r="T615" s="9">
        <v>45904</v>
      </c>
      <c r="U615" s="5" t="s">
        <v>3532</v>
      </c>
      <c r="V615" s="24"/>
      <c r="W615" s="24">
        <v>1</v>
      </c>
      <c r="X615" t="s">
        <v>3581</v>
      </c>
      <c r="Y615" t="s">
        <v>5</v>
      </c>
    </row>
    <row r="616" spans="1:25" hidden="1" x14ac:dyDescent="0.3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>
        <v>45773</v>
      </c>
      <c r="G616" s="6"/>
      <c r="H616" s="6"/>
      <c r="I616" s="6"/>
      <c r="J616">
        <v>1</v>
      </c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/>
      <c r="U616" s="8" t="s">
        <v>1338</v>
      </c>
      <c r="V616" s="8"/>
      <c r="W616" s="8">
        <v>1</v>
      </c>
      <c r="X616" t="s">
        <v>8</v>
      </c>
      <c r="Y616" t="s">
        <v>5</v>
      </c>
    </row>
    <row r="617" spans="1:25" hidden="1" x14ac:dyDescent="0.3">
      <c r="A617">
        <v>32091</v>
      </c>
      <c r="B617" t="str">
        <f>_xlfn.CONCAT(bron[[#This Row],[personeelsnr]]," ",bron[[#This Row],[achternaam]]," ",bron[[#This Row],[voornaam]])</f>
        <v>32091 Köroglu Ercan</v>
      </c>
      <c r="C617" t="str">
        <f>VLOOKUP(bron[[#This Row],[personeelsnr]],'data hastus'!$A:$C,2,0)</f>
        <v>Köroglu</v>
      </c>
      <c r="D617" t="str">
        <f>VLOOKUP(bron[[#This Row],[personeelsnr]],'data hastus'!$A:$C,3,0)</f>
        <v>Ercan</v>
      </c>
      <c r="E617" t="str">
        <f>VLOOKUP(bron[[#This Row],[personeelsnr]],'data hastus'!A:K,11,FALSE)</f>
        <v>Kenneth De Rick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45722</v>
      </c>
      <c r="U617" s="8" t="s">
        <v>1094</v>
      </c>
      <c r="V617" s="8">
        <v>1</v>
      </c>
      <c r="W617" s="8"/>
      <c r="X617" t="s">
        <v>3546</v>
      </c>
      <c r="Y617" t="s">
        <v>10</v>
      </c>
    </row>
    <row r="618" spans="1:25" hidden="1" x14ac:dyDescent="0.3">
      <c r="A618">
        <v>32245</v>
      </c>
      <c r="B618" t="str">
        <f>_xlfn.CONCAT(bron[[#This Row],[personeelsnr]]," ",bron[[#This Row],[achternaam]]," ",bron[[#This Row],[voornaam]])</f>
        <v>32245 Verlinden Bianca</v>
      </c>
      <c r="C618" t="str">
        <f>VLOOKUP(bron[[#This Row],[personeelsnr]],'data hastus'!$A:$C,2,0)</f>
        <v>Verlinden</v>
      </c>
      <c r="D618" t="str">
        <f>VLOOKUP(bron[[#This Row],[personeelsnr]],'data hastus'!$A:$C,3,0)</f>
        <v>Bianca</v>
      </c>
      <c r="E618" t="str">
        <f>VLOOKUP(bron[[#This Row],[personeelsnr]],'data hastus'!A:K,11,FALSE)</f>
        <v>Els Vanhoe</v>
      </c>
      <c r="F618" s="10"/>
      <c r="G618" s="6"/>
      <c r="H618" s="6"/>
      <c r="I618" s="6"/>
      <c r="J618">
        <v>1</v>
      </c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45766</v>
      </c>
      <c r="U618" s="8" t="s">
        <v>1146</v>
      </c>
      <c r="V618" s="8">
        <v>1</v>
      </c>
      <c r="W618" s="8"/>
      <c r="X618" t="s">
        <v>3546</v>
      </c>
      <c r="Y618" t="s">
        <v>13</v>
      </c>
    </row>
    <row r="619" spans="1:25" hidden="1" x14ac:dyDescent="0.3">
      <c r="A619">
        <v>32387</v>
      </c>
      <c r="B619" t="str">
        <f>_xlfn.CONCAT(bron[[#This Row],[personeelsnr]]," ",bron[[#This Row],[achternaam]]," ",bron[[#This Row],[voornaam]])</f>
        <v>32387 Meersman Herman</v>
      </c>
      <c r="C619" t="str">
        <f>VLOOKUP(bron[[#This Row],[personeelsnr]],'data hastus'!$A:$C,2,0)</f>
        <v>Meersman</v>
      </c>
      <c r="D619" t="str">
        <f>VLOOKUP(bron[[#This Row],[personeelsnr]],'data hastus'!$A:$C,3,0)</f>
        <v>Herman</v>
      </c>
      <c r="E619" t="str">
        <f>VLOOKUP(bron[[#This Row],[personeelsnr]],'data hastus'!A:K,11,FALSE)</f>
        <v>Steven Storm</v>
      </c>
      <c r="F619" s="10"/>
      <c r="G619" s="6"/>
      <c r="H619" s="6">
        <v>1</v>
      </c>
      <c r="I619" s="6"/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45711</v>
      </c>
      <c r="U619" s="8" t="s">
        <v>1077</v>
      </c>
      <c r="V619" s="8">
        <v>1</v>
      </c>
      <c r="W619" s="8"/>
      <c r="X619" t="s">
        <v>3546</v>
      </c>
      <c r="Y619" t="s">
        <v>28</v>
      </c>
    </row>
    <row r="620" spans="1:25" hidden="1" x14ac:dyDescent="0.3">
      <c r="A620">
        <v>32528</v>
      </c>
      <c r="B620" t="str">
        <f>_xlfn.CONCAT(bron[[#This Row],[personeelsnr]]," ",bron[[#This Row],[achternaam]]," ",bron[[#This Row],[voornaam]])</f>
        <v>32528 Benjilali Abdelhak</v>
      </c>
      <c r="C620" t="str">
        <f>VLOOKUP(bron[[#This Row],[personeelsnr]],'data hastus'!$A:$C,2,0)</f>
        <v>Benjilali</v>
      </c>
      <c r="D620" t="str">
        <f>VLOOKUP(bron[[#This Row],[personeelsnr]],'data hastus'!$A:$C,3,0)</f>
        <v>Abdelhak</v>
      </c>
      <c r="E620" t="str">
        <f>VLOOKUP(bron[[#This Row],[personeelsnr]],'data hastus'!A:K,11,FALSE)</f>
        <v>Steven Storm</v>
      </c>
      <c r="F620" s="10"/>
      <c r="G620" s="7"/>
      <c r="H620" s="7"/>
      <c r="I620" s="7"/>
      <c r="M620" s="5">
        <v>1</v>
      </c>
      <c r="S620" s="5">
        <f>SUM(bron[[#This Row],[Januari]:[December]])</f>
        <v>1</v>
      </c>
      <c r="T620" s="9">
        <v>45839</v>
      </c>
      <c r="U620" s="8" t="s">
        <v>1223</v>
      </c>
      <c r="V620" s="24">
        <v>1</v>
      </c>
      <c r="W620" s="24"/>
      <c r="X620" t="s">
        <v>3545</v>
      </c>
      <c r="Y620" t="s">
        <v>66</v>
      </c>
    </row>
    <row r="621" spans="1:25" hidden="1" x14ac:dyDescent="0.3">
      <c r="A621">
        <v>32611</v>
      </c>
      <c r="B621" t="str">
        <f>_xlfn.CONCAT(bron[[#This Row],[personeelsnr]]," ",bron[[#This Row],[achternaam]]," ",bron[[#This Row],[voornaam]])</f>
        <v>32611 Özer Özgur</v>
      </c>
      <c r="C621" t="str">
        <f>VLOOKUP(bron[[#This Row],[personeelsnr]],'data hastus'!$A:$C,2,0)</f>
        <v>Özer</v>
      </c>
      <c r="D621" t="str">
        <f>VLOOKUP(bron[[#This Row],[personeelsnr]],'data hastus'!$A:$C,3,0)</f>
        <v>Özgur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45737</v>
      </c>
      <c r="U621" s="8" t="s">
        <v>1113</v>
      </c>
      <c r="V621" s="8">
        <v>1</v>
      </c>
      <c r="W621" s="8"/>
      <c r="X621" t="s">
        <v>3546</v>
      </c>
      <c r="Y621" t="s">
        <v>60</v>
      </c>
    </row>
    <row r="622" spans="1:25" hidden="1" x14ac:dyDescent="0.3">
      <c r="A622">
        <v>33965</v>
      </c>
      <c r="B622" t="str">
        <f>_xlfn.CONCAT(bron[[#This Row],[personeelsnr]]," ",bron[[#This Row],[achternaam]]," ",bron[[#This Row],[voornaam]])</f>
        <v>33965 Van de Gehuchte Gilles</v>
      </c>
      <c r="C622" t="str">
        <f>VLOOKUP(bron[[#This Row],[personeelsnr]],'data hastus'!$A:$C,2,0)</f>
        <v>Van de Gehuchte</v>
      </c>
      <c r="D622" t="str">
        <f>VLOOKUP(bron[[#This Row],[personeelsnr]],'data hastus'!$A:$C,3,0)</f>
        <v>Gilles</v>
      </c>
      <c r="E622" t="str">
        <f>VLOOKUP(bron[[#This Row],[personeelsnr]],'data hastus'!A:K,11,FALSE)</f>
        <v>Kenneth De Rick</v>
      </c>
      <c r="F622" s="10"/>
      <c r="G622" s="6">
        <v>1</v>
      </c>
      <c r="H622" s="6"/>
      <c r="I622" s="6"/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45677</v>
      </c>
      <c r="U622" s="8" t="s">
        <v>1021</v>
      </c>
      <c r="V622" s="8"/>
      <c r="W622" s="8">
        <v>1</v>
      </c>
      <c r="X622" t="s">
        <v>3581</v>
      </c>
      <c r="Y622" t="s">
        <v>31</v>
      </c>
    </row>
    <row r="623" spans="1:25" hidden="1" x14ac:dyDescent="0.3">
      <c r="A623">
        <v>32951</v>
      </c>
      <c r="B623" t="str">
        <f>_xlfn.CONCAT(bron[[#This Row],[personeelsnr]]," ",bron[[#This Row],[achternaam]]," ",bron[[#This Row],[voornaam]])</f>
        <v>32951 De Bruyne Sonia</v>
      </c>
      <c r="C623" t="str">
        <f>VLOOKUP(bron[[#This Row],[personeelsnr]],'data hastus'!$A:$C,2,0)</f>
        <v>De Bruyne</v>
      </c>
      <c r="D623" t="str">
        <f>VLOOKUP(bron[[#This Row],[personeelsnr]],'data hastus'!$A:$C,3,0)</f>
        <v>Sonia</v>
      </c>
      <c r="E623" t="str">
        <f>VLOOKUP(bron[[#This Row],[personeelsnr]],'data hastus'!A:K,11,FALSE)</f>
        <v>Lucie Vande Velde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45751</v>
      </c>
      <c r="U623" s="8" t="s">
        <v>1126</v>
      </c>
      <c r="V623" s="8">
        <v>1</v>
      </c>
      <c r="W623" s="8"/>
      <c r="X623" t="s">
        <v>3547</v>
      </c>
      <c r="Y623" t="s">
        <v>43</v>
      </c>
    </row>
    <row r="624" spans="1:25" hidden="1" x14ac:dyDescent="0.3">
      <c r="A624">
        <v>33085</v>
      </c>
      <c r="B624" t="str">
        <f>_xlfn.CONCAT(bron[[#This Row],[personeelsnr]]," ",bron[[#This Row],[achternaam]]," ",bron[[#This Row],[voornaam]])</f>
        <v>33085 Van Hoe Ivo</v>
      </c>
      <c r="C624" t="str">
        <f>VLOOKUP(bron[[#This Row],[personeelsnr]],'data hastus'!$A:$C,2,0)</f>
        <v>Van Hoe</v>
      </c>
      <c r="D624" t="str">
        <f>VLOOKUP(bron[[#This Row],[personeelsnr]],'data hastus'!$A:$C,3,0)</f>
        <v>Ivo</v>
      </c>
      <c r="E624" t="str">
        <f>VLOOKUP(bron[[#This Row],[personeelsnr]],'data hastus'!A:K,11,FALSE)</f>
        <v>Kenneth De Rick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45773</v>
      </c>
      <c r="U624" s="8" t="s">
        <v>1154</v>
      </c>
      <c r="V624" s="8">
        <v>1</v>
      </c>
      <c r="W624" s="8"/>
      <c r="X624" t="s">
        <v>3547</v>
      </c>
      <c r="Y624" t="s">
        <v>139</v>
      </c>
    </row>
    <row r="625" spans="1:25" hidden="1" x14ac:dyDescent="0.3">
      <c r="A625">
        <v>33965</v>
      </c>
      <c r="B625" t="str">
        <f>_xlfn.CONCAT(bron[[#This Row],[personeelsnr]]," ",bron[[#This Row],[achternaam]]," ",bron[[#This Row],[voornaam]])</f>
        <v>33965 Van de Gehuchte Gilles</v>
      </c>
      <c r="C625" t="str">
        <f>VLOOKUP(bron[[#This Row],[personeelsnr]],'data hastus'!$A:$C,2,0)</f>
        <v>Van de Gehuchte</v>
      </c>
      <c r="D625" t="str">
        <f>VLOOKUP(bron[[#This Row],[personeelsnr]],'data hastus'!$A:$C,3,0)</f>
        <v>Gilles</v>
      </c>
      <c r="E625" t="str">
        <f>VLOOKUP(bron[[#This Row],[personeelsnr]],'data hastus'!A:K,11,FALSE)</f>
        <v>Kenneth De Rick</v>
      </c>
      <c r="F625" s="10"/>
      <c r="G625" s="7"/>
      <c r="H625" s="7"/>
      <c r="I625" s="7"/>
      <c r="K625" s="12">
        <v>1</v>
      </c>
      <c r="S625" s="5">
        <f>SUM(bron[[#This Row],[Januari]:[December]])</f>
        <v>1</v>
      </c>
      <c r="T625" s="9">
        <v>45781</v>
      </c>
      <c r="U625" s="8" t="s">
        <v>1164</v>
      </c>
      <c r="V625" s="8"/>
      <c r="W625" s="8">
        <v>1</v>
      </c>
      <c r="X625" t="s">
        <v>3581</v>
      </c>
      <c r="Y625" t="s">
        <v>5</v>
      </c>
    </row>
    <row r="626" spans="1:25" hidden="1" x14ac:dyDescent="0.3">
      <c r="A626">
        <v>33488</v>
      </c>
      <c r="B626" t="str">
        <f>_xlfn.CONCAT(bron[[#This Row],[personeelsnr]]," ",bron[[#This Row],[achternaam]]," ",bron[[#This Row],[voornaam]])</f>
        <v>33488 Holub Patrik</v>
      </c>
      <c r="C626" t="str">
        <f>VLOOKUP(bron[[#This Row],[personeelsnr]],'data hastus'!$A:$C,2,0)</f>
        <v>Holub</v>
      </c>
      <c r="D626" t="str">
        <f>VLOOKUP(bron[[#This Row],[personeelsnr]],'data hastus'!$A:$C,3,0)</f>
        <v>Patrik</v>
      </c>
      <c r="E626" t="str">
        <f>VLOOKUP(bron[[#This Row],[personeelsnr]],'data hastus'!A:K,11,FALSE)</f>
        <v>Els Vanhoe</v>
      </c>
      <c r="F626" s="10"/>
      <c r="G626" s="7"/>
      <c r="H626" s="7"/>
      <c r="I626" s="7"/>
      <c r="N626" s="5">
        <v>1</v>
      </c>
      <c r="S626" s="5">
        <f>SUM(bron[[#This Row],[Januari]:[December]])</f>
        <v>1</v>
      </c>
      <c r="T626" s="9">
        <v>45898</v>
      </c>
      <c r="U626" s="5" t="s">
        <v>1288</v>
      </c>
      <c r="V626" s="24">
        <v>1</v>
      </c>
      <c r="W626" s="24"/>
      <c r="X626" t="s">
        <v>3547</v>
      </c>
      <c r="Y626" t="s">
        <v>1289</v>
      </c>
    </row>
    <row r="627" spans="1:25" hidden="1" x14ac:dyDescent="0.3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3546</v>
      </c>
      <c r="Y627" t="s">
        <v>215</v>
      </c>
    </row>
    <row r="628" spans="1:25" hidden="1" x14ac:dyDescent="0.3">
      <c r="A628">
        <v>34198</v>
      </c>
      <c r="B628" t="str">
        <f>_xlfn.CONCAT(bron[[#This Row],[personeelsnr]]," ",bron[[#This Row],[achternaam]]," ",bron[[#This Row],[voornaam]])</f>
        <v>34198 Pelfrene Toby</v>
      </c>
      <c r="C628" t="str">
        <f>VLOOKUP(bron[[#This Row],[personeelsnr]],'data hastus'!$A:$C,2,0)</f>
        <v>Pelfrene</v>
      </c>
      <c r="D628" t="str">
        <f>VLOOKUP(bron[[#This Row],[personeelsnr]],'data hastus'!$A:$C,3,0)</f>
        <v>Toby</v>
      </c>
      <c r="E628" t="str">
        <f>VLOOKUP(bron[[#This Row],[personeelsnr]],'data hastus'!A:K,11,FALSE)</f>
        <v>Els Vanhoe</v>
      </c>
      <c r="F628" s="10"/>
      <c r="G628" s="7"/>
      <c r="H628" s="7"/>
      <c r="I628" s="7"/>
      <c r="N628" s="5">
        <v>1</v>
      </c>
      <c r="S628" s="5">
        <f>SUM(bron[[#This Row],[Januari]:[December]])</f>
        <v>1</v>
      </c>
      <c r="T628" s="9">
        <v>45895</v>
      </c>
      <c r="U628" s="5" t="s">
        <v>1284</v>
      </c>
      <c r="V628" s="24"/>
      <c r="W628" s="24">
        <v>1</v>
      </c>
      <c r="X628" t="s">
        <v>3581</v>
      </c>
      <c r="Y628" t="s">
        <v>5</v>
      </c>
    </row>
    <row r="629" spans="1:25" hidden="1" x14ac:dyDescent="0.3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1152</v>
      </c>
      <c r="V629" s="8">
        <v>1</v>
      </c>
      <c r="W629" s="8"/>
      <c r="X629" t="s">
        <v>3546</v>
      </c>
      <c r="Y629" t="s">
        <v>66</v>
      </c>
    </row>
    <row r="630" spans="1:25" hidden="1" x14ac:dyDescent="0.3">
      <c r="A630">
        <v>34325</v>
      </c>
      <c r="B630" t="str">
        <f>_xlfn.CONCAT(bron[[#This Row],[personeelsnr]]," ",bron[[#This Row],[achternaam]]," ",bron[[#This Row],[voornaam]])</f>
        <v>34325 Eid Mathyn</v>
      </c>
      <c r="C630" t="str">
        <f>VLOOKUP(bron[[#This Row],[personeelsnr]],'data hastus'!$A:$C,2,0)</f>
        <v>Eid</v>
      </c>
      <c r="D630" t="str">
        <f>VLOOKUP(bron[[#This Row],[personeelsnr]],'data hastus'!$A:$C,3,0)</f>
        <v>Mathyn</v>
      </c>
      <c r="E630" t="str">
        <f>VLOOKUP(bron[[#This Row],[personeelsnr]],'data hastus'!A:K,11,FALSE)</f>
        <v>Steven Storm</v>
      </c>
      <c r="F630" s="10"/>
      <c r="G630" s="6"/>
      <c r="H630" s="6"/>
      <c r="I630" s="6"/>
      <c r="J630">
        <v>1</v>
      </c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45757</v>
      </c>
      <c r="U630" s="8" t="s">
        <v>1133</v>
      </c>
      <c r="V630" s="8"/>
      <c r="W630" s="8">
        <v>1</v>
      </c>
      <c r="X630" t="s">
        <v>3582</v>
      </c>
      <c r="Y630" t="s">
        <v>275</v>
      </c>
    </row>
    <row r="631" spans="1:25" hidden="1" x14ac:dyDescent="0.3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3547</v>
      </c>
      <c r="Y631" t="s">
        <v>249</v>
      </c>
    </row>
    <row r="632" spans="1:25" hidden="1" x14ac:dyDescent="0.3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3546</v>
      </c>
      <c r="Y632" t="s">
        <v>127</v>
      </c>
    </row>
    <row r="633" spans="1:25" x14ac:dyDescent="0.3">
      <c r="A633">
        <v>34351</v>
      </c>
      <c r="B633" t="str">
        <f>_xlfn.CONCAT(bron[[#This Row],[personeelsnr]]," ",bron[[#This Row],[achternaam]]," ",bron[[#This Row],[voornaam]])</f>
        <v>34351 Callant Dieter</v>
      </c>
      <c r="C633" t="str">
        <f>VLOOKUP(bron[[#This Row],[personeelsnr]],'data hastus'!$A:$C,2,0)</f>
        <v>Callant</v>
      </c>
      <c r="D633" t="str">
        <f>VLOOKUP(bron[[#This Row],[personeelsnr]],'data hastus'!$A:$C,3,0)</f>
        <v>Dieter</v>
      </c>
      <c r="E633" t="str">
        <f>VLOOKUP(bron[[#This Row],[personeelsnr]],'data hastus'!A:K,11,FALSE)</f>
        <v>Els Vanhoe</v>
      </c>
      <c r="F633" s="10"/>
      <c r="G633" s="6">
        <v>1</v>
      </c>
      <c r="H633" s="6"/>
      <c r="I633" s="6"/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45679</v>
      </c>
      <c r="U633" s="8" t="s">
        <v>1026</v>
      </c>
      <c r="V633" s="8"/>
      <c r="W633" s="8">
        <v>1</v>
      </c>
      <c r="X633" t="s">
        <v>3581</v>
      </c>
      <c r="Y633" t="s">
        <v>159</v>
      </c>
    </row>
    <row r="634" spans="1:25" x14ac:dyDescent="0.3">
      <c r="A634">
        <v>34445</v>
      </c>
      <c r="B634" t="str">
        <f>_xlfn.CONCAT(bron[[#This Row],[personeelsnr]]," ",bron[[#This Row],[achternaam]]," ",bron[[#This Row],[voornaam]])</f>
        <v>34445 Wulleput Illya</v>
      </c>
      <c r="C634" t="str">
        <f>VLOOKUP(bron[[#This Row],[personeelsnr]],'data hastus'!$A:$C,2,0)</f>
        <v>Wulleput</v>
      </c>
      <c r="D634" t="str">
        <f>VLOOKUP(bron[[#This Row],[personeelsnr]],'data hastus'!$A:$C,3,0)</f>
        <v>Illya</v>
      </c>
      <c r="E634" t="str">
        <f>VLOOKUP(bron[[#This Row],[personeelsnr]],'data hastus'!A:K,11,FALSE)</f>
        <v>Dominique De Clercq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45763</v>
      </c>
      <c r="U634" s="8" t="s">
        <v>1139</v>
      </c>
      <c r="V634" s="8"/>
      <c r="W634" s="8">
        <v>1</v>
      </c>
      <c r="X634" t="s">
        <v>3582</v>
      </c>
      <c r="Y634" t="s">
        <v>46</v>
      </c>
    </row>
    <row r="635" spans="1:25" x14ac:dyDescent="0.3">
      <c r="A635">
        <v>35395</v>
      </c>
      <c r="B635" t="str">
        <f>_xlfn.CONCAT(bron[[#This Row],[personeelsnr]]," ",bron[[#This Row],[achternaam]]," ",bron[[#This Row],[voornaam]])</f>
        <v>35395 Limbourg Heidi</v>
      </c>
      <c r="C635" t="str">
        <f>VLOOKUP(bron[[#This Row],[personeelsnr]],'data hastus'!$A:$C,2,0)</f>
        <v>Limbourg</v>
      </c>
      <c r="D635" t="str">
        <f>VLOOKUP(bron[[#This Row],[personeelsnr]],'data hastus'!$A:$C,3,0)</f>
        <v>Heidi</v>
      </c>
      <c r="E635" t="str">
        <f>VLOOKUP(bron[[#This Row],[personeelsnr]],'data hastus'!A:K,11,FALSE)</f>
        <v>Steven Storm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45680</v>
      </c>
      <c r="U635" s="8" t="s">
        <v>1028</v>
      </c>
      <c r="V635" s="8"/>
      <c r="W635" s="8">
        <v>1</v>
      </c>
      <c r="X635" t="s">
        <v>8</v>
      </c>
      <c r="Y635" t="s">
        <v>171</v>
      </c>
    </row>
    <row r="636" spans="1:25" x14ac:dyDescent="0.3">
      <c r="A636">
        <v>35397</v>
      </c>
      <c r="B636" t="str">
        <f>_xlfn.CONCAT(bron[[#This Row],[personeelsnr]]," ",bron[[#This Row],[achternaam]]," ",bron[[#This Row],[voornaam]])</f>
        <v>35397 Minbari Ako</v>
      </c>
      <c r="C636" t="str">
        <f>VLOOKUP(bron[[#This Row],[personeelsnr]],'data hastus'!$A:$C,2,0)</f>
        <v>Minbari</v>
      </c>
      <c r="D636" t="str">
        <f>VLOOKUP(bron[[#This Row],[personeelsnr]],'data hastus'!$A:$C,3,0)</f>
        <v>Ako</v>
      </c>
      <c r="E636" t="str">
        <f>VLOOKUP(bron[[#This Row],[personeelsnr]],'data hastus'!A:K,11,FALSE)</f>
        <v>Lucie Vande Velde</v>
      </c>
      <c r="F636" s="10"/>
      <c r="G636" s="7"/>
      <c r="H636" s="7"/>
      <c r="I636" s="7"/>
      <c r="M636" s="5">
        <v>1</v>
      </c>
      <c r="S636" s="5">
        <f>SUM(bron[[#This Row],[Januari]:[December]])</f>
        <v>1</v>
      </c>
      <c r="T636" s="9">
        <v>45861</v>
      </c>
      <c r="U636" s="8" t="s">
        <v>1255</v>
      </c>
      <c r="V636" s="24"/>
      <c r="W636" s="24">
        <v>1</v>
      </c>
      <c r="X636" t="s">
        <v>8</v>
      </c>
      <c r="Y636" t="s">
        <v>267</v>
      </c>
    </row>
    <row r="637" spans="1:25" hidden="1" x14ac:dyDescent="0.3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3546</v>
      </c>
      <c r="Y637" t="s">
        <v>153</v>
      </c>
    </row>
    <row r="638" spans="1:25" hidden="1" x14ac:dyDescent="0.3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3546</v>
      </c>
      <c r="Y638" t="s">
        <v>78</v>
      </c>
    </row>
    <row r="639" spans="1:25" hidden="1" x14ac:dyDescent="0.3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3547</v>
      </c>
      <c r="Y639" t="s">
        <v>115</v>
      </c>
    </row>
    <row r="640" spans="1:25" x14ac:dyDescent="0.3">
      <c r="A640">
        <v>35619</v>
      </c>
      <c r="B640" t="str">
        <f>_xlfn.CONCAT(bron[[#This Row],[personeelsnr]]," ",bron[[#This Row],[achternaam]]," ",bron[[#This Row],[voornaam]])</f>
        <v>35619 El Mezroui Zouheir</v>
      </c>
      <c r="C640" t="str">
        <f>VLOOKUP(bron[[#This Row],[personeelsnr]],'data hastus'!$A:$C,2,0)</f>
        <v>El Mezroui</v>
      </c>
      <c r="D640" t="str">
        <f>VLOOKUP(bron[[#This Row],[personeelsnr]],'data hastus'!$A:$C,3,0)</f>
        <v>Zouheir</v>
      </c>
      <c r="E640" t="str">
        <f>VLOOKUP(bron[[#This Row],[personeelsnr]],'data hastus'!A:K,11,FALSE)</f>
        <v>Steven Storm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45755</v>
      </c>
      <c r="U640" s="8" t="s">
        <v>1128</v>
      </c>
      <c r="V640" s="8"/>
      <c r="W640" s="8">
        <v>1</v>
      </c>
      <c r="X640" t="s">
        <v>8</v>
      </c>
      <c r="Y640" t="s">
        <v>69</v>
      </c>
    </row>
    <row r="641" spans="1:25" hidden="1" x14ac:dyDescent="0.3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6"/>
      <c r="H641" s="6">
        <v>1</v>
      </c>
      <c r="I641" s="6"/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45713</v>
      </c>
      <c r="U641" s="8" t="s">
        <v>1080</v>
      </c>
      <c r="V641" s="8">
        <v>1</v>
      </c>
      <c r="W641" s="8"/>
      <c r="X641" t="s">
        <v>3545</v>
      </c>
      <c r="Y641" t="s">
        <v>108</v>
      </c>
    </row>
    <row r="642" spans="1:25" x14ac:dyDescent="0.3">
      <c r="A642">
        <v>36154</v>
      </c>
      <c r="B642" t="str">
        <f>_xlfn.CONCAT(bron[[#This Row],[personeelsnr]]," ",bron[[#This Row],[achternaam]]," ",bron[[#This Row],[voornaam]])</f>
        <v>36154 De Clercq Sven</v>
      </c>
      <c r="C642" t="str">
        <f>VLOOKUP(bron[[#This Row],[personeelsnr]],'data hastus'!$A:$C,2,0)</f>
        <v>De Clercq</v>
      </c>
      <c r="D642" t="str">
        <f>VLOOKUP(bron[[#This Row],[personeelsnr]],'data hastus'!$A:$C,3,0)</f>
        <v>Sven</v>
      </c>
      <c r="E642" t="str">
        <f>VLOOKUP(bron[[#This Row],[personeelsnr]],'data hastus'!A:K,11,FALSE)</f>
        <v>Lucie Vande Velde</v>
      </c>
      <c r="F642" s="10"/>
      <c r="G642" s="7"/>
      <c r="H642" s="7"/>
      <c r="I642" s="7"/>
      <c r="L642" s="5">
        <v>1</v>
      </c>
      <c r="S642" s="5">
        <f>SUM(bron[[#This Row],[Januari]:[December]])</f>
        <v>1</v>
      </c>
      <c r="T642" s="9">
        <v>45811</v>
      </c>
      <c r="U642" s="8" t="s">
        <v>1195</v>
      </c>
      <c r="V642" s="8"/>
      <c r="W642" s="8">
        <v>1</v>
      </c>
      <c r="X642" t="s">
        <v>8</v>
      </c>
      <c r="Y642" t="s">
        <v>81</v>
      </c>
    </row>
    <row r="643" spans="1:25" hidden="1" x14ac:dyDescent="0.3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3546</v>
      </c>
      <c r="Y643" t="s">
        <v>255</v>
      </c>
    </row>
    <row r="644" spans="1:25" hidden="1" x14ac:dyDescent="0.3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>
        <v>45706</v>
      </c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/>
      <c r="U644" s="8" t="s">
        <v>1337</v>
      </c>
      <c r="V644" s="8">
        <v>1</v>
      </c>
      <c r="W644" s="8"/>
      <c r="X644" t="s">
        <v>7</v>
      </c>
      <c r="Y644" t="s">
        <v>219</v>
      </c>
    </row>
    <row r="645" spans="1:25" hidden="1" x14ac:dyDescent="0.3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3545</v>
      </c>
      <c r="Y645" t="s">
        <v>22</v>
      </c>
    </row>
    <row r="646" spans="1:25" hidden="1" x14ac:dyDescent="0.3">
      <c r="A646">
        <v>35491</v>
      </c>
      <c r="B646" t="str">
        <f>_xlfn.CONCAT(bron[[#This Row],[personeelsnr]]," ",bron[[#This Row],[achternaam]]," ",bron[[#This Row],[voornaam]])</f>
        <v>35491 Toubadie Zakaria</v>
      </c>
      <c r="C646" t="str">
        <f>VLOOKUP(bron[[#This Row],[personeelsnr]],'data hastus'!$A:$C,2,0)</f>
        <v>Toubadie</v>
      </c>
      <c r="D646" t="str">
        <f>VLOOKUP(bron[[#This Row],[personeelsnr]],'data hastus'!$A:$C,3,0)</f>
        <v>Zakaria</v>
      </c>
      <c r="E646" t="str">
        <f>VLOOKUP(bron[[#This Row],[personeelsnr]],'data hastus'!A:K,11,FALSE)</f>
        <v>Els Vanhoe</v>
      </c>
      <c r="F646" s="10"/>
      <c r="G646" s="7"/>
      <c r="H646" s="7"/>
      <c r="I646" s="7"/>
      <c r="O646" s="5">
        <v>1</v>
      </c>
      <c r="S646" s="5">
        <f>SUM(bron[[#This Row],[Januari]:[December]])</f>
        <v>1</v>
      </c>
      <c r="T646" s="9">
        <v>45909</v>
      </c>
      <c r="U646" s="5" t="s">
        <v>3540</v>
      </c>
      <c r="V646" s="24">
        <v>1</v>
      </c>
      <c r="W646" s="24"/>
      <c r="X646" t="s">
        <v>3545</v>
      </c>
      <c r="Y646" t="s">
        <v>119</v>
      </c>
    </row>
    <row r="647" spans="1:25" hidden="1" x14ac:dyDescent="0.3">
      <c r="A647">
        <v>35495</v>
      </c>
      <c r="B647" t="str">
        <f>_xlfn.CONCAT(bron[[#This Row],[personeelsnr]]," ",bron[[#This Row],[achternaam]]," ",bron[[#This Row],[voornaam]])</f>
        <v>35495 Razzaz Mahmoud</v>
      </c>
      <c r="C647" t="str">
        <f>VLOOKUP(bron[[#This Row],[personeelsnr]],'data hastus'!$A:$C,2,0)</f>
        <v>Razzaz</v>
      </c>
      <c r="D647" t="str">
        <f>VLOOKUP(bron[[#This Row],[personeelsnr]],'data hastus'!$A:$C,3,0)</f>
        <v>Mahmoud</v>
      </c>
      <c r="E647" t="str">
        <f>VLOOKUP(bron[[#This Row],[personeelsnr]],'data hastus'!A:K,11,FALSE)</f>
        <v>Kenneth De Rick</v>
      </c>
      <c r="F647" s="10">
        <v>45731</v>
      </c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/>
      <c r="U647" s="8" t="s">
        <v>1322</v>
      </c>
      <c r="V647" s="8"/>
      <c r="W647" s="8">
        <v>1</v>
      </c>
      <c r="X647" t="s">
        <v>8</v>
      </c>
      <c r="Y647" t="s">
        <v>967</v>
      </c>
    </row>
    <row r="648" spans="1:25" hidden="1" x14ac:dyDescent="0.3">
      <c r="A648">
        <v>35588</v>
      </c>
      <c r="B648" t="str">
        <f>_xlfn.CONCAT(bron[[#This Row],[personeelsnr]]," ",bron[[#This Row],[achternaam]]," ",bron[[#This Row],[voornaam]])</f>
        <v>35588 Smesman Glenn</v>
      </c>
      <c r="C648" t="str">
        <f>VLOOKUP(bron[[#This Row],[personeelsnr]],'data hastus'!$A:$C,2,0)</f>
        <v>Smesman</v>
      </c>
      <c r="D648" t="str">
        <f>VLOOKUP(bron[[#This Row],[personeelsnr]],'data hastus'!$A:$C,3,0)</f>
        <v>Glenn</v>
      </c>
      <c r="E648" t="str">
        <f>VLOOKUP(bron[[#This Row],[personeelsnr]],'data hastus'!A:K,11,FALSE)</f>
        <v>Lucie Vande Velde</v>
      </c>
      <c r="F648" s="10">
        <v>45675</v>
      </c>
      <c r="G648" s="6">
        <v>1</v>
      </c>
      <c r="H648" s="6"/>
      <c r="I648" s="6"/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/>
      <c r="U648" s="8" t="s">
        <v>1330</v>
      </c>
      <c r="V648" s="8"/>
      <c r="W648" s="8">
        <v>1</v>
      </c>
      <c r="X648" t="s">
        <v>8</v>
      </c>
      <c r="Y648" t="s">
        <v>72</v>
      </c>
    </row>
    <row r="649" spans="1:25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8</v>
      </c>
      <c r="Y649" t="s">
        <v>63</v>
      </c>
    </row>
    <row r="650" spans="1:25" hidden="1" x14ac:dyDescent="0.3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3546</v>
      </c>
      <c r="Y650" t="s">
        <v>46</v>
      </c>
    </row>
    <row r="651" spans="1:25" hidden="1" x14ac:dyDescent="0.3">
      <c r="A651">
        <v>35645</v>
      </c>
      <c r="B651" t="str">
        <f>_xlfn.CONCAT(bron[[#This Row],[personeelsnr]]," ",bron[[#This Row],[achternaam]]," ",bron[[#This Row],[voornaam]])</f>
        <v>35645 Jalili Yaseeb</v>
      </c>
      <c r="C651" t="str">
        <f>VLOOKUP(bron[[#This Row],[personeelsnr]],'data hastus'!$A:$C,2,0)</f>
        <v>Jalili</v>
      </c>
      <c r="D651" t="str">
        <f>VLOOKUP(bron[[#This Row],[personeelsnr]],'data hastus'!$A:$C,3,0)</f>
        <v>Yaseeb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1134</v>
      </c>
      <c r="V651" s="8">
        <v>1</v>
      </c>
      <c r="W651" s="8"/>
      <c r="X651" t="s">
        <v>3545</v>
      </c>
      <c r="Y651" t="s">
        <v>13</v>
      </c>
    </row>
    <row r="652" spans="1:25" hidden="1" x14ac:dyDescent="0.3">
      <c r="A652">
        <v>36021</v>
      </c>
      <c r="B652" t="str">
        <f>_xlfn.CONCAT(bron[[#This Row],[personeelsnr]]," ",bron[[#This Row],[achternaam]]," ",bron[[#This Row],[voornaam]])</f>
        <v>36021 Boelaert Frederik</v>
      </c>
      <c r="C652" t="str">
        <f>VLOOKUP(bron[[#This Row],[personeelsnr]],'data hastus'!$A:$C,2,0)</f>
        <v>Boelaert</v>
      </c>
      <c r="D652" t="str">
        <f>VLOOKUP(bron[[#This Row],[personeelsnr]],'data hastus'!$A:$C,3,0)</f>
        <v>Frederik</v>
      </c>
      <c r="E652" t="str">
        <f>VLOOKUP(bron[[#This Row],[personeelsnr]],'data hastus'!A:K,11,FALSE)</f>
        <v>Lucie Vande Velde</v>
      </c>
      <c r="F652" s="10">
        <v>45874</v>
      </c>
      <c r="G652" s="7"/>
      <c r="H652" s="7"/>
      <c r="I652" s="7"/>
      <c r="N652" s="5">
        <v>1</v>
      </c>
      <c r="S652" s="5">
        <f>SUM(bron[[#This Row],[Januari]:[December]])</f>
        <v>1</v>
      </c>
      <c r="U652" s="24" t="s">
        <v>1336</v>
      </c>
      <c r="V652" s="24">
        <v>1</v>
      </c>
      <c r="W652" s="24"/>
      <c r="X652" t="s">
        <v>7</v>
      </c>
      <c r="Y652" t="s">
        <v>51</v>
      </c>
    </row>
    <row r="653" spans="1:25" x14ac:dyDescent="0.3">
      <c r="A653">
        <v>36426</v>
      </c>
      <c r="B653" t="str">
        <f>_xlfn.CONCAT(bron[[#This Row],[personeelsnr]]," ",bron[[#This Row],[achternaam]]," ",bron[[#This Row],[voornaam]])</f>
        <v>36426 Mohamed Yassin Abdulhamid</v>
      </c>
      <c r="C653" t="str">
        <f>VLOOKUP(bron[[#This Row],[personeelsnr]],'data hastus'!$A:$C,2,0)</f>
        <v>Mohamed Yassin</v>
      </c>
      <c r="D653" t="str">
        <f>VLOOKUP(bron[[#This Row],[personeelsnr]],'data hastus'!$A:$C,3,0)</f>
        <v>Abdulhamid</v>
      </c>
      <c r="E653" t="str">
        <f>VLOOKUP(bron[[#This Row],[personeelsnr]],'data hastus'!A:K,11,FALSE)</f>
        <v>Bart Van Der Beken</v>
      </c>
      <c r="F653" s="10"/>
      <c r="G653" s="7"/>
      <c r="H653" s="7"/>
      <c r="I653" s="7"/>
      <c r="L653" s="5">
        <v>1</v>
      </c>
      <c r="S653" s="5">
        <f>SUM(bron[[#This Row],[Januari]:[December]])</f>
        <v>1</v>
      </c>
      <c r="T653" s="9">
        <v>45828</v>
      </c>
      <c r="U653" s="8" t="s">
        <v>1206</v>
      </c>
      <c r="V653" s="24"/>
      <c r="W653" s="24">
        <v>1</v>
      </c>
      <c r="X653" t="s">
        <v>8</v>
      </c>
      <c r="Y653" t="s">
        <v>301</v>
      </c>
    </row>
    <row r="654" spans="1:25" hidden="1" x14ac:dyDescent="0.3">
      <c r="A654">
        <v>36289</v>
      </c>
      <c r="B654" t="str">
        <f>_xlfn.CONCAT(bron[[#This Row],[personeelsnr]]," ",bron[[#This Row],[achternaam]]," ",bron[[#This Row],[voornaam]])</f>
        <v>36289 Van Rentergem Steve</v>
      </c>
      <c r="C654" t="str">
        <f>VLOOKUP(bron[[#This Row],[personeelsnr]],'data hastus'!$A:$C,2,0)</f>
        <v>Van Rentergem</v>
      </c>
      <c r="D654" t="str">
        <f>VLOOKUP(bron[[#This Row],[personeelsnr]],'data hastus'!$A:$C,3,0)</f>
        <v>Steve</v>
      </c>
      <c r="E654" t="str">
        <f>VLOOKUP(bron[[#This Row],[personeelsnr]],'data hastus'!A:K,11,FALSE)</f>
        <v>Els Vanhoe</v>
      </c>
      <c r="F654" s="10"/>
      <c r="G654" s="6">
        <v>1</v>
      </c>
      <c r="H654" s="6"/>
      <c r="I654" s="6"/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45660</v>
      </c>
      <c r="U654" s="8" t="s">
        <v>999</v>
      </c>
      <c r="V654" s="8">
        <v>1</v>
      </c>
      <c r="W654" s="8"/>
      <c r="X654" t="s">
        <v>3545</v>
      </c>
      <c r="Y654" t="s">
        <v>19</v>
      </c>
    </row>
    <row r="655" spans="1:25" x14ac:dyDescent="0.3">
      <c r="A655">
        <v>36428</v>
      </c>
      <c r="B655" t="str">
        <f>_xlfn.CONCAT(bron[[#This Row],[personeelsnr]]," ",bron[[#This Row],[achternaam]]," ",bron[[#This Row],[voornaam]])</f>
        <v>36428 Abdi Shaiye Rashid</v>
      </c>
      <c r="C655" t="str">
        <f>VLOOKUP(bron[[#This Row],[personeelsnr]],'data hastus'!$A:$C,2,0)</f>
        <v>Abdi Shaiye</v>
      </c>
      <c r="D655" t="str">
        <f>VLOOKUP(bron[[#This Row],[personeelsnr]],'data hastus'!$A:$C,3,0)</f>
        <v>Rashid</v>
      </c>
      <c r="E655" t="str">
        <f>VLOOKUP(bron[[#This Row],[personeelsnr]],'data hastus'!A:K,11,FALSE)</f>
        <v>Lucie Vande Velde</v>
      </c>
      <c r="F655" s="10"/>
      <c r="G655" s="7"/>
      <c r="H655" s="7"/>
      <c r="I655" s="7"/>
      <c r="K655" s="5">
        <v>1</v>
      </c>
      <c r="S655" s="5">
        <f>SUM(bron[[#This Row],[Januari]:[December]])</f>
        <v>1</v>
      </c>
      <c r="T655" s="9">
        <v>45792</v>
      </c>
      <c r="U655" s="8" t="s">
        <v>1175</v>
      </c>
      <c r="V655" s="8"/>
      <c r="W655" s="8">
        <v>1</v>
      </c>
      <c r="X655" t="s">
        <v>8</v>
      </c>
      <c r="Y655" t="s">
        <v>10</v>
      </c>
    </row>
    <row r="656" spans="1:25" x14ac:dyDescent="0.3">
      <c r="A656">
        <v>36438</v>
      </c>
      <c r="B656" t="str">
        <f>_xlfn.CONCAT(bron[[#This Row],[personeelsnr]]," ",bron[[#This Row],[achternaam]]," ",bron[[#This Row],[voornaam]])</f>
        <v>36438 Agil Birol</v>
      </c>
      <c r="C656" t="str">
        <f>VLOOKUP(bron[[#This Row],[personeelsnr]],'data hastus'!$A:$C,2,0)</f>
        <v>Agil</v>
      </c>
      <c r="D656" t="str">
        <f>VLOOKUP(bron[[#This Row],[personeelsnr]],'data hastus'!$A:$C,3,0)</f>
        <v>Birol</v>
      </c>
      <c r="E656" t="str">
        <f>VLOOKUP(bron[[#This Row],[personeelsnr]],'data hastus'!A:K,11,FALSE)</f>
        <v>Bart Van Der Beken</v>
      </c>
      <c r="F656" s="10"/>
      <c r="G656" s="6"/>
      <c r="H656" s="6"/>
      <c r="I656" s="6"/>
      <c r="J656"/>
      <c r="K656">
        <v>1</v>
      </c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45803</v>
      </c>
      <c r="U656" s="8" t="s">
        <v>1184</v>
      </c>
      <c r="V656" s="8"/>
      <c r="W656" s="8">
        <v>1</v>
      </c>
      <c r="X656" t="s">
        <v>8</v>
      </c>
      <c r="Y656" t="s">
        <v>75</v>
      </c>
    </row>
    <row r="657" spans="1:25" hidden="1" x14ac:dyDescent="0.3">
      <c r="A657">
        <v>36426</v>
      </c>
      <c r="B657" t="str">
        <f>_xlfn.CONCAT(bron[[#This Row],[personeelsnr]]," ",bron[[#This Row],[achternaam]]," ",bron[[#This Row],[voornaam]])</f>
        <v>36426 Mohamed Yassin Abdulhamid</v>
      </c>
      <c r="C657" t="str">
        <f>VLOOKUP(bron[[#This Row],[personeelsnr]],'data hastus'!$A:$C,2,0)</f>
        <v>Mohamed Yassin</v>
      </c>
      <c r="D657" t="str">
        <f>VLOOKUP(bron[[#This Row],[personeelsnr]],'data hastus'!$A:$C,3,0)</f>
        <v>Abdulhamid</v>
      </c>
      <c r="E657" t="str">
        <f>VLOOKUP(bron[[#This Row],[personeelsnr]],'data hastus'!A:K,11,FALSE)</f>
        <v>Bart Van Der Beken</v>
      </c>
      <c r="F657" s="10">
        <v>45660</v>
      </c>
      <c r="G657" s="6">
        <v>1</v>
      </c>
      <c r="H657" s="6"/>
      <c r="I657" s="6"/>
      <c r="J657"/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/>
      <c r="U657" s="8" t="s">
        <v>1291</v>
      </c>
      <c r="V657" s="8"/>
      <c r="W657" s="8">
        <v>1</v>
      </c>
      <c r="X657" t="s">
        <v>8</v>
      </c>
      <c r="Y657" t="s">
        <v>235</v>
      </c>
    </row>
    <row r="658" spans="1:25" hidden="1" x14ac:dyDescent="0.3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6">
        <v>1</v>
      </c>
      <c r="H658" s="6"/>
      <c r="I658" s="6"/>
      <c r="J658"/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45669</v>
      </c>
      <c r="U658" s="8" t="s">
        <v>1011</v>
      </c>
      <c r="V658" s="8">
        <v>1</v>
      </c>
      <c r="W658" s="8"/>
      <c r="X658" t="s">
        <v>3545</v>
      </c>
      <c r="Y658" t="s">
        <v>13</v>
      </c>
    </row>
    <row r="659" spans="1:25" x14ac:dyDescent="0.3">
      <c r="A659">
        <v>36512</v>
      </c>
      <c r="B659" t="str">
        <f>_xlfn.CONCAT(bron[[#This Row],[personeelsnr]]," ",bron[[#This Row],[achternaam]]," ",bron[[#This Row],[voornaam]])</f>
        <v>36512 Van Herreweghe Branco</v>
      </c>
      <c r="C659" t="str">
        <f>VLOOKUP(bron[[#This Row],[personeelsnr]],'data hastus'!$A:$C,2,0)</f>
        <v>Van Herreweghe</v>
      </c>
      <c r="D659" t="str">
        <f>VLOOKUP(bron[[#This Row],[personeelsnr]],'data hastus'!$A:$C,3,0)</f>
        <v>Branco</v>
      </c>
      <c r="E659" t="str">
        <f>VLOOKUP(bron[[#This Row],[personeelsnr]],'data hastus'!A:K,11,FALSE)</f>
        <v>Steven Storm</v>
      </c>
      <c r="F659" s="10"/>
      <c r="G659" s="7"/>
      <c r="H659" s="7"/>
      <c r="I659" s="7"/>
      <c r="J659" s="5">
        <v>1</v>
      </c>
      <c r="S659" s="5">
        <f>SUM(bron[[#This Row],[Januari]:[December]])</f>
        <v>1</v>
      </c>
      <c r="T659" s="9">
        <v>45770</v>
      </c>
      <c r="U659" s="8" t="s">
        <v>1150</v>
      </c>
      <c r="V659" s="24"/>
      <c r="W659" s="24">
        <v>1</v>
      </c>
      <c r="X659" t="s">
        <v>8</v>
      </c>
      <c r="Y659" t="s">
        <v>31</v>
      </c>
    </row>
    <row r="660" spans="1:25" hidden="1" x14ac:dyDescent="0.3">
      <c r="A660">
        <v>36428</v>
      </c>
      <c r="B660" t="str">
        <f>_xlfn.CONCAT(bron[[#This Row],[personeelsnr]]," ",bron[[#This Row],[achternaam]]," ",bron[[#This Row],[voornaam]])</f>
        <v>36428 Abdi Shaiye Rashid</v>
      </c>
      <c r="C660" t="str">
        <f>VLOOKUP(bron[[#This Row],[personeelsnr]],'data hastus'!$A:$C,2,0)</f>
        <v>Abdi Shaiye</v>
      </c>
      <c r="D660" t="str">
        <f>VLOOKUP(bron[[#This Row],[personeelsnr]],'data hastus'!$A:$C,3,0)</f>
        <v>Rashid</v>
      </c>
      <c r="E660" t="str">
        <f>VLOOKUP(bron[[#This Row],[personeelsnr]],'data hastus'!A:K,11,FALSE)</f>
        <v>Lucie Vande Velde</v>
      </c>
      <c r="F660" s="10"/>
      <c r="G660" s="7"/>
      <c r="H660" s="7"/>
      <c r="I660" s="7"/>
      <c r="M660" s="5">
        <v>1</v>
      </c>
      <c r="S660" s="5">
        <f>SUM(bron[[#This Row],[Januari]:[December]])</f>
        <v>1</v>
      </c>
      <c r="T660" s="9">
        <v>45851</v>
      </c>
      <c r="U660" s="8" t="s">
        <v>1244</v>
      </c>
      <c r="V660" s="24">
        <v>1</v>
      </c>
      <c r="W660" s="24"/>
      <c r="X660" t="s">
        <v>3546</v>
      </c>
      <c r="Y660" t="s">
        <v>201</v>
      </c>
    </row>
    <row r="661" spans="1:25" x14ac:dyDescent="0.3">
      <c r="A661">
        <v>36559</v>
      </c>
      <c r="B661" t="str">
        <f>_xlfn.CONCAT(bron[[#This Row],[personeelsnr]]," ",bron[[#This Row],[achternaam]]," ",bron[[#This Row],[voornaam]])</f>
        <v>36559 De Staercke Sandra</v>
      </c>
      <c r="C661" t="str">
        <f>VLOOKUP(bron[[#This Row],[personeelsnr]],'data hastus'!$A:$C,2,0)</f>
        <v>De Staercke</v>
      </c>
      <c r="D661" t="str">
        <f>VLOOKUP(bron[[#This Row],[personeelsnr]],'data hastus'!$A:$C,3,0)</f>
        <v>Sandra</v>
      </c>
      <c r="E661" t="str">
        <f>VLOOKUP(bron[[#This Row],[personeelsnr]],'data hastus'!A:K,11,FALSE)</f>
        <v>Kenneth De Rick</v>
      </c>
      <c r="F661" s="10"/>
      <c r="G661" s="6">
        <v>1</v>
      </c>
      <c r="H661" s="6"/>
      <c r="I661" s="6"/>
      <c r="J661"/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45667</v>
      </c>
      <c r="U661" s="8" t="s">
        <v>1009</v>
      </c>
      <c r="V661" s="8"/>
      <c r="W661" s="8">
        <v>1</v>
      </c>
      <c r="X661" t="s">
        <v>8</v>
      </c>
      <c r="Y661" t="s">
        <v>297</v>
      </c>
    </row>
    <row r="662" spans="1:25" x14ac:dyDescent="0.3">
      <c r="A662">
        <v>36569</v>
      </c>
      <c r="B662" t="str">
        <f>_xlfn.CONCAT(bron[[#This Row],[personeelsnr]]," ",bron[[#This Row],[achternaam]]," ",bron[[#This Row],[voornaam]])</f>
        <v>36569 Stroobandt Jonas</v>
      </c>
      <c r="C662" t="str">
        <f>VLOOKUP(bron[[#This Row],[personeelsnr]],'data hastus'!$A:$C,2,0)</f>
        <v>Stroobandt</v>
      </c>
      <c r="D662" t="str">
        <f>VLOOKUP(bron[[#This Row],[personeelsnr]],'data hastus'!$A:$C,3,0)</f>
        <v>Jonas</v>
      </c>
      <c r="E662" t="str">
        <f>VLOOKUP(bron[[#This Row],[personeelsnr]],'data hastus'!A:K,11,FALSE)</f>
        <v>Els Vanhoe</v>
      </c>
      <c r="F662" s="10"/>
      <c r="G662" s="6"/>
      <c r="H662" s="6">
        <v>1</v>
      </c>
      <c r="I662" s="6"/>
      <c r="J662"/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45708</v>
      </c>
      <c r="U662" s="8" t="s">
        <v>1068</v>
      </c>
      <c r="V662" s="8"/>
      <c r="W662" s="8">
        <v>1</v>
      </c>
      <c r="X662" t="s">
        <v>8</v>
      </c>
      <c r="Y662" t="s">
        <v>5</v>
      </c>
    </row>
    <row r="663" spans="1:25" hidden="1" x14ac:dyDescent="0.3">
      <c r="A663">
        <v>36512</v>
      </c>
      <c r="B663" t="str">
        <f>_xlfn.CONCAT(bron[[#This Row],[personeelsnr]]," ",bron[[#This Row],[achternaam]]," ",bron[[#This Row],[voornaam]])</f>
        <v>36512 Van Herreweghe Branco</v>
      </c>
      <c r="C663" t="str">
        <f>VLOOKUP(bron[[#This Row],[personeelsnr]],'data hastus'!$A:$C,2,0)</f>
        <v>Van Herreweghe</v>
      </c>
      <c r="D663" t="str">
        <f>VLOOKUP(bron[[#This Row],[personeelsnr]],'data hastus'!$A:$C,3,0)</f>
        <v>Branco</v>
      </c>
      <c r="E663" t="str">
        <f>VLOOKUP(bron[[#This Row],[personeelsnr]],'data hastus'!A:K,11,FALSE)</f>
        <v>Steven Storm</v>
      </c>
      <c r="F663" s="10"/>
      <c r="G663" s="7"/>
      <c r="H663" s="7"/>
      <c r="I663" s="7"/>
      <c r="L663" s="5">
        <v>1</v>
      </c>
      <c r="S663" s="5">
        <f>SUM(bron[[#This Row],[Januari]:[December]])</f>
        <v>1</v>
      </c>
      <c r="T663" s="9">
        <v>45819</v>
      </c>
      <c r="U663" s="8" t="s">
        <v>1202</v>
      </c>
      <c r="V663" s="24">
        <v>1</v>
      </c>
      <c r="W663" s="24"/>
      <c r="X663" t="s">
        <v>3546</v>
      </c>
      <c r="Y663" t="s">
        <v>86</v>
      </c>
    </row>
    <row r="664" spans="1:25" x14ac:dyDescent="0.3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6"/>
      <c r="H664" s="6"/>
      <c r="I664" s="6">
        <v>1</v>
      </c>
      <c r="J664"/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45744</v>
      </c>
      <c r="U664" s="8" t="s">
        <v>1120</v>
      </c>
      <c r="V664" s="8"/>
      <c r="W664" s="8">
        <v>1</v>
      </c>
      <c r="X664" t="s">
        <v>8</v>
      </c>
      <c r="Y664" t="s">
        <v>167</v>
      </c>
    </row>
    <row r="665" spans="1:25" x14ac:dyDescent="0.3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7"/>
      <c r="H665" s="7"/>
      <c r="I665" s="7"/>
      <c r="L665" s="5">
        <v>1</v>
      </c>
      <c r="S665" s="5">
        <f>SUM(bron[[#This Row],[Januari]:[December]])</f>
        <v>1</v>
      </c>
      <c r="T665" s="9">
        <v>45828</v>
      </c>
      <c r="U665" s="8" t="s">
        <v>1208</v>
      </c>
      <c r="V665" s="24"/>
      <c r="W665" s="24">
        <v>1</v>
      </c>
      <c r="X665" t="s">
        <v>8</v>
      </c>
      <c r="Y665" t="s">
        <v>31</v>
      </c>
    </row>
    <row r="666" spans="1:25" x14ac:dyDescent="0.3">
      <c r="A666">
        <v>36577</v>
      </c>
      <c r="B666" t="str">
        <f>_xlfn.CONCAT(bron[[#This Row],[personeelsnr]]," ",bron[[#This Row],[achternaam]]," ",bron[[#This Row],[voornaam]])</f>
        <v>36577 De Smet Martine</v>
      </c>
      <c r="C666" t="str">
        <f>VLOOKUP(bron[[#This Row],[personeelsnr]],'data hastus'!$A:$C,2,0)</f>
        <v>De Smet</v>
      </c>
      <c r="D666" t="str">
        <f>VLOOKUP(bron[[#This Row],[personeelsnr]],'data hastus'!$A:$C,3,0)</f>
        <v>Martine</v>
      </c>
      <c r="E666" t="str">
        <f>VLOOKUP(bron[[#This Row],[personeelsnr]],'data hastus'!A:K,11,FALSE)</f>
        <v>Els Dewulf</v>
      </c>
      <c r="F666" s="10"/>
      <c r="G666" s="7"/>
      <c r="H666" s="7"/>
      <c r="I666" s="7"/>
      <c r="M666" s="5">
        <v>1</v>
      </c>
      <c r="S666" s="5">
        <f>SUM(bron[[#This Row],[Januari]:[December]])</f>
        <v>1</v>
      </c>
      <c r="T666" s="9">
        <v>45852</v>
      </c>
      <c r="U666" s="8" t="s">
        <v>1246</v>
      </c>
      <c r="V666" s="24"/>
      <c r="W666" s="24">
        <v>1</v>
      </c>
      <c r="X666" t="s">
        <v>8</v>
      </c>
      <c r="Y666" t="s">
        <v>69</v>
      </c>
    </row>
    <row r="667" spans="1:25" x14ac:dyDescent="0.3">
      <c r="A667">
        <v>36626</v>
      </c>
      <c r="B667" t="str">
        <f>_xlfn.CONCAT(bron[[#This Row],[personeelsnr]]," ",bron[[#This Row],[achternaam]]," ",bron[[#This Row],[voornaam]])</f>
        <v>36626 Kartal Kadir</v>
      </c>
      <c r="C667" t="str">
        <f>VLOOKUP(bron[[#This Row],[personeelsnr]],'data hastus'!$A:$C,2,0)</f>
        <v>Kartal</v>
      </c>
      <c r="D667" t="str">
        <f>VLOOKUP(bron[[#This Row],[personeelsnr]],'data hastus'!$A:$C,3,0)</f>
        <v>Kadir</v>
      </c>
      <c r="E667" t="str">
        <f>VLOOKUP(bron[[#This Row],[personeelsnr]],'data hastus'!A:K,11,FALSE)</f>
        <v>Els Dewulf</v>
      </c>
      <c r="F667" s="10"/>
      <c r="G667" s="6">
        <v>1</v>
      </c>
      <c r="H667" s="6"/>
      <c r="I667" s="6"/>
      <c r="J667"/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45673</v>
      </c>
      <c r="U667" s="8" t="s">
        <v>1018</v>
      </c>
      <c r="V667" s="8"/>
      <c r="W667" s="8">
        <v>1</v>
      </c>
      <c r="X667" t="s">
        <v>8</v>
      </c>
      <c r="Y667" t="s">
        <v>5</v>
      </c>
    </row>
    <row r="668" spans="1:25" x14ac:dyDescent="0.3">
      <c r="A668">
        <v>36627</v>
      </c>
      <c r="B668" t="str">
        <f>_xlfn.CONCAT(bron[[#This Row],[personeelsnr]]," ",bron[[#This Row],[achternaam]]," ",bron[[#This Row],[voornaam]])</f>
        <v>36627 Dobbelaere David</v>
      </c>
      <c r="C668" t="str">
        <f>VLOOKUP(bron[[#This Row],[personeelsnr]],'data hastus'!$A:$C,2,0)</f>
        <v>Dobbelaere</v>
      </c>
      <c r="D668" t="str">
        <f>VLOOKUP(bron[[#This Row],[personeelsnr]],'data hastus'!$A:$C,3,0)</f>
        <v>David</v>
      </c>
      <c r="E668" t="str">
        <f>VLOOKUP(bron[[#This Row],[personeelsnr]],'data hastus'!A:K,11,FALSE)</f>
        <v>Els Dewulf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45814</v>
      </c>
      <c r="U668" s="8" t="s">
        <v>1199</v>
      </c>
      <c r="V668" s="24"/>
      <c r="W668" s="24">
        <v>1</v>
      </c>
      <c r="X668" t="s">
        <v>8</v>
      </c>
      <c r="Y668" t="s">
        <v>72</v>
      </c>
    </row>
    <row r="669" spans="1:25" hidden="1" x14ac:dyDescent="0.3">
      <c r="A669">
        <v>36624</v>
      </c>
      <c r="B669" t="str">
        <f>_xlfn.CONCAT(bron[[#This Row],[personeelsnr]]," ",bron[[#This Row],[achternaam]]," ",bron[[#This Row],[voornaam]])</f>
        <v>36624 De Meulenaere Kurt</v>
      </c>
      <c r="C669" t="str">
        <f>VLOOKUP(bron[[#This Row],[personeelsnr]],'data hastus'!$A:$C,2,0)</f>
        <v>De Meulenaere</v>
      </c>
      <c r="D669" t="str">
        <f>VLOOKUP(bron[[#This Row],[personeelsnr]],'data hastus'!$A:$C,3,0)</f>
        <v>Kurt</v>
      </c>
      <c r="E669" t="str">
        <f>VLOOKUP(bron[[#This Row],[personeelsnr]],'data hastus'!A:K,11,FALSE)</f>
        <v>Dominique De Clercq</v>
      </c>
      <c r="F669" s="10"/>
      <c r="G669" s="7"/>
      <c r="H669" s="7"/>
      <c r="I669" s="7"/>
      <c r="L669" s="5">
        <v>1</v>
      </c>
      <c r="S669" s="5">
        <f>SUM(bron[[#This Row],[Januari]:[December]])</f>
        <v>1</v>
      </c>
      <c r="T669" s="9">
        <v>45829</v>
      </c>
      <c r="U669" s="8" t="s">
        <v>1210</v>
      </c>
      <c r="V669" s="24">
        <v>1</v>
      </c>
      <c r="W669" s="24"/>
      <c r="X669" t="s">
        <v>3546</v>
      </c>
      <c r="Y669" t="s">
        <v>259</v>
      </c>
    </row>
    <row r="670" spans="1:25" hidden="1" x14ac:dyDescent="0.3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3546</v>
      </c>
      <c r="Y670" t="s">
        <v>22</v>
      </c>
    </row>
    <row r="671" spans="1:25" x14ac:dyDescent="0.3">
      <c r="A671">
        <v>36635</v>
      </c>
      <c r="B671" t="str">
        <f>_xlfn.CONCAT(bron[[#This Row],[personeelsnr]]," ",bron[[#This Row],[achternaam]]," ",bron[[#This Row],[voornaam]])</f>
        <v>36635 Fadel Husam</v>
      </c>
      <c r="C671" t="str">
        <f>VLOOKUP(bron[[#This Row],[personeelsnr]],'data hastus'!$A:$C,2,0)</f>
        <v>Fadel</v>
      </c>
      <c r="D671" t="str">
        <f>VLOOKUP(bron[[#This Row],[personeelsnr]],'data hastus'!$A:$C,3,0)</f>
        <v>Husam</v>
      </c>
      <c r="E671" t="str">
        <f>VLOOKUP(bron[[#This Row],[personeelsnr]],'data hastus'!A:K,11,FALSE)</f>
        <v>Kenneth De Rick</v>
      </c>
      <c r="F671" s="10"/>
      <c r="G671" s="6"/>
      <c r="H671" s="6"/>
      <c r="I671" s="6">
        <v>1</v>
      </c>
      <c r="J671"/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45733</v>
      </c>
      <c r="U671" s="8" t="s">
        <v>1105</v>
      </c>
      <c r="V671" s="8"/>
      <c r="W671" s="8">
        <v>1</v>
      </c>
      <c r="X671" t="s">
        <v>8</v>
      </c>
      <c r="Y671" t="s">
        <v>104</v>
      </c>
    </row>
    <row r="672" spans="1:25" x14ac:dyDescent="0.3">
      <c r="A672">
        <v>37132</v>
      </c>
      <c r="B672" t="str">
        <f>_xlfn.CONCAT(bron[[#This Row],[personeelsnr]]," ",bron[[#This Row],[achternaam]]," ",bron[[#This Row],[voornaam]])</f>
        <v>37132 Dacic Esmir</v>
      </c>
      <c r="C672" t="str">
        <f>VLOOKUP(bron[[#This Row],[personeelsnr]],'data hastus'!$A:$C,2,0)</f>
        <v>Dacic</v>
      </c>
      <c r="D672" t="str">
        <f>VLOOKUP(bron[[#This Row],[personeelsnr]],'data hastus'!$A:$C,3,0)</f>
        <v>Esmir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45770</v>
      </c>
      <c r="U672" s="8" t="s">
        <v>1149</v>
      </c>
      <c r="V672" s="8"/>
      <c r="W672" s="8">
        <v>1</v>
      </c>
      <c r="X672" t="s">
        <v>8</v>
      </c>
      <c r="Y672" t="s">
        <v>279</v>
      </c>
    </row>
    <row r="673" spans="1:25" x14ac:dyDescent="0.3">
      <c r="A673">
        <v>37208</v>
      </c>
      <c r="B673" t="str">
        <f>_xlfn.CONCAT(bron[[#This Row],[personeelsnr]]," ",bron[[#This Row],[achternaam]]," ",bron[[#This Row],[voornaam]])</f>
        <v>37208 Catar Gökhan</v>
      </c>
      <c r="C673" t="str">
        <f>VLOOKUP(bron[[#This Row],[personeelsnr]],'data hastus'!$A:$C,2,0)</f>
        <v>Catar</v>
      </c>
      <c r="D673" t="str">
        <f>VLOOKUP(bron[[#This Row],[personeelsnr]],'data hastus'!$A:$C,3,0)</f>
        <v>Gökhan</v>
      </c>
      <c r="E673" t="str">
        <f>VLOOKUP(bron[[#This Row],[personeelsnr]],'data hastus'!A:K,11,FALSE)</f>
        <v>Kenneth De Rick</v>
      </c>
      <c r="F673" s="10"/>
      <c r="G673" s="7"/>
      <c r="H673" s="7"/>
      <c r="I673" s="7"/>
      <c r="L673" s="5">
        <v>1</v>
      </c>
      <c r="S673" s="5">
        <f>SUM(bron[[#This Row],[Januari]:[December]])</f>
        <v>1</v>
      </c>
      <c r="T673" s="9">
        <v>45815</v>
      </c>
      <c r="U673" s="8" t="s">
        <v>1200</v>
      </c>
      <c r="V673" s="24"/>
      <c r="W673" s="24">
        <v>1</v>
      </c>
      <c r="X673" t="s">
        <v>8</v>
      </c>
      <c r="Y673" t="s">
        <v>10</v>
      </c>
    </row>
    <row r="674" spans="1:25" hidden="1" x14ac:dyDescent="0.3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45661</v>
      </c>
      <c r="U674" t="s">
        <v>1004</v>
      </c>
      <c r="V674" s="8">
        <v>1</v>
      </c>
      <c r="W674"/>
      <c r="X674" t="s">
        <v>3546</v>
      </c>
    </row>
    <row r="675" spans="1:25" hidden="1" x14ac:dyDescent="0.3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45684</v>
      </c>
      <c r="U675" s="8" t="s">
        <v>1030</v>
      </c>
      <c r="V675" s="8">
        <v>1</v>
      </c>
      <c r="W675" s="8"/>
      <c r="X675" t="s">
        <v>3547</v>
      </c>
      <c r="Y675" t="s">
        <v>81</v>
      </c>
    </row>
    <row r="676" spans="1:25" hidden="1" x14ac:dyDescent="0.3">
      <c r="A676">
        <v>36663</v>
      </c>
      <c r="B676" t="str">
        <f>_xlfn.CONCAT(bron[[#This Row],[personeelsnr]]," ",bron[[#This Row],[achternaam]]," ",bron[[#This Row],[voornaam]])</f>
        <v>36663 Cesmeli Achraf</v>
      </c>
      <c r="C676" t="str">
        <f>VLOOKUP(bron[[#This Row],[personeelsnr]],'data hastus'!$A:$C,2,0)</f>
        <v>Cesmeli</v>
      </c>
      <c r="D676" t="str">
        <f>VLOOKUP(bron[[#This Row],[personeelsnr]],'data hastus'!$A:$C,3,0)</f>
        <v>Achraf</v>
      </c>
      <c r="E676" t="str">
        <f>VLOOKUP(bron[[#This Row],[personeelsnr]],'data hastus'!A:K,11,FALSE)</f>
        <v>Dominique De Clercq</v>
      </c>
      <c r="F676" s="10"/>
      <c r="G676" s="6">
        <v>1</v>
      </c>
      <c r="H676" s="6"/>
      <c r="I676" s="6"/>
      <c r="J676"/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45688</v>
      </c>
      <c r="U676" s="8" t="s">
        <v>1037</v>
      </c>
      <c r="V676" s="8">
        <v>1</v>
      </c>
      <c r="W676" s="8"/>
      <c r="X676" t="s">
        <v>3546</v>
      </c>
      <c r="Y676" t="s">
        <v>13</v>
      </c>
    </row>
    <row r="677" spans="1:25" hidden="1" x14ac:dyDescent="0.3">
      <c r="A677">
        <v>36820</v>
      </c>
      <c r="B677" t="str">
        <f>_xlfn.CONCAT(bron[[#This Row],[personeelsnr]]," ",bron[[#This Row],[achternaam]]," ",bron[[#This Row],[voornaam]])</f>
        <v>36820 Haché Philip</v>
      </c>
      <c r="C677" t="str">
        <f>VLOOKUP(bron[[#This Row],[personeelsnr]],'data hastus'!$A:$C,2,0)</f>
        <v>Haché</v>
      </c>
      <c r="D677" t="str">
        <f>VLOOKUP(bron[[#This Row],[personeelsnr]],'data hastus'!$A:$C,3,0)</f>
        <v>Philip</v>
      </c>
      <c r="E677" t="str">
        <f>VLOOKUP(bron[[#This Row],[personeelsnr]],'data hastus'!A:K,11,FALSE)</f>
        <v>Steven Storm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45759</v>
      </c>
      <c r="U677" s="8" t="s">
        <v>1137</v>
      </c>
      <c r="V677" s="8">
        <v>1</v>
      </c>
      <c r="W677" s="8"/>
      <c r="X677" t="s">
        <v>3547</v>
      </c>
      <c r="Y677" t="s">
        <v>514</v>
      </c>
    </row>
    <row r="678" spans="1:25" x14ac:dyDescent="0.3">
      <c r="A678">
        <v>37345</v>
      </c>
      <c r="B678" t="str">
        <f>_xlfn.CONCAT(bron[[#This Row],[personeelsnr]]," ",bron[[#This Row],[achternaam]]," ",bron[[#This Row],[voornaam]])</f>
        <v>37345 Walleyn Renaat</v>
      </c>
      <c r="C678" t="str">
        <f>VLOOKUP(bron[[#This Row],[personeelsnr]],'data hastus'!$A:$C,2,0)</f>
        <v>Walleyn</v>
      </c>
      <c r="D678" t="str">
        <f>VLOOKUP(bron[[#This Row],[personeelsnr]],'data hastus'!$A:$C,3,0)</f>
        <v>Renaat</v>
      </c>
      <c r="E678" t="str">
        <f>VLOOKUP(bron[[#This Row],[personeelsnr]],'data hastus'!A:K,11,FALSE)</f>
        <v>Lucie Vande Velde</v>
      </c>
      <c r="F678" s="10"/>
      <c r="G678" s="7"/>
      <c r="H678" s="7"/>
      <c r="I678" s="7"/>
      <c r="N678" s="5">
        <v>1</v>
      </c>
      <c r="S678" s="5">
        <f>SUM(bron[[#This Row],[Januari]:[December]])</f>
        <v>1</v>
      </c>
      <c r="T678" s="9">
        <v>45874</v>
      </c>
      <c r="U678" s="24" t="s">
        <v>1268</v>
      </c>
      <c r="V678" s="24"/>
      <c r="W678" s="24">
        <v>1</v>
      </c>
      <c r="X678" t="s">
        <v>8</v>
      </c>
      <c r="Y678" t="s">
        <v>10</v>
      </c>
    </row>
    <row r="679" spans="1:25" hidden="1" x14ac:dyDescent="0.3">
      <c r="A679">
        <v>37132</v>
      </c>
      <c r="B679" t="str">
        <f>_xlfn.CONCAT(bron[[#This Row],[personeelsnr]]," ",bron[[#This Row],[achternaam]]," ",bron[[#This Row],[voornaam]])</f>
        <v>37132 Dacic Esmir</v>
      </c>
      <c r="C679" t="str">
        <f>VLOOKUP(bron[[#This Row],[personeelsnr]],'data hastus'!$A:$C,2,0)</f>
        <v>Dacic</v>
      </c>
      <c r="D679" t="str">
        <f>VLOOKUP(bron[[#This Row],[personeelsnr]],'data hastus'!$A:$C,3,0)</f>
        <v>Esmir</v>
      </c>
      <c r="E679" t="str">
        <f>VLOOKUP(bron[[#This Row],[personeelsnr]],'data hastus'!A:K,11,FALSE)</f>
        <v>Dominique De Clercq</v>
      </c>
      <c r="F679" s="10"/>
      <c r="G679" s="7"/>
      <c r="H679" s="7"/>
      <c r="I679" s="7"/>
      <c r="O679" s="5">
        <v>1</v>
      </c>
      <c r="S679" s="5">
        <f>SUM(bron[[#This Row],[Januari]:[December]])</f>
        <v>1</v>
      </c>
      <c r="T679" s="9">
        <v>45907</v>
      </c>
      <c r="U679" s="8" t="s">
        <v>3580</v>
      </c>
      <c r="V679" s="24">
        <v>1</v>
      </c>
      <c r="W679" s="24"/>
      <c r="X679" t="s">
        <v>3547</v>
      </c>
      <c r="Y679" t="s">
        <v>13</v>
      </c>
    </row>
    <row r="680" spans="1:25" hidden="1" x14ac:dyDescent="0.3">
      <c r="A680">
        <v>37179</v>
      </c>
      <c r="B680" t="str">
        <f>_xlfn.CONCAT(bron[[#This Row],[personeelsnr]]," ",bron[[#This Row],[achternaam]]," ",bron[[#This Row],[voornaam]])</f>
        <v>37179 Bashir Muhammad Salman</v>
      </c>
      <c r="C680" t="str">
        <f>VLOOKUP(bron[[#This Row],[personeelsnr]],'data hastus'!$A:$C,2,0)</f>
        <v>Bashir</v>
      </c>
      <c r="D680" t="str">
        <f>VLOOKUP(bron[[#This Row],[personeelsnr]],'data hastus'!$A:$C,3,0)</f>
        <v>Muhammad Salman</v>
      </c>
      <c r="E680" t="str">
        <f>VLOOKUP(bron[[#This Row],[personeelsnr]],'data hastus'!A:K,11,FALSE)</f>
        <v>Bart Van Der Beken</v>
      </c>
      <c r="F680" s="10"/>
      <c r="G680" s="6"/>
      <c r="H680" s="6"/>
      <c r="I680" s="6">
        <v>1</v>
      </c>
      <c r="J680"/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45742</v>
      </c>
      <c r="U680" s="8" t="s">
        <v>1115</v>
      </c>
      <c r="V680" s="8">
        <v>1</v>
      </c>
      <c r="W680" s="8"/>
      <c r="X680" t="s">
        <v>3547</v>
      </c>
      <c r="Y680" t="s">
        <v>48</v>
      </c>
    </row>
    <row r="681" spans="1:25" x14ac:dyDescent="0.3">
      <c r="A681">
        <v>37496</v>
      </c>
      <c r="B681" t="str">
        <f>_xlfn.CONCAT(bron[[#This Row],[personeelsnr]]," ",bron[[#This Row],[achternaam]]," ",bron[[#This Row],[voornaam]])</f>
        <v>37496 Oosterlinck Willy</v>
      </c>
      <c r="C681" t="str">
        <f>VLOOKUP(bron[[#This Row],[personeelsnr]],'data hastus'!$A:$C,2,0)</f>
        <v>Oosterlinck</v>
      </c>
      <c r="D681" t="str">
        <f>VLOOKUP(bron[[#This Row],[personeelsnr]],'data hastus'!$A:$C,3,0)</f>
        <v>Willy</v>
      </c>
      <c r="E681" t="str">
        <f>VLOOKUP(bron[[#This Row],[personeelsnr]],'data hastus'!A:K,11,FALSE)</f>
        <v>Dominique De Clercq</v>
      </c>
      <c r="F681" s="10"/>
      <c r="G681" s="6"/>
      <c r="H681" s="6">
        <v>1</v>
      </c>
      <c r="I681" s="6"/>
      <c r="J681"/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45690</v>
      </c>
      <c r="U681" s="8" t="s">
        <v>1039</v>
      </c>
      <c r="V681" s="8"/>
      <c r="W681" s="8">
        <v>1</v>
      </c>
      <c r="X681" t="s">
        <v>8</v>
      </c>
      <c r="Y681" t="s">
        <v>5</v>
      </c>
    </row>
    <row r="682" spans="1:25" hidden="1" x14ac:dyDescent="0.3">
      <c r="A682">
        <v>37254</v>
      </c>
      <c r="B682" t="str">
        <f>_xlfn.CONCAT(bron[[#This Row],[personeelsnr]]," ",bron[[#This Row],[achternaam]]," ",bron[[#This Row],[voornaam]])</f>
        <v>37254 Coulon Rayan</v>
      </c>
      <c r="C682" t="str">
        <f>VLOOKUP(bron[[#This Row],[personeelsnr]],'data hastus'!$A:$C,2,0)</f>
        <v>Coulon</v>
      </c>
      <c r="D682" t="str">
        <f>VLOOKUP(bron[[#This Row],[personeelsnr]],'data hastus'!$A:$C,3,0)</f>
        <v>Rayan</v>
      </c>
      <c r="E682" t="str">
        <f>VLOOKUP(bron[[#This Row],[personeelsnr]],'data hastus'!A:K,11,FALSE)</f>
        <v>Kenneth De Rick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45876</v>
      </c>
      <c r="U682" s="24" t="s">
        <v>1270</v>
      </c>
      <c r="V682" s="24">
        <v>1</v>
      </c>
      <c r="W682" s="24"/>
      <c r="X682" t="s">
        <v>3547</v>
      </c>
      <c r="Y682" t="s">
        <v>34</v>
      </c>
    </row>
    <row r="683" spans="1:25" hidden="1" x14ac:dyDescent="0.3">
      <c r="A683">
        <v>37258</v>
      </c>
      <c r="B683" t="str">
        <f>_xlfn.CONCAT(bron[[#This Row],[personeelsnr]]," ",bron[[#This Row],[achternaam]]," ",bron[[#This Row],[voornaam]])</f>
        <v>37258 Ouchir Louay</v>
      </c>
      <c r="C683" t="str">
        <f>VLOOKUP(bron[[#This Row],[personeelsnr]],'data hastus'!$A:$C,2,0)</f>
        <v>Ouchir</v>
      </c>
      <c r="D683" t="str">
        <f>VLOOKUP(bron[[#This Row],[personeelsnr]],'data hastus'!$A:$C,3,0)</f>
        <v>Louay</v>
      </c>
      <c r="E683" t="str">
        <f>VLOOKUP(bron[[#This Row],[personeelsnr]],'data hastus'!A:K,11,FALSE)</f>
        <v>Els Vanhoe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45866</v>
      </c>
      <c r="U683" s="8" t="s">
        <v>1260</v>
      </c>
      <c r="V683" s="24">
        <v>1</v>
      </c>
      <c r="W683" s="24"/>
      <c r="X683" t="s">
        <v>3547</v>
      </c>
      <c r="Y683" t="s">
        <v>19</v>
      </c>
    </row>
    <row r="684" spans="1:25" x14ac:dyDescent="0.3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8</v>
      </c>
      <c r="Y684" t="s">
        <v>88</v>
      </c>
    </row>
    <row r="685" spans="1:25" hidden="1" x14ac:dyDescent="0.3">
      <c r="A685">
        <v>37439</v>
      </c>
      <c r="B685" t="str">
        <f>_xlfn.CONCAT(bron[[#This Row],[personeelsnr]]," ",bron[[#This Row],[achternaam]]," ",bron[[#This Row],[voornaam]])</f>
        <v>37439 Demirkazik Mustafa</v>
      </c>
      <c r="C685" t="str">
        <f>VLOOKUP(bron[[#This Row],[personeelsnr]],'data hastus'!$A:$C,2,0)</f>
        <v>Demirkazik</v>
      </c>
      <c r="D685" t="str">
        <f>VLOOKUP(bron[[#This Row],[personeelsnr]],'data hastus'!$A:$C,3,0)</f>
        <v>Mustafa</v>
      </c>
      <c r="E685" t="str">
        <f>VLOOKUP(bron[[#This Row],[personeelsnr]],'data hastus'!A:K,11,FALSE)</f>
        <v>Kenneth De Rick</v>
      </c>
      <c r="F685" s="10"/>
      <c r="G685" s="7"/>
      <c r="H685" s="7"/>
      <c r="I685" s="7"/>
      <c r="M685" s="5">
        <v>1</v>
      </c>
      <c r="S685" s="5">
        <f>SUM(bron[[#This Row],[Januari]:[December]])</f>
        <v>1</v>
      </c>
      <c r="T685" s="9">
        <v>45845</v>
      </c>
      <c r="U685" s="8" t="s">
        <v>1234</v>
      </c>
      <c r="V685" s="24">
        <v>1</v>
      </c>
      <c r="W685" s="24"/>
      <c r="X685" t="s">
        <v>3546</v>
      </c>
      <c r="Y685" t="s">
        <v>106</v>
      </c>
    </row>
    <row r="686" spans="1:25" x14ac:dyDescent="0.3">
      <c r="A686">
        <v>37542</v>
      </c>
      <c r="B686" t="str">
        <f>_xlfn.CONCAT(bron[[#This Row],[personeelsnr]]," ",bron[[#This Row],[achternaam]]," ",bron[[#This Row],[voornaam]])</f>
        <v>37542 De Tandt Hans</v>
      </c>
      <c r="C686" t="str">
        <f>VLOOKUP(bron[[#This Row],[personeelsnr]],'data hastus'!$A:$C,2,0)</f>
        <v>De Tandt</v>
      </c>
      <c r="D686" t="str">
        <f>VLOOKUP(bron[[#This Row],[personeelsnr]],'data hastus'!$A:$C,3,0)</f>
        <v>Hans</v>
      </c>
      <c r="E686" t="str">
        <f>VLOOKUP(bron[[#This Row],[personeelsnr]],'data hastus'!A:K,11,FALSE)</f>
        <v>Bart Van Der Beken</v>
      </c>
      <c r="F686" s="10"/>
      <c r="G686" s="7"/>
      <c r="H686" s="7"/>
      <c r="I686" s="7"/>
      <c r="M686" s="5">
        <v>1</v>
      </c>
      <c r="S686" s="5">
        <f>SUM(bron[[#This Row],[Januari]:[December]])</f>
        <v>1</v>
      </c>
      <c r="T686" s="9">
        <v>45840</v>
      </c>
      <c r="U686" s="8" t="s">
        <v>1224</v>
      </c>
      <c r="V686" s="24"/>
      <c r="W686" s="24">
        <v>1</v>
      </c>
      <c r="X686" t="s">
        <v>8</v>
      </c>
      <c r="Y686" t="s">
        <v>46</v>
      </c>
    </row>
    <row r="687" spans="1:25" x14ac:dyDescent="0.3">
      <c r="A687">
        <v>38634</v>
      </c>
      <c r="B687" t="str">
        <f>_xlfn.CONCAT(bron[[#This Row],[personeelsnr]]," ",bron[[#This Row],[achternaam]]," ",bron[[#This Row],[voornaam]])</f>
        <v>38634 Asskale Zouhir</v>
      </c>
      <c r="C687" t="str">
        <f>VLOOKUP(bron[[#This Row],[personeelsnr]],'data hastus'!$A:$C,2,0)</f>
        <v>Asskale</v>
      </c>
      <c r="D687" t="str">
        <f>VLOOKUP(bron[[#This Row],[personeelsnr]],'data hastus'!$A:$C,3,0)</f>
        <v>Zouhir</v>
      </c>
      <c r="E687" t="str">
        <f>VLOOKUP(bron[[#This Row],[personeelsnr]],'data hastus'!A:K,11,FALSE)</f>
        <v>Bart Van Der Beken</v>
      </c>
      <c r="F687" s="10"/>
      <c r="G687" s="7"/>
      <c r="H687" s="7"/>
      <c r="I687" s="7"/>
      <c r="L687" s="5">
        <v>1</v>
      </c>
      <c r="S687" s="5">
        <f>SUM(bron[[#This Row],[Januari]:[December]])</f>
        <v>1</v>
      </c>
      <c r="T687" s="9">
        <v>45832</v>
      </c>
      <c r="U687" s="8" t="s">
        <v>1216</v>
      </c>
      <c r="V687" s="24"/>
      <c r="W687" s="24">
        <v>1</v>
      </c>
      <c r="X687" t="s">
        <v>8</v>
      </c>
      <c r="Y687" t="s">
        <v>239</v>
      </c>
    </row>
    <row r="688" spans="1:25" hidden="1" x14ac:dyDescent="0.3">
      <c r="A688">
        <v>37509</v>
      </c>
      <c r="B688" t="str">
        <f>_xlfn.CONCAT(bron[[#This Row],[personeelsnr]]," ",bron[[#This Row],[achternaam]]," ",bron[[#This Row],[voornaam]])</f>
        <v>37509 Abdulkader Sabah</v>
      </c>
      <c r="C688" t="str">
        <f>VLOOKUP(bron[[#This Row],[personeelsnr]],'data hastus'!$A:$C,2,0)</f>
        <v>Abdulkader</v>
      </c>
      <c r="D688" t="str">
        <f>VLOOKUP(bron[[#This Row],[personeelsnr]],'data hastus'!$A:$C,3,0)</f>
        <v>Sabah</v>
      </c>
      <c r="E688" t="str">
        <f>VLOOKUP(bron[[#This Row],[personeelsnr]],'data hastus'!A:K,11,FALSE)</f>
        <v>Bart Van Der Beken</v>
      </c>
      <c r="F688" s="10"/>
      <c r="G688" s="6"/>
      <c r="H688" s="6">
        <v>1</v>
      </c>
      <c r="I688" s="6"/>
      <c r="J688"/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45710</v>
      </c>
      <c r="U688" s="8" t="s">
        <v>1073</v>
      </c>
      <c r="V688" s="8">
        <v>1</v>
      </c>
      <c r="W688" s="8"/>
      <c r="X688" t="s">
        <v>3547</v>
      </c>
      <c r="Y688" t="s">
        <v>514</v>
      </c>
    </row>
    <row r="689" spans="1:25" hidden="1" x14ac:dyDescent="0.3">
      <c r="A689">
        <v>37509</v>
      </c>
      <c r="B689" t="str">
        <f>_xlfn.CONCAT(bron[[#This Row],[personeelsnr]]," ",bron[[#This Row],[achternaam]]," ",bron[[#This Row],[voornaam]])</f>
        <v>37509 Abdulkader Sabah</v>
      </c>
      <c r="C689" t="str">
        <f>VLOOKUP(bron[[#This Row],[personeelsnr]],'data hastus'!$A:$C,2,0)</f>
        <v>Abdulkader</v>
      </c>
      <c r="D689" t="str">
        <f>VLOOKUP(bron[[#This Row],[personeelsnr]],'data hastus'!$A:$C,3,0)</f>
        <v>Sabah</v>
      </c>
      <c r="E689" t="str">
        <f>VLOOKUP(bron[[#This Row],[personeelsnr]],'data hastus'!A:K,11,FALSE)</f>
        <v>Bart Van Der Beken</v>
      </c>
      <c r="F689" s="10">
        <v>45706</v>
      </c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/>
      <c r="U689" s="8" t="s">
        <v>1293</v>
      </c>
      <c r="V689" s="8">
        <v>1</v>
      </c>
      <c r="W689" s="8"/>
      <c r="X689" t="s">
        <v>7</v>
      </c>
      <c r="Y689" t="s">
        <v>1294</v>
      </c>
    </row>
    <row r="690" spans="1:25" x14ac:dyDescent="0.3">
      <c r="A690">
        <v>38648</v>
      </c>
      <c r="B690" t="str">
        <f>_xlfn.CONCAT(bron[[#This Row],[personeelsnr]]," ",bron[[#This Row],[achternaam]]," ",bron[[#This Row],[voornaam]])</f>
        <v>38648 Uckuyulu Muhammet Emin</v>
      </c>
      <c r="C690" t="str">
        <f>VLOOKUP(bron[[#This Row],[personeelsnr]],'data hastus'!$A:$C,2,0)</f>
        <v>Uckuyulu</v>
      </c>
      <c r="D690" t="str">
        <f>VLOOKUP(bron[[#This Row],[personeelsnr]],'data hastus'!$A:$C,3,0)</f>
        <v>Muhammet Emin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45798</v>
      </c>
      <c r="U690" s="8" t="s">
        <v>1178</v>
      </c>
      <c r="V690" s="8"/>
      <c r="W690" s="8">
        <v>1</v>
      </c>
      <c r="X690" t="s">
        <v>8</v>
      </c>
      <c r="Y690" t="s">
        <v>173</v>
      </c>
    </row>
    <row r="691" spans="1:25" hidden="1" x14ac:dyDescent="0.3">
      <c r="A691">
        <v>37543</v>
      </c>
      <c r="B691" t="str">
        <f>_xlfn.CONCAT(bron[[#This Row],[personeelsnr]]," ",bron[[#This Row],[achternaam]]," ",bron[[#This Row],[voornaam]])</f>
        <v>37543 Öztürk Bilgehan</v>
      </c>
      <c r="C691" t="str">
        <f>VLOOKUP(bron[[#This Row],[personeelsnr]],'data hastus'!$A:$C,2,0)</f>
        <v>Öztürk</v>
      </c>
      <c r="D691" t="str">
        <f>VLOOKUP(bron[[#This Row],[personeelsnr]],'data hastus'!$A:$C,3,0)</f>
        <v>Bilgehan</v>
      </c>
      <c r="E691" t="str">
        <f>VLOOKUP(bron[[#This Row],[personeelsnr]],'data hastus'!A:K,11,FALSE)</f>
        <v>Kenneth De Rick</v>
      </c>
      <c r="F691" s="10">
        <v>45703</v>
      </c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/>
      <c r="U691" s="8" t="s">
        <v>1319</v>
      </c>
      <c r="V691" s="8">
        <v>1</v>
      </c>
      <c r="W691" s="8"/>
      <c r="X691" t="s">
        <v>7</v>
      </c>
      <c r="Y691" t="s">
        <v>106</v>
      </c>
    </row>
    <row r="692" spans="1:25" hidden="1" x14ac:dyDescent="0.3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>
        <v>1</v>
      </c>
      <c r="I692" s="6"/>
      <c r="J692"/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45702</v>
      </c>
      <c r="U692" s="8" t="s">
        <v>1057</v>
      </c>
      <c r="V692" s="8">
        <v>1</v>
      </c>
      <c r="W692" s="8"/>
      <c r="X692" t="s">
        <v>3545</v>
      </c>
      <c r="Y692" t="s">
        <v>217</v>
      </c>
    </row>
    <row r="693" spans="1:25" hidden="1" x14ac:dyDescent="0.3">
      <c r="A693">
        <v>37662</v>
      </c>
      <c r="B693" t="str">
        <f>_xlfn.CONCAT(bron[[#This Row],[personeelsnr]]," ",bron[[#This Row],[achternaam]]," ",bron[[#This Row],[voornaam]])</f>
        <v>37662 Van den Meerssche Steven</v>
      </c>
      <c r="C693" t="str">
        <f>VLOOKUP(bron[[#This Row],[personeelsnr]],'data hastus'!$A:$C,2,0)</f>
        <v>Van den Meerssche</v>
      </c>
      <c r="D693" t="str">
        <f>VLOOKUP(bron[[#This Row],[personeelsnr]],'data hastus'!$A:$C,3,0)</f>
        <v>Steven</v>
      </c>
      <c r="E693" t="str">
        <f>VLOOKUP(bron[[#This Row],[personeelsnr]],'data hastus'!A:K,11,FALSE)</f>
        <v>Bart Van Der Beken</v>
      </c>
      <c r="F693" s="10"/>
      <c r="G693" s="6"/>
      <c r="H693" s="6"/>
      <c r="I693" s="6">
        <v>1</v>
      </c>
      <c r="J693"/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45729</v>
      </c>
      <c r="U693" s="8" t="s">
        <v>1102</v>
      </c>
      <c r="V693" s="8">
        <v>1</v>
      </c>
      <c r="W693" s="8"/>
      <c r="X693" t="s">
        <v>3546</v>
      </c>
      <c r="Y693" t="s">
        <v>123</v>
      </c>
    </row>
    <row r="694" spans="1:25" hidden="1" x14ac:dyDescent="0.3">
      <c r="A694">
        <v>37662</v>
      </c>
      <c r="B694" t="str">
        <f>_xlfn.CONCAT(bron[[#This Row],[personeelsnr]]," ",bron[[#This Row],[achternaam]]," ",bron[[#This Row],[voornaam]])</f>
        <v>37662 Van den Meerssche Steven</v>
      </c>
      <c r="C694" t="str">
        <f>VLOOKUP(bron[[#This Row],[personeelsnr]],'data hastus'!$A:$C,2,0)</f>
        <v>Van den Meerssche</v>
      </c>
      <c r="D694" t="str">
        <f>VLOOKUP(bron[[#This Row],[personeelsnr]],'data hastus'!$A:$C,3,0)</f>
        <v>Steven</v>
      </c>
      <c r="E694" t="str">
        <f>VLOOKUP(bron[[#This Row],[personeelsnr]],'data hastus'!A:K,11,FALSE)</f>
        <v>Bart Van Der Beken</v>
      </c>
      <c r="F694" s="10">
        <v>45783</v>
      </c>
      <c r="G694" s="6"/>
      <c r="H694" s="6"/>
      <c r="I694" s="6"/>
      <c r="J694"/>
      <c r="K694">
        <v>1</v>
      </c>
      <c r="L694"/>
      <c r="M694"/>
      <c r="N694"/>
      <c r="O694"/>
      <c r="P694"/>
      <c r="Q694"/>
      <c r="R694"/>
      <c r="S694">
        <f>SUM(bron[[#This Row],[Januari]:[December]])</f>
        <v>1</v>
      </c>
      <c r="T694" s="3"/>
      <c r="U694" s="8" t="s">
        <v>1295</v>
      </c>
      <c r="V694" s="8">
        <v>1</v>
      </c>
      <c r="W694" s="8"/>
      <c r="X694" t="s">
        <v>7</v>
      </c>
      <c r="Y694" t="s">
        <v>34</v>
      </c>
    </row>
    <row r="695" spans="1:25" hidden="1" x14ac:dyDescent="0.3">
      <c r="A695">
        <v>37744</v>
      </c>
      <c r="B695" t="str">
        <f>_xlfn.CONCAT(bron[[#This Row],[personeelsnr]]," ",bron[[#This Row],[achternaam]]," ",bron[[#This Row],[voornaam]])</f>
        <v>37744 De Lange Frank</v>
      </c>
      <c r="C695" t="str">
        <f>VLOOKUP(bron[[#This Row],[personeelsnr]],'data hastus'!$A:$C,2,0)</f>
        <v>De Lange</v>
      </c>
      <c r="D695" t="str">
        <f>VLOOKUP(bron[[#This Row],[personeelsnr]],'data hastus'!$A:$C,3,0)</f>
        <v>Frank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45765</v>
      </c>
      <c r="U695" s="8" t="s">
        <v>1140</v>
      </c>
      <c r="V695" s="8">
        <v>1</v>
      </c>
      <c r="W695" s="8"/>
      <c r="X695" t="s">
        <v>3545</v>
      </c>
      <c r="Y695" t="s">
        <v>86</v>
      </c>
    </row>
    <row r="696" spans="1:25" hidden="1" x14ac:dyDescent="0.3">
      <c r="A696">
        <v>37809</v>
      </c>
      <c r="B696" t="str">
        <f>_xlfn.CONCAT(bron[[#This Row],[personeelsnr]]," ",bron[[#This Row],[achternaam]]," ",bron[[#This Row],[voornaam]])</f>
        <v>37809 Sturtewagen Kenny</v>
      </c>
      <c r="C696" t="str">
        <f>VLOOKUP(bron[[#This Row],[personeelsnr]],'data hastus'!$A:$C,2,0)</f>
        <v>Sturtewagen</v>
      </c>
      <c r="D696" t="str">
        <f>VLOOKUP(bron[[#This Row],[personeelsnr]],'data hastus'!$A:$C,3,0)</f>
        <v>Kenny</v>
      </c>
      <c r="E696" t="str">
        <f>VLOOKUP(bron[[#This Row],[personeelsnr]],'data hastus'!A:K,11,FALSE)</f>
        <v>Steven Storm</v>
      </c>
      <c r="F696" s="10"/>
      <c r="G696" s="6"/>
      <c r="H696" s="6"/>
      <c r="I696" s="6">
        <v>1</v>
      </c>
      <c r="J696"/>
      <c r="K696"/>
      <c r="L696"/>
      <c r="M696"/>
      <c r="N696"/>
      <c r="O696"/>
      <c r="P696"/>
      <c r="Q696"/>
      <c r="R696"/>
      <c r="S696">
        <f>SUM(bron[[#This Row],[Januari]:[December]])</f>
        <v>1</v>
      </c>
      <c r="T696" s="3">
        <v>45740</v>
      </c>
      <c r="U696" s="8" t="s">
        <v>1114</v>
      </c>
      <c r="V696" s="8">
        <v>1</v>
      </c>
      <c r="W696" s="8"/>
      <c r="X696" t="s">
        <v>3545</v>
      </c>
      <c r="Y696" t="s">
        <v>22</v>
      </c>
    </row>
    <row r="697" spans="1:25" hidden="1" x14ac:dyDescent="0.3">
      <c r="A697">
        <v>37908</v>
      </c>
      <c r="B697" t="str">
        <f>_xlfn.CONCAT(bron[[#This Row],[personeelsnr]]," ",bron[[#This Row],[achternaam]]," ",bron[[#This Row],[voornaam]])</f>
        <v>37908 Vandenberghe Michael</v>
      </c>
      <c r="C697" t="str">
        <f>VLOOKUP(bron[[#This Row],[personeelsnr]],'data hastus'!$A:$C,2,0)</f>
        <v>Vandenberghe</v>
      </c>
      <c r="D697" t="str">
        <f>VLOOKUP(bron[[#This Row],[personeelsnr]],'data hastus'!$A:$C,3,0)</f>
        <v>Michael</v>
      </c>
      <c r="E697" t="str">
        <f>VLOOKUP(bron[[#This Row],[personeelsnr]],'data hastus'!A:K,11,FALSE)</f>
        <v>Steven Storm</v>
      </c>
      <c r="F697" s="10"/>
      <c r="G697" s="6"/>
      <c r="H697" s="6"/>
      <c r="I697" s="6"/>
      <c r="J697" s="11">
        <v>1</v>
      </c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45777</v>
      </c>
      <c r="U697" s="8" t="s">
        <v>1160</v>
      </c>
      <c r="V697" s="8">
        <v>1</v>
      </c>
      <c r="W697" s="8"/>
      <c r="X697" t="s">
        <v>3545</v>
      </c>
      <c r="Y697" t="s">
        <v>25</v>
      </c>
    </row>
    <row r="698" spans="1:25" hidden="1" x14ac:dyDescent="0.3">
      <c r="A698">
        <v>37936</v>
      </c>
      <c r="B698" t="str">
        <f>_xlfn.CONCAT(bron[[#This Row],[personeelsnr]]," ",bron[[#This Row],[achternaam]]," ",bron[[#This Row],[voornaam]])</f>
        <v>37936 Detaeye Alexander</v>
      </c>
      <c r="C698" t="str">
        <f>VLOOKUP(bron[[#This Row],[personeelsnr]],'data hastus'!$A:$C,2,0)</f>
        <v>Detaeye</v>
      </c>
      <c r="D698" t="str">
        <f>VLOOKUP(bron[[#This Row],[personeelsnr]],'data hastus'!$A:$C,3,0)</f>
        <v>Alexander</v>
      </c>
      <c r="E698" t="str">
        <f>VLOOKUP(bron[[#This Row],[personeelsnr]],'data hastus'!A:K,11,FALSE)</f>
        <v>Steven Storm</v>
      </c>
      <c r="F698" s="10"/>
      <c r="G698" s="7"/>
      <c r="H698" s="7"/>
      <c r="I698" s="7"/>
      <c r="M698" s="5">
        <v>1</v>
      </c>
      <c r="S698" s="5">
        <f>SUM(bron[[#This Row],[Januari]:[December]])</f>
        <v>1</v>
      </c>
      <c r="T698" s="9">
        <v>45851</v>
      </c>
      <c r="U698" s="8" t="s">
        <v>1245</v>
      </c>
      <c r="V698" s="24">
        <v>1</v>
      </c>
      <c r="W698" s="24"/>
      <c r="X698" t="s">
        <v>3546</v>
      </c>
      <c r="Y698" t="s">
        <v>229</v>
      </c>
    </row>
    <row r="699" spans="1:25" hidden="1" x14ac:dyDescent="0.3">
      <c r="A699">
        <v>37950</v>
      </c>
      <c r="B699" t="str">
        <f>_xlfn.CONCAT(bron[[#This Row],[personeelsnr]]," ",bron[[#This Row],[achternaam]]," ",bron[[#This Row],[voornaam]])</f>
        <v>37950 De Naegel Bruno</v>
      </c>
      <c r="C699" t="str">
        <f>VLOOKUP(bron[[#This Row],[personeelsnr]],'data hastus'!$A:$C,2,0)</f>
        <v>De Naegel</v>
      </c>
      <c r="D699" t="str">
        <f>VLOOKUP(bron[[#This Row],[personeelsnr]],'data hastus'!$A:$C,3,0)</f>
        <v>Bruno</v>
      </c>
      <c r="E699" t="str">
        <f>VLOOKUP(bron[[#This Row],[personeelsnr]],'data hastus'!A:K,11,FALSE)</f>
        <v>Dominique De Clercq</v>
      </c>
      <c r="F699" s="10"/>
      <c r="G699" s="6">
        <v>1</v>
      </c>
      <c r="H699" s="6"/>
      <c r="I699" s="6"/>
      <c r="J699"/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45665</v>
      </c>
      <c r="U699" s="8" t="s">
        <v>1005</v>
      </c>
      <c r="V699" s="8">
        <v>1</v>
      </c>
      <c r="W699" s="8"/>
      <c r="X699" t="s">
        <v>3546</v>
      </c>
      <c r="Y699" t="s">
        <v>117</v>
      </c>
    </row>
    <row r="700" spans="1:25" hidden="1" x14ac:dyDescent="0.3">
      <c r="A700">
        <v>38035</v>
      </c>
      <c r="B700" t="str">
        <f>_xlfn.CONCAT(bron[[#This Row],[personeelsnr]]," ",bron[[#This Row],[achternaam]]," ",bron[[#This Row],[voornaam]])</f>
        <v>38035 Simsek Isa</v>
      </c>
      <c r="C700" t="str">
        <f>VLOOKUP(bron[[#This Row],[personeelsnr]],'data hastus'!$A:$C,2,0)</f>
        <v>Simsek</v>
      </c>
      <c r="D700" t="str">
        <f>VLOOKUP(bron[[#This Row],[personeelsnr]],'data hastus'!$A:$C,3,0)</f>
        <v>Isa</v>
      </c>
      <c r="E700" t="str">
        <f>VLOOKUP(bron[[#This Row],[personeelsnr]],'data hastus'!A:K,11,FALSE)</f>
        <v>Bart Van Der Beken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45756</v>
      </c>
      <c r="U700" s="8" t="s">
        <v>1129</v>
      </c>
      <c r="V700" s="8">
        <v>1</v>
      </c>
      <c r="W700" s="8"/>
      <c r="X700" t="s">
        <v>3546</v>
      </c>
      <c r="Y700" t="s">
        <v>22</v>
      </c>
    </row>
    <row r="701" spans="1:25" hidden="1" x14ac:dyDescent="0.3">
      <c r="A701">
        <v>38475</v>
      </c>
      <c r="B701" t="str">
        <f>_xlfn.CONCAT(bron[[#This Row],[personeelsnr]]," ",bron[[#This Row],[achternaam]]," ",bron[[#This Row],[voornaam]])</f>
        <v>38475 Verschraegen Katleen</v>
      </c>
      <c r="C701" t="str">
        <f>VLOOKUP(bron[[#This Row],[personeelsnr]],'data hastus'!$A:$C,2,0)</f>
        <v>Verschraegen</v>
      </c>
      <c r="D701" t="str">
        <f>VLOOKUP(bron[[#This Row],[personeelsnr]],'data hastus'!$A:$C,3,0)</f>
        <v>Katleen</v>
      </c>
      <c r="E701" t="str">
        <f>VLOOKUP(bron[[#This Row],[personeelsnr]],'data hastus'!A:K,11,FALSE)</f>
        <v>Els Dewulf</v>
      </c>
      <c r="F701" s="10"/>
      <c r="G701" s="6"/>
      <c r="H701" s="6"/>
      <c r="I701" s="6"/>
      <c r="J701">
        <v>1</v>
      </c>
      <c r="K701"/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45771</v>
      </c>
      <c r="U701" s="8" t="s">
        <v>1151</v>
      </c>
      <c r="V701" s="8">
        <v>1</v>
      </c>
      <c r="W701" s="8"/>
      <c r="X701" t="s">
        <v>3546</v>
      </c>
      <c r="Y701" t="s">
        <v>197</v>
      </c>
    </row>
    <row r="702" spans="1:25" hidden="1" x14ac:dyDescent="0.3">
      <c r="A702">
        <v>38475</v>
      </c>
      <c r="B702" t="str">
        <f>_xlfn.CONCAT(bron[[#This Row],[personeelsnr]]," ",bron[[#This Row],[achternaam]]," ",bron[[#This Row],[voornaam]])</f>
        <v>38475 Verschraegen Katleen</v>
      </c>
      <c r="C702" t="str">
        <f>VLOOKUP(bron[[#This Row],[personeelsnr]],'data hastus'!$A:$C,2,0)</f>
        <v>Verschraegen</v>
      </c>
      <c r="D702" t="str">
        <f>VLOOKUP(bron[[#This Row],[personeelsnr]],'data hastus'!$A:$C,3,0)</f>
        <v>Katleen</v>
      </c>
      <c r="E702" t="str">
        <f>VLOOKUP(bron[[#This Row],[personeelsnr]],'data hastus'!A:K,11,FALSE)</f>
        <v>Els Dewulf</v>
      </c>
      <c r="F702" s="10"/>
      <c r="G702" s="6"/>
      <c r="H702" s="6"/>
      <c r="I702" s="6"/>
      <c r="J702">
        <v>1</v>
      </c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45775</v>
      </c>
      <c r="U702" s="8" t="s">
        <v>1157</v>
      </c>
      <c r="V702" s="8">
        <v>1</v>
      </c>
      <c r="W702" s="8"/>
      <c r="X702" t="s">
        <v>3546</v>
      </c>
      <c r="Y702" t="s">
        <v>84</v>
      </c>
    </row>
    <row r="703" spans="1:25" hidden="1" x14ac:dyDescent="0.3">
      <c r="A703">
        <v>38481</v>
      </c>
      <c r="B703" t="str">
        <f>_xlfn.CONCAT(bron[[#This Row],[personeelsnr]]," ",bron[[#This Row],[achternaam]]," ",bron[[#This Row],[voornaam]])</f>
        <v>38481 Sari Devrim</v>
      </c>
      <c r="C703" t="str">
        <f>VLOOKUP(bron[[#This Row],[personeelsnr]],'data hastus'!$A:$C,2,0)</f>
        <v>Sari</v>
      </c>
      <c r="D703" t="str">
        <f>VLOOKUP(bron[[#This Row],[personeelsnr]],'data hastus'!$A:$C,3,0)</f>
        <v>Devrim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45812</v>
      </c>
      <c r="U703" s="8" t="s">
        <v>1196</v>
      </c>
      <c r="V703" s="24">
        <v>1</v>
      </c>
      <c r="W703" s="24"/>
      <c r="X703" t="s">
        <v>3546</v>
      </c>
      <c r="Y703" t="s">
        <v>247</v>
      </c>
    </row>
    <row r="704" spans="1:25" hidden="1" x14ac:dyDescent="0.3">
      <c r="A704">
        <v>38580</v>
      </c>
      <c r="B704" t="str">
        <f>_xlfn.CONCAT(bron[[#This Row],[personeelsnr]]," ",bron[[#This Row],[achternaam]]," ",bron[[#This Row],[voornaam]])</f>
        <v>38580 Smajla Samet</v>
      </c>
      <c r="C704" t="str">
        <f>VLOOKUP(bron[[#This Row],[personeelsnr]],'data hastus'!$A:$C,2,0)</f>
        <v>Smajla</v>
      </c>
      <c r="D704" t="str">
        <f>VLOOKUP(bron[[#This Row],[personeelsnr]],'data hastus'!$A:$C,3,0)</f>
        <v>Samet</v>
      </c>
      <c r="E704" t="str">
        <f>VLOOKUP(bron[[#This Row],[personeelsnr]],'data hastus'!A:K,11,FALSE)</f>
        <v>Els Dewulf</v>
      </c>
      <c r="F704" s="10"/>
      <c r="G704" s="6"/>
      <c r="H704" s="6"/>
      <c r="I704" s="6">
        <v>1</v>
      </c>
      <c r="J704"/>
      <c r="K704"/>
      <c r="L704"/>
      <c r="M704"/>
      <c r="N704"/>
      <c r="O704"/>
      <c r="P704"/>
      <c r="Q704"/>
      <c r="R704"/>
      <c r="S704">
        <f>SUM(bron[[#This Row],[Januari]:[December]])</f>
        <v>1</v>
      </c>
      <c r="T704" s="3">
        <v>45742</v>
      </c>
      <c r="U704" s="8" t="s">
        <v>1116</v>
      </c>
      <c r="V704" s="8">
        <v>1</v>
      </c>
      <c r="W704" s="8"/>
      <c r="X704" t="s">
        <v>3545</v>
      </c>
      <c r="Y704" t="s">
        <v>106</v>
      </c>
    </row>
    <row r="705" spans="1:25" hidden="1" x14ac:dyDescent="0.3">
      <c r="A705">
        <v>38633</v>
      </c>
      <c r="B705" t="str">
        <f>_xlfn.CONCAT(bron[[#This Row],[personeelsnr]]," ",bron[[#This Row],[achternaam]]," ",bron[[#This Row],[voornaam]])</f>
        <v>38633 Stomphorst Mattanja</v>
      </c>
      <c r="C705" t="str">
        <f>VLOOKUP(bron[[#This Row],[personeelsnr]],'data hastus'!$A:$C,2,0)</f>
        <v>Stomphorst</v>
      </c>
      <c r="D705" t="str">
        <f>VLOOKUP(bron[[#This Row],[personeelsnr]],'data hastus'!$A:$C,3,0)</f>
        <v>Mattanja</v>
      </c>
      <c r="E705" t="str">
        <f>VLOOKUP(bron[[#This Row],[personeelsnr]],'data hastus'!A:K,11,FALSE)</f>
        <v>Els Dewulf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45831</v>
      </c>
      <c r="U705" s="8" t="s">
        <v>1215</v>
      </c>
      <c r="V705" s="24">
        <v>1</v>
      </c>
      <c r="W705" s="24"/>
      <c r="X705" t="s">
        <v>3545</v>
      </c>
      <c r="Y705" t="s">
        <v>28</v>
      </c>
    </row>
    <row r="706" spans="1:25" x14ac:dyDescent="0.3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M706" s="5">
        <v>1</v>
      </c>
      <c r="S706" s="5">
        <f>SUM(bron[[#This Row],[Januari]:[December]])</f>
        <v>1</v>
      </c>
      <c r="T706" s="9">
        <v>45840</v>
      </c>
      <c r="U706" s="8" t="s">
        <v>1225</v>
      </c>
      <c r="V706" s="24"/>
      <c r="W706" s="24">
        <v>1</v>
      </c>
      <c r="X706" t="s">
        <v>8</v>
      </c>
      <c r="Y706" t="s">
        <v>5</v>
      </c>
    </row>
    <row r="707" spans="1:25" x14ac:dyDescent="0.3">
      <c r="A707">
        <v>38740</v>
      </c>
      <c r="B707" t="str">
        <f>_xlfn.CONCAT(bron[[#This Row],[personeelsnr]]," ",bron[[#This Row],[achternaam]]," ",bron[[#This Row],[voornaam]])</f>
        <v>38740 Meskens Anthony</v>
      </c>
      <c r="C707" t="str">
        <f>VLOOKUP(bron[[#This Row],[personeelsnr]],'data hastus'!$A:$C,2,0)</f>
        <v>Meskens</v>
      </c>
      <c r="D707" t="str">
        <f>VLOOKUP(bron[[#This Row],[personeelsnr]],'data hastus'!$A:$C,3,0)</f>
        <v>Anthony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N707" s="5">
        <v>1</v>
      </c>
      <c r="S707" s="5">
        <f>SUM(bron[[#This Row],[Januari]:[December]])</f>
        <v>1</v>
      </c>
      <c r="T707" s="9">
        <v>45879</v>
      </c>
      <c r="U707" s="24" t="s">
        <v>1272</v>
      </c>
      <c r="V707" s="24"/>
      <c r="W707" s="24">
        <v>1</v>
      </c>
      <c r="X707" t="s">
        <v>8</v>
      </c>
      <c r="Y707" t="s">
        <v>5</v>
      </c>
    </row>
    <row r="708" spans="1:25" x14ac:dyDescent="0.3">
      <c r="A708">
        <v>38938</v>
      </c>
      <c r="B708" t="str">
        <f>_xlfn.CONCAT(bron[[#This Row],[personeelsnr]]," ",bron[[#This Row],[achternaam]]," ",bron[[#This Row],[voornaam]])</f>
        <v>38938 Sedighi Hamid</v>
      </c>
      <c r="C708" t="str">
        <f>VLOOKUP(bron[[#This Row],[personeelsnr]],'data hastus'!$A:$C,2,0)</f>
        <v>Sedighi</v>
      </c>
      <c r="D708" t="str">
        <f>VLOOKUP(bron[[#This Row],[personeelsnr]],'data hastus'!$A:$C,3,0)</f>
        <v>Hamid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>
        <v>1</v>
      </c>
      <c r="K708"/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45765</v>
      </c>
      <c r="U708" s="8" t="s">
        <v>1142</v>
      </c>
      <c r="V708" s="8"/>
      <c r="W708" s="8">
        <v>1</v>
      </c>
      <c r="X708" t="s">
        <v>8</v>
      </c>
      <c r="Y708" t="s">
        <v>88</v>
      </c>
    </row>
    <row r="709" spans="1:25" hidden="1" x14ac:dyDescent="0.3">
      <c r="A709">
        <v>38731</v>
      </c>
      <c r="B709" t="str">
        <f>_xlfn.CONCAT(bron[[#This Row],[personeelsnr]]," ",bron[[#This Row],[achternaam]]," ",bron[[#This Row],[voornaam]])</f>
        <v>38731 Ben Sidhom Samir</v>
      </c>
      <c r="C709" t="str">
        <f>VLOOKUP(bron[[#This Row],[personeelsnr]],'data hastus'!$A:$C,2,0)</f>
        <v>Ben Sidhom</v>
      </c>
      <c r="D709" t="str">
        <f>VLOOKUP(bron[[#This Row],[personeelsnr]],'data hastus'!$A:$C,3,0)</f>
        <v>Samir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45782</v>
      </c>
      <c r="U709" s="8" t="s">
        <v>1165</v>
      </c>
      <c r="V709" s="8">
        <v>1</v>
      </c>
      <c r="W709" s="8"/>
      <c r="X709" t="s">
        <v>3547</v>
      </c>
      <c r="Y709" t="s">
        <v>13</v>
      </c>
    </row>
    <row r="710" spans="1:25" x14ac:dyDescent="0.3">
      <c r="A710">
        <v>39267</v>
      </c>
      <c r="B710" t="str">
        <f>_xlfn.CONCAT(bron[[#This Row],[personeelsnr]]," ",bron[[#This Row],[achternaam]]," ",bron[[#This Row],[voornaam]])</f>
        <v>39267 Van Holsbeeck Jens</v>
      </c>
      <c r="C710" t="str">
        <f>VLOOKUP(bron[[#This Row],[personeelsnr]],'data hastus'!$A:$C,2,0)</f>
        <v>Van Holsbeeck</v>
      </c>
      <c r="D710" t="str">
        <f>VLOOKUP(bron[[#This Row],[personeelsnr]],'data hastus'!$A:$C,3,0)</f>
        <v>Jens</v>
      </c>
      <c r="E710" t="str">
        <f>VLOOKUP(bron[[#This Row],[personeelsnr]],'data hastus'!A:K,11,FALSE)</f>
        <v>Christoff Rotty</v>
      </c>
      <c r="F710" s="10"/>
      <c r="G710" s="6"/>
      <c r="H710" s="6">
        <v>1</v>
      </c>
      <c r="I710" s="6"/>
      <c r="J710"/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45700</v>
      </c>
      <c r="U710" s="8" t="s">
        <v>1055</v>
      </c>
      <c r="V710" s="8"/>
      <c r="W710" s="8">
        <v>1</v>
      </c>
      <c r="X710" t="s">
        <v>8</v>
      </c>
      <c r="Y710" t="s">
        <v>81</v>
      </c>
    </row>
    <row r="711" spans="1:25" hidden="1" x14ac:dyDescent="0.3">
      <c r="A711">
        <v>38740</v>
      </c>
      <c r="B711" t="str">
        <f>_xlfn.CONCAT(bron[[#This Row],[personeelsnr]]," ",bron[[#This Row],[achternaam]]," ",bron[[#This Row],[voornaam]])</f>
        <v>38740 Meskens Anthony</v>
      </c>
      <c r="C711" t="str">
        <f>VLOOKUP(bron[[#This Row],[personeelsnr]],'data hastus'!$A:$C,2,0)</f>
        <v>Meskens</v>
      </c>
      <c r="D711" t="str">
        <f>VLOOKUP(bron[[#This Row],[personeelsnr]],'data hastus'!$A:$C,3,0)</f>
        <v>Anthony</v>
      </c>
      <c r="E711" t="str">
        <f>VLOOKUP(bron[[#This Row],[personeelsnr]],'data hastus'!A:K,11,FALSE)</f>
        <v>Christoff Rotty</v>
      </c>
      <c r="F711" s="10">
        <v>45777</v>
      </c>
      <c r="G711" s="6"/>
      <c r="H711" s="6"/>
      <c r="I711" s="6"/>
      <c r="J711">
        <v>1</v>
      </c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/>
      <c r="U711" s="8" t="s">
        <v>1301</v>
      </c>
      <c r="V711" s="8"/>
      <c r="W711" s="8">
        <v>1</v>
      </c>
      <c r="X711" t="s">
        <v>8</v>
      </c>
      <c r="Y711" t="s">
        <v>859</v>
      </c>
    </row>
    <row r="712" spans="1:25" hidden="1" x14ac:dyDescent="0.3">
      <c r="A712">
        <v>38807</v>
      </c>
      <c r="B712" t="str">
        <f>_xlfn.CONCAT(bron[[#This Row],[personeelsnr]]," ",bron[[#This Row],[achternaam]]," ",bron[[#This Row],[voornaam]])</f>
        <v>38807 Dossche Caroline</v>
      </c>
      <c r="C712" t="str">
        <f>VLOOKUP(bron[[#This Row],[personeelsnr]],'data hastus'!$A:$C,2,0)</f>
        <v>Dossche</v>
      </c>
      <c r="D712" t="str">
        <f>VLOOKUP(bron[[#This Row],[personeelsnr]],'data hastus'!$A:$C,3,0)</f>
        <v>Caroline</v>
      </c>
      <c r="E712" t="str">
        <f>VLOOKUP(bron[[#This Row],[personeelsnr]],'data hastus'!A:K,11,FALSE)</f>
        <v>Christoff Rotty</v>
      </c>
      <c r="F712" s="10"/>
      <c r="G712" s="6"/>
      <c r="H712" s="6"/>
      <c r="I712" s="6">
        <v>1</v>
      </c>
      <c r="J712"/>
      <c r="K712"/>
      <c r="L712"/>
      <c r="M712"/>
      <c r="N712"/>
      <c r="O712"/>
      <c r="P712"/>
      <c r="Q712"/>
      <c r="R712"/>
      <c r="S712">
        <f>SUM(bron[[#This Row],[Januari]:[December]])</f>
        <v>1</v>
      </c>
      <c r="T712" s="3">
        <v>45718</v>
      </c>
      <c r="U712" s="8" t="s">
        <v>1086</v>
      </c>
      <c r="V712" s="8">
        <v>1</v>
      </c>
      <c r="W712" s="8"/>
      <c r="X712" t="s">
        <v>3546</v>
      </c>
      <c r="Y712" t="s">
        <v>78</v>
      </c>
    </row>
    <row r="713" spans="1:25" hidden="1" x14ac:dyDescent="0.3">
      <c r="A713">
        <v>38807</v>
      </c>
      <c r="B713" t="str">
        <f>_xlfn.CONCAT(bron[[#This Row],[personeelsnr]]," ",bron[[#This Row],[achternaam]]," ",bron[[#This Row],[voornaam]])</f>
        <v>38807 Dossche Caroline</v>
      </c>
      <c r="C713" t="str">
        <f>VLOOKUP(bron[[#This Row],[personeelsnr]],'data hastus'!$A:$C,2,0)</f>
        <v>Dossche</v>
      </c>
      <c r="D713" t="str">
        <f>VLOOKUP(bron[[#This Row],[personeelsnr]],'data hastus'!$A:$C,3,0)</f>
        <v>Caroline</v>
      </c>
      <c r="E713" t="str">
        <f>VLOOKUP(bron[[#This Row],[personeelsnr]],'data hastus'!A:K,11,FALSE)</f>
        <v>Christoff Rotty</v>
      </c>
      <c r="F713" s="10"/>
      <c r="G713" s="6"/>
      <c r="H713" s="6"/>
      <c r="I713" s="6"/>
      <c r="J713">
        <v>1</v>
      </c>
      <c r="K713"/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45750</v>
      </c>
      <c r="U713" s="8" t="s">
        <v>1124</v>
      </c>
      <c r="V713" s="8">
        <v>1</v>
      </c>
      <c r="W713" s="8"/>
      <c r="X713" t="s">
        <v>3547</v>
      </c>
      <c r="Y713" t="s">
        <v>40</v>
      </c>
    </row>
    <row r="714" spans="1:25" hidden="1" x14ac:dyDescent="0.3">
      <c r="A714">
        <v>38808</v>
      </c>
      <c r="B714" t="str">
        <f>_xlfn.CONCAT(bron[[#This Row],[personeelsnr]]," ",bron[[#This Row],[achternaam]]," ",bron[[#This Row],[voornaam]])</f>
        <v>38808 Wasen Jens</v>
      </c>
      <c r="C714" t="str">
        <f>VLOOKUP(bron[[#This Row],[personeelsnr]],'data hastus'!$A:$C,2,0)</f>
        <v>Wasen</v>
      </c>
      <c r="D714" t="str">
        <f>VLOOKUP(bron[[#This Row],[personeelsnr]],'data hastus'!$A:$C,3,0)</f>
        <v>Jens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45830</v>
      </c>
      <c r="U714" s="8" t="s">
        <v>1212</v>
      </c>
      <c r="V714" s="24">
        <v>1</v>
      </c>
      <c r="W714" s="24"/>
      <c r="X714" t="s">
        <v>3546</v>
      </c>
      <c r="Y714" t="s">
        <v>16</v>
      </c>
    </row>
    <row r="715" spans="1:25" hidden="1" x14ac:dyDescent="0.3">
      <c r="A715">
        <v>38931</v>
      </c>
      <c r="B715" t="str">
        <f>_xlfn.CONCAT(bron[[#This Row],[personeelsnr]]," ",bron[[#This Row],[achternaam]]," ",bron[[#This Row],[voornaam]])</f>
        <v>38931 Sancak Eyuphan</v>
      </c>
      <c r="C715" t="str">
        <f>VLOOKUP(bron[[#This Row],[personeelsnr]],'data hastus'!$A:$C,2,0)</f>
        <v>Sancak</v>
      </c>
      <c r="D715" t="str">
        <f>VLOOKUP(bron[[#This Row],[personeelsnr]],'data hastus'!$A:$C,3,0)</f>
        <v>Eyuphan</v>
      </c>
      <c r="E715" t="str">
        <f>VLOOKUP(bron[[#This Row],[personeelsnr]],'data hastus'!A:K,11,FALSE)</f>
        <v>Bart Van Der Beken</v>
      </c>
      <c r="G715" s="6"/>
      <c r="H715" s="6"/>
      <c r="I715" s="6"/>
      <c r="J715"/>
      <c r="K715">
        <v>1</v>
      </c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45786</v>
      </c>
      <c r="U715" s="8" t="s">
        <v>1168</v>
      </c>
      <c r="V715" s="8">
        <v>1</v>
      </c>
      <c r="W715" s="8"/>
      <c r="X715" t="s">
        <v>3546</v>
      </c>
      <c r="Y715" t="s">
        <v>165</v>
      </c>
    </row>
    <row r="716" spans="1:25" x14ac:dyDescent="0.3">
      <c r="A716">
        <v>39927</v>
      </c>
      <c r="B716" t="str">
        <f>_xlfn.CONCAT(bron[[#This Row],[personeelsnr]]," ",bron[[#This Row],[achternaam]]," ",bron[[#This Row],[voornaam]])</f>
        <v>39927 De Wilde Jordy</v>
      </c>
      <c r="C716" t="str">
        <f>VLOOKUP(bron[[#This Row],[personeelsnr]],'data hastus'!$A:$C,2,0)</f>
        <v>De Wilde</v>
      </c>
      <c r="D716" t="str">
        <f>VLOOKUP(bron[[#This Row],[personeelsnr]],'data hastus'!$A:$C,3,0)</f>
        <v>Jordy</v>
      </c>
      <c r="E716" t="str">
        <f>VLOOKUP(bron[[#This Row],[personeelsnr]],'data hastus'!A:K,11,FALSE)</f>
        <v>Christoff Rotty</v>
      </c>
      <c r="F716" s="10"/>
      <c r="G716" s="7"/>
      <c r="H716" s="7"/>
      <c r="I716" s="7"/>
      <c r="K716" s="5">
        <v>1</v>
      </c>
      <c r="S716" s="5">
        <f>SUM(bron[[#This Row],[Januari]:[December]])</f>
        <v>1</v>
      </c>
      <c r="T716" s="9">
        <v>45808</v>
      </c>
      <c r="U716" s="8" t="s">
        <v>1188</v>
      </c>
      <c r="V716" s="8"/>
      <c r="W716" s="8">
        <v>1</v>
      </c>
      <c r="X716" t="s">
        <v>8</v>
      </c>
      <c r="Y716" t="s">
        <v>5</v>
      </c>
    </row>
    <row r="717" spans="1:25" hidden="1" x14ac:dyDescent="0.3">
      <c r="A717">
        <v>39014</v>
      </c>
      <c r="B717" t="str">
        <f>_xlfn.CONCAT(bron[[#This Row],[personeelsnr]]," ",bron[[#This Row],[achternaam]]," ",bron[[#This Row],[voornaam]])</f>
        <v>39014 Genbrugge Kyllian</v>
      </c>
      <c r="C717" t="str">
        <f>VLOOKUP(bron[[#This Row],[personeelsnr]],'data hastus'!$A:$C,2,0)</f>
        <v>Genbrugge</v>
      </c>
      <c r="D717" t="str">
        <f>VLOOKUP(bron[[#This Row],[personeelsnr]],'data hastus'!$A:$C,3,0)</f>
        <v>Kyllian</v>
      </c>
      <c r="E717" t="str">
        <f>VLOOKUP(bron[[#This Row],[personeelsnr]],'data hastus'!A:K,11,FALSE)</f>
        <v>Bart Van Der Beken</v>
      </c>
      <c r="F717" s="10"/>
      <c r="G717" s="6">
        <v>1</v>
      </c>
      <c r="H717" s="6"/>
      <c r="I717" s="6"/>
      <c r="J717"/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45660</v>
      </c>
      <c r="U717" s="8" t="s">
        <v>996</v>
      </c>
      <c r="V717" s="8">
        <v>1</v>
      </c>
      <c r="W717" s="8"/>
      <c r="X717" t="s">
        <v>3547</v>
      </c>
      <c r="Y717" t="s">
        <v>263</v>
      </c>
    </row>
    <row r="718" spans="1:25" x14ac:dyDescent="0.3">
      <c r="A718">
        <v>9158</v>
      </c>
      <c r="B718" t="str">
        <f>_xlfn.CONCAT(bron[[#This Row],[personeelsnr]]," ",bron[[#This Row],[achternaam]]," ",bron[[#This Row],[voornaam]])</f>
        <v>9158 De Weirdt Ronny</v>
      </c>
      <c r="C718" t="str">
        <f>VLOOKUP(bron[[#This Row],[personeelsnr]],'data hastus'!$A:$C,2,0)</f>
        <v>De Weirdt</v>
      </c>
      <c r="D718" t="str">
        <f>VLOOKUP(bron[[#This Row],[personeelsnr]],'data hastus'!$A:$C,3,0)</f>
        <v>Ronny</v>
      </c>
      <c r="E718" t="str">
        <f>VLOOKUP(bron[[#This Row],[personeelsnr]],'data hastus'!A:K,11,FALSE)</f>
        <v>Steven Storm</v>
      </c>
      <c r="F718" s="10"/>
      <c r="G718" s="6"/>
      <c r="H718" s="6"/>
      <c r="I718" s="6"/>
      <c r="J718">
        <v>1</v>
      </c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45758</v>
      </c>
      <c r="U718" s="8" t="s">
        <v>1135</v>
      </c>
      <c r="V718" s="8"/>
      <c r="W718" s="8">
        <v>1</v>
      </c>
      <c r="X718" t="s">
        <v>8</v>
      </c>
      <c r="Y718" t="s">
        <v>5</v>
      </c>
    </row>
    <row r="719" spans="1:25" hidden="1" x14ac:dyDescent="0.3">
      <c r="A719">
        <v>39358</v>
      </c>
      <c r="B719" t="str">
        <f>_xlfn.CONCAT(bron[[#This Row],[personeelsnr]]," ",bron[[#This Row],[achternaam]]," ",bron[[#This Row],[voornaam]])</f>
        <v>39358 Weeks Aracena Jimmy Alexander</v>
      </c>
      <c r="C719" t="str">
        <f>VLOOKUP(bron[[#This Row],[personeelsnr]],'data hastus'!$A:$C,2,0)</f>
        <v>Weeks Aracena</v>
      </c>
      <c r="D719" t="str">
        <f>VLOOKUP(bron[[#This Row],[personeelsnr]],'data hastus'!$A:$C,3,0)</f>
        <v>Jimmy Alexander</v>
      </c>
      <c r="E719" t="str">
        <f>VLOOKUP(bron[[#This Row],[personeelsnr]],'data hastus'!A:K,11,FALSE)</f>
        <v>Christoff Rotty</v>
      </c>
      <c r="F719" s="10"/>
      <c r="G719" s="6">
        <v>1</v>
      </c>
      <c r="H719" s="6"/>
      <c r="I719" s="6"/>
      <c r="J719"/>
      <c r="K719"/>
      <c r="L719"/>
      <c r="M719"/>
      <c r="N719"/>
      <c r="O719"/>
      <c r="P719"/>
      <c r="Q719"/>
      <c r="R719"/>
      <c r="S719">
        <f>SUM(bron[[#This Row],[Januari]:[December]])</f>
        <v>1</v>
      </c>
      <c r="T719" s="3">
        <v>45660</v>
      </c>
      <c r="U719" s="8" t="s">
        <v>997</v>
      </c>
      <c r="V719" s="8">
        <v>1</v>
      </c>
      <c r="W719" s="8"/>
      <c r="X719" t="s">
        <v>3547</v>
      </c>
      <c r="Y719" t="s">
        <v>13</v>
      </c>
    </row>
    <row r="720" spans="1:25" hidden="1" x14ac:dyDescent="0.3">
      <c r="A720">
        <v>39358</v>
      </c>
      <c r="B720" t="str">
        <f>_xlfn.CONCAT(bron[[#This Row],[personeelsnr]]," ",bron[[#This Row],[achternaam]]," ",bron[[#This Row],[voornaam]])</f>
        <v>39358 Weeks Aracena Jimmy Alexander</v>
      </c>
      <c r="C720" t="str">
        <f>VLOOKUP(bron[[#This Row],[personeelsnr]],'data hastus'!$A:$C,2,0)</f>
        <v>Weeks Aracena</v>
      </c>
      <c r="D720" t="str">
        <f>VLOOKUP(bron[[#This Row],[personeelsnr]],'data hastus'!$A:$C,3,0)</f>
        <v>Jimmy Alexander</v>
      </c>
      <c r="E720" t="str">
        <f>VLOOKUP(bron[[#This Row],[personeelsnr]],'data hastus'!A:K,11,FALSE)</f>
        <v>Christoff Rotty</v>
      </c>
      <c r="F720" s="10"/>
      <c r="G720" s="6"/>
      <c r="H720" s="6"/>
      <c r="I720" s="6"/>
      <c r="J720">
        <v>1</v>
      </c>
      <c r="K720"/>
      <c r="L720"/>
      <c r="M720"/>
      <c r="N720"/>
      <c r="O720"/>
      <c r="P720"/>
      <c r="Q720"/>
      <c r="R720"/>
      <c r="S720">
        <f>SUM(bron[[#This Row],[Januari]:[December]])</f>
        <v>1</v>
      </c>
      <c r="T720" s="3">
        <v>45756</v>
      </c>
      <c r="U720" s="8" t="s">
        <v>1131</v>
      </c>
      <c r="V720" s="8">
        <v>1</v>
      </c>
      <c r="W720" s="8"/>
      <c r="X720" t="s">
        <v>3547</v>
      </c>
      <c r="Y720" t="s">
        <v>25</v>
      </c>
    </row>
    <row r="721" spans="1:25" hidden="1" x14ac:dyDescent="0.3">
      <c r="A721">
        <v>39528</v>
      </c>
      <c r="B721" t="str">
        <f>_xlfn.CONCAT(bron[[#This Row],[personeelsnr]]," ",bron[[#This Row],[achternaam]]," ",bron[[#This Row],[voornaam]])</f>
        <v>39528 Mihaylov Plamen</v>
      </c>
      <c r="C721" t="str">
        <f>VLOOKUP(bron[[#This Row],[personeelsnr]],'data hastus'!$A:$C,2,0)</f>
        <v>Mihaylov</v>
      </c>
      <c r="D721" t="str">
        <f>VLOOKUP(bron[[#This Row],[personeelsnr]],'data hastus'!$A:$C,3,0)</f>
        <v>Plamen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O721" s="5">
        <v>1</v>
      </c>
      <c r="S721" s="5">
        <f>SUM(bron[[#This Row],[Januari]:[December]])</f>
        <v>1</v>
      </c>
      <c r="T721" s="9">
        <v>45902</v>
      </c>
      <c r="U721" s="5" t="s">
        <v>1342</v>
      </c>
      <c r="V721" s="24">
        <v>1</v>
      </c>
      <c r="W721" s="24"/>
      <c r="X721" t="s">
        <v>3547</v>
      </c>
      <c r="Y721" t="s">
        <v>399</v>
      </c>
    </row>
    <row r="722" spans="1:25" hidden="1" x14ac:dyDescent="0.3">
      <c r="A722">
        <v>39529</v>
      </c>
      <c r="B722" t="str">
        <f>_xlfn.CONCAT(bron[[#This Row],[personeelsnr]]," ",bron[[#This Row],[achternaam]]," ",bron[[#This Row],[voornaam]])</f>
        <v>39529 Desmet Patricia</v>
      </c>
      <c r="C722" t="str">
        <f>VLOOKUP(bron[[#This Row],[personeelsnr]],'data hastus'!$A:$C,2,0)</f>
        <v>Desmet</v>
      </c>
      <c r="D722" t="str">
        <f>VLOOKUP(bron[[#This Row],[personeelsnr]],'data hastus'!$A:$C,3,0)</f>
        <v>Patricia</v>
      </c>
      <c r="E722" t="str">
        <f>VLOOKUP(bron[[#This Row],[personeelsnr]],'data hastus'!A:K,11,FALSE)</f>
        <v>Christoff Rotty</v>
      </c>
      <c r="F722" s="10">
        <v>45853</v>
      </c>
      <c r="G722" s="7"/>
      <c r="H722" s="7"/>
      <c r="I722" s="7"/>
      <c r="M722" s="5">
        <v>1</v>
      </c>
      <c r="S722" s="5">
        <f>SUM(bron[[#This Row],[Januari]:[December]])</f>
        <v>1</v>
      </c>
      <c r="U722" s="8" t="s">
        <v>1305</v>
      </c>
      <c r="V722" s="24"/>
      <c r="W722" s="24">
        <v>1</v>
      </c>
      <c r="X722" t="s">
        <v>8</v>
      </c>
      <c r="Y722" t="s">
        <v>962</v>
      </c>
    </row>
    <row r="723" spans="1:25" hidden="1" x14ac:dyDescent="0.3">
      <c r="A723">
        <v>39532</v>
      </c>
      <c r="B723" t="str">
        <f>_xlfn.CONCAT(bron[[#This Row],[personeelsnr]]," ",bron[[#This Row],[achternaam]]," ",bron[[#This Row],[voornaam]])</f>
        <v>39532 Sahin Orhan</v>
      </c>
      <c r="C723" t="str">
        <f>VLOOKUP(bron[[#This Row],[personeelsnr]],'data hastus'!$A:$C,2,0)</f>
        <v>Sahin</v>
      </c>
      <c r="D723" t="str">
        <f>VLOOKUP(bron[[#This Row],[personeelsnr]],'data hastus'!$A:$C,3,0)</f>
        <v>Orhan</v>
      </c>
      <c r="E723" t="str">
        <f>VLOOKUP(bron[[#This Row],[personeelsnr]],'data hastus'!A:K,11,FALSE)</f>
        <v>Christoff Rotty</v>
      </c>
      <c r="G723" s="6"/>
      <c r="H723" s="6">
        <v>1</v>
      </c>
      <c r="I723" s="6"/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45689</v>
      </c>
      <c r="U723" s="8" t="s">
        <v>1038</v>
      </c>
      <c r="V723" s="8">
        <v>1</v>
      </c>
      <c r="W723" s="8"/>
      <c r="X723" t="s">
        <v>3547</v>
      </c>
      <c r="Y723" t="s">
        <v>13</v>
      </c>
    </row>
    <row r="724" spans="1:25" hidden="1" x14ac:dyDescent="0.3">
      <c r="A724">
        <v>39532</v>
      </c>
      <c r="B724" t="str">
        <f>_xlfn.CONCAT(bron[[#This Row],[personeelsnr]]," ",bron[[#This Row],[achternaam]]," ",bron[[#This Row],[voornaam]])</f>
        <v>39532 Sahin Orhan</v>
      </c>
      <c r="C724" t="str">
        <f>VLOOKUP(bron[[#This Row],[personeelsnr]],'data hastus'!$A:$C,2,0)</f>
        <v>Sahin</v>
      </c>
      <c r="D724" t="str">
        <f>VLOOKUP(bron[[#This Row],[personeelsnr]],'data hastus'!$A:$C,3,0)</f>
        <v>Orhan</v>
      </c>
      <c r="E724" t="str">
        <f>VLOOKUP(bron[[#This Row],[personeelsnr]],'data hastus'!A:K,11,FALSE)</f>
        <v>Christoff Rotty</v>
      </c>
      <c r="F724" s="10"/>
      <c r="G724" s="7"/>
      <c r="H724" s="7"/>
      <c r="I724" s="7">
        <v>1</v>
      </c>
      <c r="S724" s="5">
        <f>SUM(bron[[#This Row],[Januari]:[December]])</f>
        <v>1</v>
      </c>
      <c r="T724" s="9">
        <v>45728</v>
      </c>
      <c r="U724" s="8" t="s">
        <v>1101</v>
      </c>
      <c r="V724" s="8">
        <v>1</v>
      </c>
      <c r="W724" s="8"/>
      <c r="X724" t="s">
        <v>3547</v>
      </c>
      <c r="Y724" t="s">
        <v>100</v>
      </c>
    </row>
    <row r="725" spans="1:25" hidden="1" x14ac:dyDescent="0.3">
      <c r="A725">
        <v>39581</v>
      </c>
      <c r="B725" t="str">
        <f>_xlfn.CONCAT(bron[[#This Row],[personeelsnr]]," ",bron[[#This Row],[achternaam]]," ",bron[[#This Row],[voornaam]])</f>
        <v>39581 Vandenhaute Linus</v>
      </c>
      <c r="C725" t="str">
        <f>VLOOKUP(bron[[#This Row],[personeelsnr]],'data hastus'!$A:$C,2,0)</f>
        <v>Vandenhaute</v>
      </c>
      <c r="D725" t="str">
        <f>VLOOKUP(bron[[#This Row],[personeelsnr]],'data hastus'!$A:$C,3,0)</f>
        <v>Linus</v>
      </c>
      <c r="E725" t="str">
        <f>VLOOKUP(bron[[#This Row],[personeelsnr]],'data hastus'!A:K,11,FALSE)</f>
        <v>Els Dewulf</v>
      </c>
      <c r="F725" s="10"/>
      <c r="G725" s="6"/>
      <c r="H725" s="6"/>
      <c r="I725" s="6">
        <v>1</v>
      </c>
      <c r="J725"/>
      <c r="K725"/>
      <c r="L725"/>
      <c r="M725"/>
      <c r="N725"/>
      <c r="O725"/>
      <c r="P725"/>
      <c r="Q725"/>
      <c r="R725"/>
      <c r="S725">
        <f>SUM(bron[[#This Row],[Januari]:[December]])</f>
        <v>1</v>
      </c>
      <c r="T725" s="3">
        <v>45744</v>
      </c>
      <c r="U725" s="8" t="s">
        <v>1118</v>
      </c>
      <c r="V725" s="8">
        <v>1</v>
      </c>
      <c r="W725" s="8"/>
      <c r="X725" t="s">
        <v>3547</v>
      </c>
      <c r="Y725" t="s">
        <v>48</v>
      </c>
    </row>
    <row r="726" spans="1:25" hidden="1" x14ac:dyDescent="0.3">
      <c r="A726">
        <v>39581</v>
      </c>
      <c r="B726" t="str">
        <f>_xlfn.CONCAT(bron[[#This Row],[personeelsnr]]," ",bron[[#This Row],[achternaam]]," ",bron[[#This Row],[voornaam]])</f>
        <v>39581 Vandenhaute Linus</v>
      </c>
      <c r="C726" t="str">
        <f>VLOOKUP(bron[[#This Row],[personeelsnr]],'data hastus'!$A:$C,2,0)</f>
        <v>Vandenhaute</v>
      </c>
      <c r="D726" t="str">
        <f>VLOOKUP(bron[[#This Row],[personeelsnr]],'data hastus'!$A:$C,3,0)</f>
        <v>Linus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M726" s="5">
        <v>1</v>
      </c>
      <c r="S726" s="5">
        <f>SUM(bron[[#This Row],[Januari]:[December]])</f>
        <v>1</v>
      </c>
      <c r="T726" s="9">
        <v>45861</v>
      </c>
      <c r="U726" s="8" t="s">
        <v>1254</v>
      </c>
      <c r="V726" s="24">
        <v>1</v>
      </c>
      <c r="W726" s="24"/>
      <c r="X726" t="s">
        <v>3547</v>
      </c>
      <c r="Y726" t="s">
        <v>113</v>
      </c>
    </row>
    <row r="727" spans="1:25" hidden="1" x14ac:dyDescent="0.3">
      <c r="A727">
        <v>39633</v>
      </c>
      <c r="B727" t="str">
        <f>_xlfn.CONCAT(bron[[#This Row],[personeelsnr]]," ",bron[[#This Row],[achternaam]]," ",bron[[#This Row],[voornaam]])</f>
        <v>39633 Duyck Kimberly</v>
      </c>
      <c r="C727" t="str">
        <f>VLOOKUP(bron[[#This Row],[personeelsnr]],'data hastus'!$A:$C,2,0)</f>
        <v>Duyck</v>
      </c>
      <c r="D727" t="str">
        <f>VLOOKUP(bron[[#This Row],[personeelsnr]],'data hastus'!$A:$C,3,0)</f>
        <v>Kimberly</v>
      </c>
      <c r="E727" t="str">
        <f>VLOOKUP(bron[[#This Row],[personeelsnr]],'data hastus'!A:K,11,FALSE)</f>
        <v>Lucie Vande Velde</v>
      </c>
      <c r="F727" s="10">
        <v>45782</v>
      </c>
      <c r="G727" s="6"/>
      <c r="H727" s="6"/>
      <c r="I727" s="6"/>
      <c r="J727"/>
      <c r="K727">
        <v>1</v>
      </c>
      <c r="L727"/>
      <c r="M727"/>
      <c r="N727"/>
      <c r="O727"/>
      <c r="P727"/>
      <c r="Q727"/>
      <c r="R727"/>
      <c r="S727">
        <f>SUM(bron[[#This Row],[Januari]:[December]])</f>
        <v>1</v>
      </c>
      <c r="T727" s="3"/>
      <c r="U727" s="8" t="s">
        <v>1327</v>
      </c>
      <c r="V727" s="8">
        <v>1</v>
      </c>
      <c r="W727" s="8"/>
      <c r="X727" t="s">
        <v>7</v>
      </c>
      <c r="Y727" t="s">
        <v>489</v>
      </c>
    </row>
    <row r="728" spans="1:25" hidden="1" x14ac:dyDescent="0.3">
      <c r="A728">
        <v>39651</v>
      </c>
      <c r="B728" t="str">
        <f>_xlfn.CONCAT(bron[[#This Row],[personeelsnr]]," ",bron[[#This Row],[achternaam]]," ",bron[[#This Row],[voornaam]])</f>
        <v>39651 Kallenbach Sunny</v>
      </c>
      <c r="C728" t="str">
        <f>VLOOKUP(bron[[#This Row],[personeelsnr]],'data hastus'!$A:$C,2,0)</f>
        <v>Kallenbach</v>
      </c>
      <c r="D728" t="str">
        <f>VLOOKUP(bron[[#This Row],[personeelsnr]],'data hastus'!$A:$C,3,0)</f>
        <v>Sunny</v>
      </c>
      <c r="E728" t="str">
        <f>VLOOKUP(bron[[#This Row],[personeelsnr]],'data hastus'!A:K,11,FALSE)</f>
        <v>Kenneth De Rick</v>
      </c>
      <c r="F728" s="10">
        <v>45800</v>
      </c>
      <c r="G728" s="7"/>
      <c r="H728" s="7"/>
      <c r="I728" s="7"/>
      <c r="K728" s="5">
        <v>1</v>
      </c>
      <c r="S728" s="5">
        <f>SUM(bron[[#This Row],[Januari]:[December]])</f>
        <v>1</v>
      </c>
      <c r="T728" s="9">
        <v>45800</v>
      </c>
      <c r="U728" s="8" t="s">
        <v>1182</v>
      </c>
      <c r="V728" s="24">
        <v>1</v>
      </c>
      <c r="W728" s="24"/>
      <c r="X728" t="s">
        <v>7</v>
      </c>
      <c r="Y728" t="s">
        <v>10</v>
      </c>
    </row>
    <row r="729" spans="1:25" hidden="1" x14ac:dyDescent="0.3">
      <c r="A729">
        <v>39651</v>
      </c>
      <c r="B729" t="str">
        <f>_xlfn.CONCAT(bron[[#This Row],[personeelsnr]]," ",bron[[#This Row],[achternaam]]," ",bron[[#This Row],[voornaam]])</f>
        <v>39651 Kallenbach Sunny</v>
      </c>
      <c r="C729" t="str">
        <f>VLOOKUP(bron[[#This Row],[personeelsnr]],'data hastus'!$A:$C,2,0)</f>
        <v>Kallenbach</v>
      </c>
      <c r="D729" t="str">
        <f>VLOOKUP(bron[[#This Row],[personeelsnr]],'data hastus'!$A:$C,3,0)</f>
        <v>Sunny</v>
      </c>
      <c r="E729" t="str">
        <f>VLOOKUP(bron[[#This Row],[personeelsnr]],'data hastus'!A:K,11,FALSE)</f>
        <v>Kenneth De Rick</v>
      </c>
      <c r="F729" s="10"/>
      <c r="G729" s="7"/>
      <c r="H729" s="7"/>
      <c r="I729" s="7"/>
      <c r="N729" s="5">
        <v>1</v>
      </c>
      <c r="S729" s="5">
        <f>SUM(bron[[#This Row],[Januari]:[December]])</f>
        <v>1</v>
      </c>
      <c r="T729" s="9">
        <v>45891</v>
      </c>
      <c r="U729" s="5" t="s">
        <v>1281</v>
      </c>
      <c r="V729" s="24">
        <v>1</v>
      </c>
      <c r="W729" s="24"/>
      <c r="X729" t="s">
        <v>3547</v>
      </c>
      <c r="Y729" t="s">
        <v>113</v>
      </c>
    </row>
    <row r="730" spans="1:25" hidden="1" x14ac:dyDescent="0.3">
      <c r="A730">
        <v>39654</v>
      </c>
      <c r="B730" t="str">
        <f>_xlfn.CONCAT(bron[[#This Row],[personeelsnr]]," ",bron[[#This Row],[achternaam]]," ",bron[[#This Row],[voornaam]])</f>
        <v>39654 Camacho Encarnacion Lisandro Javier</v>
      </c>
      <c r="C730" t="str">
        <f>VLOOKUP(bron[[#This Row],[personeelsnr]],'data hastus'!$A:$C,2,0)</f>
        <v>Camacho Encarnacion</v>
      </c>
      <c r="D730" t="str">
        <f>VLOOKUP(bron[[#This Row],[personeelsnr]],'data hastus'!$A:$C,3,0)</f>
        <v>Lisandro Javier</v>
      </c>
      <c r="E730" t="str">
        <f>VLOOKUP(bron[[#This Row],[personeelsnr]],'data hastus'!A:K,11,FALSE)</f>
        <v>Kenneth De Rick</v>
      </c>
      <c r="F730" s="10"/>
      <c r="G730" s="7"/>
      <c r="H730" s="7"/>
      <c r="I730" s="7"/>
      <c r="M730" s="5">
        <v>1</v>
      </c>
      <c r="S730" s="5">
        <f>SUM(bron[[#This Row],[Januari]:[December]])</f>
        <v>1</v>
      </c>
      <c r="T730" s="9">
        <v>45891</v>
      </c>
      <c r="U730" s="8" t="s">
        <v>1280</v>
      </c>
      <c r="V730" s="24">
        <v>1</v>
      </c>
      <c r="W730" s="24"/>
      <c r="X730" t="s">
        <v>3547</v>
      </c>
      <c r="Y730" t="s">
        <v>22</v>
      </c>
    </row>
    <row r="731" spans="1:25" hidden="1" x14ac:dyDescent="0.3">
      <c r="A731">
        <v>39660</v>
      </c>
      <c r="B731" t="str">
        <f>_xlfn.CONCAT(bron[[#This Row],[personeelsnr]]," ",bron[[#This Row],[achternaam]]," ",bron[[#This Row],[voornaam]])</f>
        <v>39660 Lloyd Glenn</v>
      </c>
      <c r="C731" t="str">
        <f>VLOOKUP(bron[[#This Row],[personeelsnr]],'data hastus'!$A:$C,2,0)</f>
        <v>Lloyd</v>
      </c>
      <c r="D731" t="str">
        <f>VLOOKUP(bron[[#This Row],[personeelsnr]],'data hastus'!$A:$C,3,0)</f>
        <v>Glenn</v>
      </c>
      <c r="E731" t="str">
        <f>VLOOKUP(bron[[#This Row],[personeelsnr]],'data hastus'!A:K,11,FALSE)</f>
        <v>Bart Van Der Beken</v>
      </c>
      <c r="F731" s="10"/>
      <c r="G731" s="6">
        <v>1</v>
      </c>
      <c r="H731" s="6"/>
      <c r="I731" s="6"/>
      <c r="J731"/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>
        <v>45679</v>
      </c>
      <c r="U731" s="8" t="s">
        <v>1024</v>
      </c>
      <c r="V731" s="8">
        <v>1</v>
      </c>
      <c r="W731" s="8"/>
      <c r="X731" t="s">
        <v>3547</v>
      </c>
      <c r="Y731" t="s">
        <v>48</v>
      </c>
    </row>
    <row r="732" spans="1:25" hidden="1" x14ac:dyDescent="0.3">
      <c r="A732">
        <v>39660</v>
      </c>
      <c r="B732" t="str">
        <f>_xlfn.CONCAT(bron[[#This Row],[personeelsnr]]," ",bron[[#This Row],[achternaam]]," ",bron[[#This Row],[voornaam]])</f>
        <v>39660 Lloyd Glenn</v>
      </c>
      <c r="C732" t="str">
        <f>VLOOKUP(bron[[#This Row],[personeelsnr]],'data hastus'!$A:$C,2,0)</f>
        <v>Lloyd</v>
      </c>
      <c r="D732" t="str">
        <f>VLOOKUP(bron[[#This Row],[personeelsnr]],'data hastus'!$A:$C,3,0)</f>
        <v>Glenn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45707</v>
      </c>
      <c r="U732" s="8" t="s">
        <v>1066</v>
      </c>
      <c r="V732" s="8">
        <v>1</v>
      </c>
      <c r="W732" s="8"/>
      <c r="X732" t="s">
        <v>3547</v>
      </c>
      <c r="Y732" t="s">
        <v>43</v>
      </c>
    </row>
    <row r="733" spans="1:25" hidden="1" x14ac:dyDescent="0.3">
      <c r="A733">
        <v>39660</v>
      </c>
      <c r="B733" t="str">
        <f>_xlfn.CONCAT(bron[[#This Row],[personeelsnr]]," ",bron[[#This Row],[achternaam]]," ",bron[[#This Row],[voornaam]])</f>
        <v>39660 Lloyd Glenn</v>
      </c>
      <c r="C733" t="str">
        <f>VLOOKUP(bron[[#This Row],[personeelsnr]],'data hastus'!$A:$C,2,0)</f>
        <v>Lloyd</v>
      </c>
      <c r="D733" t="str">
        <f>VLOOKUP(bron[[#This Row],[personeelsnr]],'data hastus'!$A:$C,3,0)</f>
        <v>Glenn</v>
      </c>
      <c r="E733" t="str">
        <f>VLOOKUP(bron[[#This Row],[personeelsnr]],'data hastus'!A:K,11,FALSE)</f>
        <v>Bart Van Der Beken</v>
      </c>
      <c r="F733" s="10">
        <v>45842</v>
      </c>
      <c r="G733" s="7"/>
      <c r="H733" s="7"/>
      <c r="I733" s="7"/>
      <c r="M733" s="5">
        <v>1</v>
      </c>
      <c r="S733" s="5">
        <f>SUM(bron[[#This Row],[Januari]:[December]])</f>
        <v>1</v>
      </c>
      <c r="U733" s="8" t="s">
        <v>1298</v>
      </c>
      <c r="V733" s="24">
        <v>1</v>
      </c>
      <c r="W733" s="24"/>
      <c r="X733" t="s">
        <v>7</v>
      </c>
      <c r="Y733" t="s">
        <v>227</v>
      </c>
    </row>
    <row r="734" spans="1:25" hidden="1" x14ac:dyDescent="0.3">
      <c r="A734">
        <v>39673</v>
      </c>
      <c r="B734" t="str">
        <f>_xlfn.CONCAT(bron[[#This Row],[personeelsnr]]," ",bron[[#This Row],[achternaam]]," ",bron[[#This Row],[voornaam]])</f>
        <v>39673 Steurbaut Henri</v>
      </c>
      <c r="C734" t="str">
        <f>VLOOKUP(bron[[#This Row],[personeelsnr]],'data hastus'!$A:$C,2,0)</f>
        <v>Steurbaut</v>
      </c>
      <c r="D734" t="str">
        <f>VLOOKUP(bron[[#This Row],[personeelsnr]],'data hastus'!$A:$C,3,0)</f>
        <v>Henri</v>
      </c>
      <c r="E734" t="str">
        <f>VLOOKUP(bron[[#This Row],[personeelsnr]],'data hastus'!A:K,11,FALSE)</f>
        <v>Els Vanhoe</v>
      </c>
      <c r="F734" s="10"/>
      <c r="G734" s="6">
        <v>1</v>
      </c>
      <c r="H734" s="6"/>
      <c r="I734" s="6"/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>
        <v>45678</v>
      </c>
      <c r="U734" s="8" t="s">
        <v>1023</v>
      </c>
      <c r="V734" s="8">
        <v>1</v>
      </c>
      <c r="W734" s="8"/>
      <c r="X734" t="s">
        <v>3546</v>
      </c>
      <c r="Y734" t="s">
        <v>92</v>
      </c>
    </row>
    <row r="735" spans="1:25" hidden="1" x14ac:dyDescent="0.3">
      <c r="A735">
        <v>39673</v>
      </c>
      <c r="B735" t="str">
        <f>_xlfn.CONCAT(bron[[#This Row],[personeelsnr]]," ",bron[[#This Row],[achternaam]]," ",bron[[#This Row],[voornaam]])</f>
        <v>39673 Steurbaut Henri</v>
      </c>
      <c r="C735" t="str">
        <f>VLOOKUP(bron[[#This Row],[personeelsnr]],'data hastus'!$A:$C,2,0)</f>
        <v>Steurbaut</v>
      </c>
      <c r="D735" t="str">
        <f>VLOOKUP(bron[[#This Row],[personeelsnr]],'data hastus'!$A:$C,3,0)</f>
        <v>Henri</v>
      </c>
      <c r="E735" t="str">
        <f>VLOOKUP(bron[[#This Row],[personeelsnr]],'data hastus'!A:K,11,FALSE)</f>
        <v>Els Vanhoe</v>
      </c>
      <c r="F735" s="10"/>
      <c r="G735" s="7"/>
      <c r="H735" s="7"/>
      <c r="I735" s="7"/>
      <c r="M735" s="5">
        <v>1</v>
      </c>
      <c r="S735" s="5">
        <f>SUM(bron[[#This Row],[Januari]:[December]])</f>
        <v>1</v>
      </c>
      <c r="T735" s="9">
        <v>45866</v>
      </c>
      <c r="U735" s="8" t="s">
        <v>1259</v>
      </c>
      <c r="V735" s="24">
        <v>1</v>
      </c>
      <c r="W735" s="24"/>
      <c r="X735" t="s">
        <v>3547</v>
      </c>
      <c r="Y735" t="s">
        <v>265</v>
      </c>
    </row>
    <row r="736" spans="1:25" hidden="1" x14ac:dyDescent="0.3">
      <c r="A736">
        <v>39673</v>
      </c>
      <c r="B736" t="str">
        <f>_xlfn.CONCAT(bron[[#This Row],[personeelsnr]]," ",bron[[#This Row],[achternaam]]," ",bron[[#This Row],[voornaam]])</f>
        <v>39673 Steurbaut Henri</v>
      </c>
      <c r="C736" t="str">
        <f>VLOOKUP(bron[[#This Row],[personeelsnr]],'data hastus'!$A:$C,2,0)</f>
        <v>Steurbaut</v>
      </c>
      <c r="D736" t="str">
        <f>VLOOKUP(bron[[#This Row],[personeelsnr]],'data hastus'!$A:$C,3,0)</f>
        <v>Henri</v>
      </c>
      <c r="E736" t="str">
        <f>VLOOKUP(bron[[#This Row],[personeelsnr]],'data hastus'!A:K,11,FALSE)</f>
        <v>Els Vanhoe</v>
      </c>
      <c r="F736" s="10"/>
      <c r="G736" s="7"/>
      <c r="H736" s="7"/>
      <c r="I736" s="7"/>
      <c r="N736" s="5">
        <v>1</v>
      </c>
      <c r="S736" s="5">
        <f>SUM(bron[[#This Row],[Januari]:[December]])</f>
        <v>1</v>
      </c>
      <c r="T736" s="9">
        <v>45899</v>
      </c>
      <c r="U736" s="5" t="s">
        <v>1290</v>
      </c>
      <c r="V736" s="24">
        <v>1</v>
      </c>
      <c r="W736" s="24"/>
      <c r="X736" t="s">
        <v>3547</v>
      </c>
      <c r="Y736" t="s">
        <v>560</v>
      </c>
    </row>
    <row r="737" spans="1:25" hidden="1" x14ac:dyDescent="0.3">
      <c r="A737">
        <v>39677</v>
      </c>
      <c r="B737" t="str">
        <f>_xlfn.CONCAT(bron[[#This Row],[personeelsnr]]," ",bron[[#This Row],[achternaam]]," ",bron[[#This Row],[voornaam]])</f>
        <v>39677 Tacq Joey</v>
      </c>
      <c r="C737" t="str">
        <f>VLOOKUP(bron[[#This Row],[personeelsnr]],'data hastus'!$A:$C,2,0)</f>
        <v>Tacq</v>
      </c>
      <c r="D737" t="str">
        <f>VLOOKUP(bron[[#This Row],[personeelsnr]],'data hastus'!$A:$C,3,0)</f>
        <v>Joey</v>
      </c>
      <c r="E737" t="str">
        <f>VLOOKUP(bron[[#This Row],[personeelsnr]],'data hastus'!A:K,11,FALSE)</f>
        <v>Kenneth De Rick</v>
      </c>
      <c r="F737" s="10">
        <v>45754</v>
      </c>
      <c r="G737" s="6"/>
      <c r="H737" s="6"/>
      <c r="I737" s="6"/>
      <c r="J737">
        <v>1</v>
      </c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1320</v>
      </c>
      <c r="V737" s="8">
        <v>1</v>
      </c>
      <c r="W737" s="8"/>
      <c r="X737" t="s">
        <v>7</v>
      </c>
      <c r="Y737" t="s">
        <v>1321</v>
      </c>
    </row>
    <row r="738" spans="1:25" hidden="1" x14ac:dyDescent="0.3">
      <c r="A738">
        <v>39712</v>
      </c>
      <c r="B738" t="str">
        <f>_xlfn.CONCAT(bron[[#This Row],[personeelsnr]]," ",bron[[#This Row],[achternaam]]," ",bron[[#This Row],[voornaam]])</f>
        <v>39712 Repaj Ramazan</v>
      </c>
      <c r="C738" t="str">
        <f>VLOOKUP(bron[[#This Row],[personeelsnr]],'data hastus'!$A:$C,2,0)</f>
        <v>Repaj</v>
      </c>
      <c r="D738" t="str">
        <f>VLOOKUP(bron[[#This Row],[personeelsnr]],'data hastus'!$A:$C,3,0)</f>
        <v>Ramazan</v>
      </c>
      <c r="E738" t="str">
        <f>VLOOKUP(bron[[#This Row],[personeelsnr]],'data hastus'!A:K,11,FALSE)</f>
        <v>Bart Van Der Beken</v>
      </c>
      <c r="F738" s="10"/>
      <c r="G738" s="6"/>
      <c r="H738" s="6">
        <v>1</v>
      </c>
      <c r="I738" s="6"/>
      <c r="J738"/>
      <c r="K738"/>
      <c r="L738"/>
      <c r="M738"/>
      <c r="N738"/>
      <c r="O738"/>
      <c r="P738"/>
      <c r="Q738"/>
      <c r="R738"/>
      <c r="S738">
        <f>SUM(bron[[#This Row],[Januari]:[December]])</f>
        <v>1</v>
      </c>
      <c r="T738" s="3">
        <v>45709</v>
      </c>
      <c r="U738"/>
      <c r="V738" s="8">
        <v>1</v>
      </c>
      <c r="W738"/>
      <c r="X738" t="s">
        <v>3547</v>
      </c>
    </row>
    <row r="739" spans="1:25" hidden="1" x14ac:dyDescent="0.3">
      <c r="A739">
        <v>39779</v>
      </c>
      <c r="B739" t="str">
        <f>_xlfn.CONCAT(bron[[#This Row],[personeelsnr]]," ",bron[[#This Row],[achternaam]]," ",bron[[#This Row],[voornaam]])</f>
        <v>39779 Avci Muhammet Abdullah</v>
      </c>
      <c r="C739" t="str">
        <f>VLOOKUP(bron[[#This Row],[personeelsnr]],'data hastus'!$A:$C,2,0)</f>
        <v>Avci</v>
      </c>
      <c r="D739" t="str">
        <f>VLOOKUP(bron[[#This Row],[personeelsnr]],'data hastus'!$A:$C,3,0)</f>
        <v>Muhammet Abdullah</v>
      </c>
      <c r="E739" t="str">
        <f>VLOOKUP(bron[[#This Row],[personeelsnr]],'data hastus'!A:K,11,FALSE)</f>
        <v>Bart Van Der Beken</v>
      </c>
      <c r="F739" s="10"/>
      <c r="G739" s="6"/>
      <c r="H739" s="6">
        <v>1</v>
      </c>
      <c r="I739" s="6"/>
      <c r="J739"/>
      <c r="K739"/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45715</v>
      </c>
      <c r="U739" s="8" t="s">
        <v>1082</v>
      </c>
      <c r="V739" s="8">
        <v>1</v>
      </c>
      <c r="W739" s="8"/>
      <c r="X739" t="s">
        <v>3546</v>
      </c>
      <c r="Y739" t="s">
        <v>277</v>
      </c>
    </row>
    <row r="740" spans="1:25" hidden="1" x14ac:dyDescent="0.3">
      <c r="A740">
        <v>39779</v>
      </c>
      <c r="B740" t="str">
        <f>_xlfn.CONCAT(bron[[#This Row],[personeelsnr]]," ",bron[[#This Row],[achternaam]]," ",bron[[#This Row],[voornaam]])</f>
        <v>39779 Avci Muhammet Abdullah</v>
      </c>
      <c r="C740" t="str">
        <f>VLOOKUP(bron[[#This Row],[personeelsnr]],'data hastus'!$A:$C,2,0)</f>
        <v>Avci</v>
      </c>
      <c r="D740" t="str">
        <f>VLOOKUP(bron[[#This Row],[personeelsnr]],'data hastus'!$A:$C,3,0)</f>
        <v>Muhammet Abdullah</v>
      </c>
      <c r="E740" t="str">
        <f>VLOOKUP(bron[[#This Row],[personeelsnr]],'data hastus'!A:K,11,FALSE)</f>
        <v>Bart Van Der Beken</v>
      </c>
      <c r="F740" s="10">
        <v>45735</v>
      </c>
      <c r="G740" s="6"/>
      <c r="H740" s="6"/>
      <c r="I740" s="6">
        <v>1</v>
      </c>
      <c r="J740"/>
      <c r="K740"/>
      <c r="L740"/>
      <c r="M740"/>
      <c r="N740"/>
      <c r="O740"/>
      <c r="P740"/>
      <c r="Q740"/>
      <c r="R740"/>
      <c r="S740">
        <f>SUM(bron[[#This Row],[Januari]:[December]])</f>
        <v>1</v>
      </c>
      <c r="T740" s="3"/>
      <c r="U740" s="8" t="s">
        <v>1297</v>
      </c>
      <c r="V740" s="8">
        <v>1</v>
      </c>
      <c r="W740" s="8"/>
      <c r="X740" t="s">
        <v>7</v>
      </c>
      <c r="Y740" t="s">
        <v>72</v>
      </c>
    </row>
    <row r="741" spans="1:25" hidden="1" x14ac:dyDescent="0.3">
      <c r="A741">
        <v>39818</v>
      </c>
      <c r="B741" t="e">
        <f>_xlfn.CONCAT(bron[[#This Row],[personeelsnr]]," ",bron[[#This Row],[achternaam]]," ",bron[[#This Row],[voornaam]])</f>
        <v>#N/A</v>
      </c>
      <c r="C741" t="e">
        <f>VLOOKUP(bron[[#This Row],[personeelsnr]],'data hastus'!$A:$C,2,0)</f>
        <v>#N/A</v>
      </c>
      <c r="D741" t="e">
        <f>VLOOKUP(bron[[#This Row],[personeelsnr]],'data hastus'!$A:$C,3,0)</f>
        <v>#N/A</v>
      </c>
      <c r="E741" t="s">
        <v>79</v>
      </c>
      <c r="G741" s="7"/>
      <c r="H741" s="7">
        <v>1</v>
      </c>
      <c r="I741" s="7"/>
      <c r="S741" s="5">
        <f>SUM(bron[[#This Row],[Januari]:[December]])</f>
        <v>1</v>
      </c>
      <c r="T741" s="9">
        <v>45710</v>
      </c>
      <c r="U741" s="8" t="s">
        <v>1074</v>
      </c>
      <c r="V741" s="8">
        <v>1</v>
      </c>
      <c r="W741" s="8"/>
      <c r="X741" t="s">
        <v>7</v>
      </c>
      <c r="Y741" t="s">
        <v>1075</v>
      </c>
    </row>
    <row r="742" spans="1:25" hidden="1" x14ac:dyDescent="0.3">
      <c r="A742">
        <v>39829</v>
      </c>
      <c r="B742" t="str">
        <f>_xlfn.CONCAT(bron[[#This Row],[personeelsnr]]," ",bron[[#This Row],[achternaam]]," ",bron[[#This Row],[voornaam]])</f>
        <v>39829 Demirkaya Serkan</v>
      </c>
      <c r="C742" t="str">
        <f>VLOOKUP(bron[[#This Row],[personeelsnr]],'data hastus'!$A:$C,2,0)</f>
        <v>Demirkaya</v>
      </c>
      <c r="D742" t="str">
        <f>VLOOKUP(bron[[#This Row],[personeelsnr]],'data hastus'!$A:$C,3,0)</f>
        <v>Serkan</v>
      </c>
      <c r="E742" t="str">
        <f>VLOOKUP(bron[[#This Row],[personeelsnr]],'data hastus'!A:K,11,FALSE)</f>
        <v>Lucie Vande Velde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45715</v>
      </c>
      <c r="U742" s="8" t="s">
        <v>1083</v>
      </c>
      <c r="V742" s="8">
        <v>1</v>
      </c>
      <c r="W742" s="8"/>
      <c r="X742" t="s">
        <v>3545</v>
      </c>
      <c r="Y742" t="s">
        <v>5</v>
      </c>
    </row>
    <row r="743" spans="1:25" hidden="1" x14ac:dyDescent="0.3">
      <c r="A743">
        <v>39831</v>
      </c>
      <c r="B743" t="str">
        <f>_xlfn.CONCAT(bron[[#This Row],[personeelsnr]]," ",bron[[#This Row],[achternaam]]," ",bron[[#This Row],[voornaam]])</f>
        <v>39831 Dolgiev Mukhamed</v>
      </c>
      <c r="C743" t="str">
        <f>VLOOKUP(bron[[#This Row],[personeelsnr]],'data hastus'!$A:$C,2,0)</f>
        <v>Dolgiev</v>
      </c>
      <c r="D743" t="str">
        <f>VLOOKUP(bron[[#This Row],[personeelsnr]],'data hastus'!$A:$C,3,0)</f>
        <v>Mukhamed</v>
      </c>
      <c r="E743" t="str">
        <f>VLOOKUP(bron[[#This Row],[personeelsnr]],'data hastus'!A:K,11,FALSE)</f>
        <v>Els Dewulf</v>
      </c>
      <c r="F743" s="10">
        <v>45710</v>
      </c>
      <c r="G743" s="6"/>
      <c r="H743" s="6">
        <v>1</v>
      </c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/>
      <c r="U743" s="8" t="s">
        <v>1312</v>
      </c>
      <c r="V743" s="8">
        <v>1</v>
      </c>
      <c r="W743" s="8"/>
      <c r="X743" t="s">
        <v>7</v>
      </c>
      <c r="Y743" t="s">
        <v>113</v>
      </c>
    </row>
    <row r="744" spans="1:25" hidden="1" x14ac:dyDescent="0.3">
      <c r="A744">
        <v>39850</v>
      </c>
      <c r="B744" t="str">
        <f>_xlfn.CONCAT(bron[[#This Row],[personeelsnr]]," ",bron[[#This Row],[achternaam]]," ",bron[[#This Row],[voornaam]])</f>
        <v>39850 Helleputte William</v>
      </c>
      <c r="C744" t="str">
        <f>VLOOKUP(bron[[#This Row],[personeelsnr]],'data hastus'!$A:$C,2,0)</f>
        <v>Helleputte</v>
      </c>
      <c r="D744" t="str">
        <f>VLOOKUP(bron[[#This Row],[personeelsnr]],'data hastus'!$A:$C,3,0)</f>
        <v>William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45837</v>
      </c>
      <c r="U744" s="8" t="s">
        <v>1219</v>
      </c>
      <c r="V744" s="24">
        <v>1</v>
      </c>
      <c r="W744" s="24"/>
      <c r="X744" t="s">
        <v>3545</v>
      </c>
      <c r="Y744" t="s">
        <v>119</v>
      </c>
    </row>
    <row r="745" spans="1:25" hidden="1" x14ac:dyDescent="0.3">
      <c r="A745">
        <v>39856</v>
      </c>
      <c r="B745" t="str">
        <f>_xlfn.CONCAT(bron[[#This Row],[personeelsnr]]," ",bron[[#This Row],[achternaam]]," ",bron[[#This Row],[voornaam]])</f>
        <v>39856 Curukcu Bayram</v>
      </c>
      <c r="C745" t="str">
        <f>VLOOKUP(bron[[#This Row],[personeelsnr]],'data hastus'!$A:$C,2,0)</f>
        <v>Curukcu</v>
      </c>
      <c r="D745" t="str">
        <f>VLOOKUP(bron[[#This Row],[personeelsnr]],'data hastus'!$A:$C,3,0)</f>
        <v>Bayram</v>
      </c>
      <c r="E745" t="str">
        <f>VLOOKUP(bron[[#This Row],[personeelsnr]],'data hastus'!A:K,11,FALSE)</f>
        <v>Kenneth De Rick</v>
      </c>
      <c r="F745" s="10"/>
      <c r="G745" s="6"/>
      <c r="H745" s="6"/>
      <c r="I745" s="6"/>
      <c r="J745"/>
      <c r="K745">
        <v>1</v>
      </c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45790</v>
      </c>
      <c r="U745" s="8" t="s">
        <v>1172</v>
      </c>
      <c r="V745" s="8">
        <v>1</v>
      </c>
      <c r="W745" s="8"/>
      <c r="X745" t="s">
        <v>3545</v>
      </c>
      <c r="Y745" t="s">
        <v>161</v>
      </c>
    </row>
    <row r="746" spans="1:25" x14ac:dyDescent="0.3">
      <c r="A746">
        <v>9824</v>
      </c>
      <c r="B746" t="str">
        <f>_xlfn.CONCAT(bron[[#This Row],[personeelsnr]]," ",bron[[#This Row],[achternaam]]," ",bron[[#This Row],[voornaam]])</f>
        <v>9824 De Meulenaere Eric</v>
      </c>
      <c r="C746" t="str">
        <f>VLOOKUP(bron[[#This Row],[personeelsnr]],'data hastus'!$A:$C,2,0)</f>
        <v>De Meulenaere</v>
      </c>
      <c r="D746" t="str">
        <f>VLOOKUP(bron[[#This Row],[personeelsnr]],'data hastus'!$A:$C,3,0)</f>
        <v>Eric</v>
      </c>
      <c r="E746" t="str">
        <f>VLOOKUP(bron[[#This Row],[personeelsnr]],'data hastus'!A:K,11,FALSE)</f>
        <v>Steven Storm</v>
      </c>
      <c r="F746" s="10"/>
      <c r="G746" s="6"/>
      <c r="H746" s="6">
        <v>1</v>
      </c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1</v>
      </c>
      <c r="T746" s="3">
        <v>45711</v>
      </c>
      <c r="U746" s="8" t="s">
        <v>1078</v>
      </c>
      <c r="V746" s="8"/>
      <c r="W746" s="8">
        <v>1</v>
      </c>
      <c r="X746" t="s">
        <v>8</v>
      </c>
      <c r="Y746" t="s">
        <v>5</v>
      </c>
    </row>
    <row r="747" spans="1:25" hidden="1" x14ac:dyDescent="0.3">
      <c r="A747">
        <v>39929</v>
      </c>
      <c r="B747" t="str">
        <f>_xlfn.CONCAT(bron[[#This Row],[personeelsnr]]," ",bron[[#This Row],[achternaam]]," ",bron[[#This Row],[voornaam]])</f>
        <v>39929 Staneva Mariyana</v>
      </c>
      <c r="C747" t="str">
        <f>VLOOKUP(bron[[#This Row],[personeelsnr]],'data hastus'!$A:$C,2,0)</f>
        <v>Staneva</v>
      </c>
      <c r="D747" t="str">
        <f>VLOOKUP(bron[[#This Row],[personeelsnr]],'data hastus'!$A:$C,3,0)</f>
        <v>Mariyana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45756</v>
      </c>
      <c r="U747" s="8" t="s">
        <v>1130</v>
      </c>
      <c r="V747" s="8">
        <v>1</v>
      </c>
      <c r="W747" s="8"/>
      <c r="X747" t="s">
        <v>3545</v>
      </c>
      <c r="Y747" t="s">
        <v>253</v>
      </c>
    </row>
    <row r="748" spans="1:25" hidden="1" x14ac:dyDescent="0.3">
      <c r="A748">
        <v>39972</v>
      </c>
      <c r="B748" t="str">
        <f>_xlfn.CONCAT(bron[[#This Row],[personeelsnr]]," ",bron[[#This Row],[achternaam]]," ",bron[[#This Row],[voornaam]])</f>
        <v>39972 Repaj Ramazav</v>
      </c>
      <c r="C748" t="s">
        <v>1069</v>
      </c>
      <c r="D748" t="s">
        <v>1070</v>
      </c>
      <c r="E748" t="s">
        <v>55</v>
      </c>
      <c r="F748" s="10"/>
      <c r="G748" s="6"/>
      <c r="H748" s="6">
        <v>1</v>
      </c>
      <c r="I748" s="6"/>
      <c r="J748"/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45709</v>
      </c>
      <c r="U748" s="8" t="s">
        <v>1071</v>
      </c>
      <c r="V748" s="8">
        <v>1</v>
      </c>
      <c r="W748" s="8"/>
      <c r="X748" t="s">
        <v>3545</v>
      </c>
      <c r="Y748" t="s">
        <v>25</v>
      </c>
    </row>
    <row r="749" spans="1:25" hidden="1" x14ac:dyDescent="0.3">
      <c r="A749">
        <v>40005</v>
      </c>
      <c r="B749" t="str">
        <f>_xlfn.CONCAT(bron[[#This Row],[personeelsnr]]," ",bron[[#This Row],[achternaam]]," ",bron[[#This Row],[voornaam]])</f>
        <v>40005 Bernaerts Philip</v>
      </c>
      <c r="C749" t="str">
        <f>VLOOKUP(bron[[#This Row],[personeelsnr]],'data hastus'!$A:$C,2,0)</f>
        <v>Bernaerts</v>
      </c>
      <c r="D749" t="str">
        <f>VLOOKUP(bron[[#This Row],[personeelsnr]],'data hastus'!$A:$C,3,0)</f>
        <v>Philip</v>
      </c>
      <c r="E749" t="str">
        <f>VLOOKUP(bron[[#This Row],[personeelsnr]],'data hastus'!A:K,11,FALSE)</f>
        <v>Christoff Rotty</v>
      </c>
      <c r="F749" s="10"/>
      <c r="G749" s="6">
        <v>1</v>
      </c>
      <c r="H749" s="6"/>
      <c r="I749" s="6"/>
      <c r="J749"/>
      <c r="K749"/>
      <c r="L749"/>
      <c r="M749"/>
      <c r="N749"/>
      <c r="O749"/>
      <c r="P749"/>
      <c r="Q749"/>
      <c r="R749"/>
      <c r="S749">
        <f>SUM(bron[[#This Row],[Januari]:[December]])</f>
        <v>1</v>
      </c>
      <c r="T749" s="3">
        <v>45672</v>
      </c>
      <c r="U749" s="8" t="s">
        <v>1016</v>
      </c>
      <c r="V749" s="8">
        <v>1</v>
      </c>
      <c r="W749" s="8"/>
      <c r="X749" t="s">
        <v>3546</v>
      </c>
      <c r="Y749" t="s">
        <v>185</v>
      </c>
    </row>
    <row r="750" spans="1:25" hidden="1" x14ac:dyDescent="0.3">
      <c r="A750">
        <v>40036</v>
      </c>
      <c r="B750" t="str">
        <f>_xlfn.CONCAT(bron[[#This Row],[personeelsnr]]," ",bron[[#This Row],[achternaam]]," ",bron[[#This Row],[voornaam]])</f>
        <v>40036 Karakaya Oguz</v>
      </c>
      <c r="C750" t="str">
        <f>VLOOKUP(bron[[#This Row],[personeelsnr]],'data hastus'!$A:$C,2,0)</f>
        <v>Karakaya</v>
      </c>
      <c r="D750" t="str">
        <f>VLOOKUP(bron[[#This Row],[personeelsnr]],'data hastus'!$A:$C,3,0)</f>
        <v>Oguz</v>
      </c>
      <c r="E750" t="str">
        <f>VLOOKUP(bron[[#This Row],[personeelsnr]],'data hastus'!A:K,11,FALSE)</f>
        <v>Dominique De Clercq</v>
      </c>
      <c r="F750" s="10"/>
      <c r="G750" s="7"/>
      <c r="H750" s="7"/>
      <c r="I750" s="7"/>
      <c r="L750" s="5">
        <v>1</v>
      </c>
      <c r="S750" s="5">
        <f>SUM(bron[[#This Row],[Januari]:[December]])</f>
        <v>1</v>
      </c>
      <c r="T750" s="9">
        <v>45810</v>
      </c>
      <c r="U750" s="8" t="s">
        <v>1191</v>
      </c>
      <c r="V750" s="8">
        <v>1</v>
      </c>
      <c r="W750" s="8"/>
      <c r="X750" t="s">
        <v>3546</v>
      </c>
      <c r="Y750" t="s">
        <v>60</v>
      </c>
    </row>
    <row r="751" spans="1:25" hidden="1" x14ac:dyDescent="0.3">
      <c r="A751">
        <v>40055</v>
      </c>
      <c r="B751" t="str">
        <f>_xlfn.CONCAT(bron[[#This Row],[personeelsnr]]," ",bron[[#This Row],[achternaam]]," ",bron[[#This Row],[voornaam]])</f>
        <v>40055 Afara Ammar</v>
      </c>
      <c r="C751" t="str">
        <f>VLOOKUP(bron[[#This Row],[personeelsnr]],'data hastus'!$A:$C,2,0)</f>
        <v>Afara</v>
      </c>
      <c r="D751" t="str">
        <f>VLOOKUP(bron[[#This Row],[personeelsnr]],'data hastus'!$A:$C,3,0)</f>
        <v>Ammar</v>
      </c>
      <c r="E751" t="str">
        <f>VLOOKUP(bron[[#This Row],[personeelsnr]],'data hastus'!A:K,11,FALSE)</f>
        <v>Els Vanhoe</v>
      </c>
      <c r="F751" s="10"/>
      <c r="G751" s="6"/>
      <c r="H751" s="6">
        <v>1</v>
      </c>
      <c r="I751" s="6"/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45695</v>
      </c>
      <c r="U751" s="8" t="s">
        <v>1050</v>
      </c>
      <c r="V751" s="8">
        <v>1</v>
      </c>
      <c r="W751" s="8"/>
      <c r="X751" t="s">
        <v>3545</v>
      </c>
      <c r="Y751" t="s">
        <v>19</v>
      </c>
    </row>
    <row r="752" spans="1:25" hidden="1" x14ac:dyDescent="0.3">
      <c r="A752">
        <v>40058</v>
      </c>
      <c r="B752" t="str">
        <f>_xlfn.CONCAT(bron[[#This Row],[personeelsnr]]," ",bron[[#This Row],[achternaam]]," ",bron[[#This Row],[voornaam]])</f>
        <v>40058 Sögüt Can</v>
      </c>
      <c r="C752" t="str">
        <f>VLOOKUP(bron[[#This Row],[personeelsnr]],'data hastus'!$A:$C,2,0)</f>
        <v>Sögüt</v>
      </c>
      <c r="D752" t="str">
        <f>VLOOKUP(bron[[#This Row],[personeelsnr]],'data hastus'!$A:$C,3,0)</f>
        <v>Can</v>
      </c>
      <c r="E752" t="str">
        <f>VLOOKUP(bron[[#This Row],[personeelsnr]],'data hastus'!A:K,11,FALSE)</f>
        <v>Christoff Rotty</v>
      </c>
      <c r="F752" s="10">
        <v>45660</v>
      </c>
      <c r="G752" s="6"/>
      <c r="H752" s="6"/>
      <c r="I752" s="6"/>
      <c r="J752"/>
      <c r="K752"/>
      <c r="L752"/>
      <c r="M752"/>
      <c r="N752"/>
      <c r="O752"/>
      <c r="P752"/>
      <c r="Q752"/>
      <c r="R752"/>
      <c r="S752">
        <f>SUM(bron[[#This Row],[Januari]:[December]])</f>
        <v>0</v>
      </c>
      <c r="T752" s="3"/>
      <c r="U752" s="8" t="s">
        <v>1300</v>
      </c>
      <c r="V752" s="8">
        <v>1</v>
      </c>
      <c r="W752" s="8"/>
      <c r="X752" t="s">
        <v>7</v>
      </c>
      <c r="Y752" t="s">
        <v>119</v>
      </c>
    </row>
    <row r="753" spans="1:25" hidden="1" x14ac:dyDescent="0.3">
      <c r="A753">
        <v>40110</v>
      </c>
      <c r="B753" t="str">
        <f>_xlfn.CONCAT(bron[[#This Row],[personeelsnr]]," ",bron[[#This Row],[achternaam]]," ",bron[[#This Row],[voornaam]])</f>
        <v>40110 Vanlerberghe Sandra</v>
      </c>
      <c r="C753" t="str">
        <f>VLOOKUP(bron[[#This Row],[personeelsnr]],'data hastus'!$A:$C,2,0)</f>
        <v>Vanlerberghe</v>
      </c>
      <c r="D753" t="str">
        <f>VLOOKUP(bron[[#This Row],[personeelsnr]],'data hastus'!$A:$C,3,0)</f>
        <v>Sandra</v>
      </c>
      <c r="E753" t="str">
        <f>VLOOKUP(bron[[#This Row],[personeelsnr]],'data hastus'!A:K,11,FALSE)</f>
        <v>Christoff Rotty</v>
      </c>
      <c r="F753" s="10"/>
      <c r="G753" s="6"/>
      <c r="H753" s="6"/>
      <c r="I753" s="6"/>
      <c r="J753">
        <v>1</v>
      </c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45766</v>
      </c>
      <c r="U753" s="8" t="s">
        <v>1144</v>
      </c>
      <c r="V753" s="8">
        <v>1</v>
      </c>
      <c r="W753" s="8"/>
      <c r="X753" t="s">
        <v>3545</v>
      </c>
      <c r="Y753" t="s">
        <v>177</v>
      </c>
    </row>
    <row r="754" spans="1:25" hidden="1" x14ac:dyDescent="0.3">
      <c r="A754">
        <v>40134</v>
      </c>
      <c r="B754" t="str">
        <f>_xlfn.CONCAT(bron[[#This Row],[personeelsnr]]," ",bron[[#This Row],[achternaam]]," ",bron[[#This Row],[voornaam]])</f>
        <v>40134 Cardon Sharon</v>
      </c>
      <c r="C754" t="str">
        <f>VLOOKUP(bron[[#This Row],[personeelsnr]],'data hastus'!$A:$C,2,0)</f>
        <v>Cardon</v>
      </c>
      <c r="D754" t="str">
        <f>VLOOKUP(bron[[#This Row],[personeelsnr]],'data hastus'!$A:$C,3,0)</f>
        <v>Sharon</v>
      </c>
      <c r="E754" t="str">
        <f>VLOOKUP(bron[[#This Row],[personeelsnr]],'data hastus'!A:K,11,FALSE)</f>
        <v>Dominique De Clercq</v>
      </c>
      <c r="F754" s="10"/>
      <c r="G754" s="6"/>
      <c r="H754" s="6"/>
      <c r="I754" s="6"/>
      <c r="J754">
        <v>1</v>
      </c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45775</v>
      </c>
      <c r="U754" s="8" t="s">
        <v>1156</v>
      </c>
      <c r="V754" s="8">
        <v>1</v>
      </c>
      <c r="W754" s="8"/>
      <c r="X754" t="s">
        <v>3546</v>
      </c>
      <c r="Y754" t="s">
        <v>179</v>
      </c>
    </row>
    <row r="755" spans="1:25" hidden="1" x14ac:dyDescent="0.3">
      <c r="A755">
        <v>40134</v>
      </c>
      <c r="B755" t="str">
        <f>_xlfn.CONCAT(bron[[#This Row],[personeelsnr]]," ",bron[[#This Row],[achternaam]]," ",bron[[#This Row],[voornaam]])</f>
        <v>40134 Cardon Sharon</v>
      </c>
      <c r="C755" t="str">
        <f>VLOOKUP(bron[[#This Row],[personeelsnr]],'data hastus'!$A:$C,2,0)</f>
        <v>Cardon</v>
      </c>
      <c r="D755" t="str">
        <f>VLOOKUP(bron[[#This Row],[personeelsnr]],'data hastus'!$A:$C,3,0)</f>
        <v>Sharon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O755" s="5">
        <v>1</v>
      </c>
      <c r="S755" s="5">
        <f>SUM(bron[[#This Row],[Januari]:[December]])</f>
        <v>1</v>
      </c>
      <c r="T755" s="9">
        <v>45902</v>
      </c>
      <c r="U755" s="5" t="s">
        <v>3537</v>
      </c>
      <c r="V755" s="24">
        <v>1</v>
      </c>
      <c r="W755" s="24"/>
      <c r="X755" t="s">
        <v>3546</v>
      </c>
      <c r="Y755" t="s">
        <v>3538</v>
      </c>
    </row>
    <row r="756" spans="1:25" hidden="1" x14ac:dyDescent="0.3">
      <c r="A756">
        <v>40138</v>
      </c>
      <c r="B756" t="str">
        <f>_xlfn.CONCAT(bron[[#This Row],[personeelsnr]]," ",bron[[#This Row],[achternaam]]," ",bron[[#This Row],[voornaam]])</f>
        <v>40138 Moerman Tjimmy</v>
      </c>
      <c r="C756" t="str">
        <f>VLOOKUP(bron[[#This Row],[personeelsnr]],'data hastus'!$A:$C,2,0)</f>
        <v>Moerman</v>
      </c>
      <c r="D756" t="str">
        <f>VLOOKUP(bron[[#This Row],[personeelsnr]],'data hastus'!$A:$C,3,0)</f>
        <v>Tjimmy</v>
      </c>
      <c r="E756" t="str">
        <f>VLOOKUP(bron[[#This Row],[personeelsnr]],'data hastus'!A:K,11,FALSE)</f>
        <v>Christoff Rotty</v>
      </c>
      <c r="F756" s="10"/>
      <c r="G756" s="6">
        <v>1</v>
      </c>
      <c r="H756" s="6"/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45661</v>
      </c>
      <c r="U756" s="8" t="s">
        <v>1003</v>
      </c>
      <c r="V756" s="8">
        <v>1</v>
      </c>
      <c r="W756" s="8"/>
      <c r="X756" t="s">
        <v>3547</v>
      </c>
      <c r="Y756" t="s">
        <v>257</v>
      </c>
    </row>
    <row r="757" spans="1:25" hidden="1" x14ac:dyDescent="0.3">
      <c r="A757">
        <v>40138</v>
      </c>
      <c r="B757" t="str">
        <f>_xlfn.CONCAT(bron[[#This Row],[personeelsnr]]," ",bron[[#This Row],[achternaam]]," ",bron[[#This Row],[voornaam]])</f>
        <v>40138 Moerman Tjimmy</v>
      </c>
      <c r="C757" t="str">
        <f>VLOOKUP(bron[[#This Row],[personeelsnr]],'data hastus'!$A:$C,2,0)</f>
        <v>Moerman</v>
      </c>
      <c r="D757" t="str">
        <f>VLOOKUP(bron[[#This Row],[personeelsnr]],'data hastus'!$A:$C,3,0)</f>
        <v>Tjimmy</v>
      </c>
      <c r="E757" t="str">
        <f>VLOOKUP(bron[[#This Row],[personeelsnr]],'data hastus'!A:K,11,FALSE)</f>
        <v>Christoff Rotty</v>
      </c>
      <c r="F757" s="10"/>
      <c r="G757" s="6">
        <v>1</v>
      </c>
      <c r="H757" s="6"/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45685</v>
      </c>
      <c r="U757" s="8" t="s">
        <v>1031</v>
      </c>
      <c r="V757" s="8">
        <v>1</v>
      </c>
      <c r="W757" s="8"/>
      <c r="X757" t="s">
        <v>3546</v>
      </c>
      <c r="Y757" t="s">
        <v>54</v>
      </c>
    </row>
    <row r="758" spans="1:25" hidden="1" x14ac:dyDescent="0.3">
      <c r="A758" s="15">
        <v>40138</v>
      </c>
      <c r="B758" t="str">
        <f>_xlfn.CONCAT(bron[[#This Row],[personeelsnr]]," ",bron[[#This Row],[achternaam]]," ",bron[[#This Row],[voornaam]])</f>
        <v>40138 Moerman Tjimmy</v>
      </c>
      <c r="C758" s="15" t="str">
        <f>VLOOKUP(bron[[#This Row],[personeelsnr]],'data hastus'!$A:$C,2,0)</f>
        <v>Moerman</v>
      </c>
      <c r="D758" s="15" t="str">
        <f>VLOOKUP(bron[[#This Row],[personeelsnr]],'data hastus'!$A:$C,3,0)</f>
        <v>Tjimmy</v>
      </c>
      <c r="E758" s="15" t="str">
        <f>VLOOKUP(bron[[#This Row],[personeelsnr]],'data hastus'!A:K,11,FALSE)</f>
        <v>Christoff Rotty</v>
      </c>
      <c r="F758" s="16"/>
      <c r="G758" s="21"/>
      <c r="H758" s="21"/>
      <c r="I758" s="21">
        <v>1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>
        <f>SUM(bron[[#This Row],[Januari]:[December]])</f>
        <v>1</v>
      </c>
      <c r="T758" s="22">
        <v>45717</v>
      </c>
      <c r="U758" s="20" t="s">
        <v>1085</v>
      </c>
      <c r="V758" s="8">
        <v>1</v>
      </c>
      <c r="W758" s="20"/>
      <c r="X758" t="s">
        <v>3546</v>
      </c>
      <c r="Y758" s="15" t="s">
        <v>287</v>
      </c>
    </row>
    <row r="759" spans="1:25" hidden="1" x14ac:dyDescent="0.3">
      <c r="A759">
        <v>40138</v>
      </c>
      <c r="B759" t="str">
        <f>_xlfn.CONCAT(bron[[#This Row],[personeelsnr]]," ",bron[[#This Row],[achternaam]]," ",bron[[#This Row],[voornaam]])</f>
        <v>40138 Moerman Tjimmy</v>
      </c>
      <c r="C759" t="str">
        <f>VLOOKUP(bron[[#This Row],[personeelsnr]],'data hastus'!$A:$C,2,0)</f>
        <v>Moerman</v>
      </c>
      <c r="D759" t="str">
        <f>VLOOKUP(bron[[#This Row],[personeelsnr]],'data hastus'!$A:$C,3,0)</f>
        <v>Tjimmy</v>
      </c>
      <c r="E759" t="str">
        <f>VLOOKUP(bron[[#This Row],[personeelsnr]],'data hastus'!A:K,11,FALSE)</f>
        <v>Christoff Rotty</v>
      </c>
      <c r="F759" s="10"/>
      <c r="G759" s="6"/>
      <c r="H759" s="6"/>
      <c r="I759" s="6">
        <v>1</v>
      </c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45727</v>
      </c>
      <c r="U759" s="8" t="s">
        <v>1100</v>
      </c>
      <c r="V759" s="8">
        <v>1</v>
      </c>
      <c r="W759" s="8"/>
      <c r="X759" t="s">
        <v>3547</v>
      </c>
      <c r="Y759" t="s">
        <v>40</v>
      </c>
    </row>
    <row r="760" spans="1:25" hidden="1" x14ac:dyDescent="0.3">
      <c r="A760">
        <v>40138</v>
      </c>
      <c r="B760" t="str">
        <f>_xlfn.CONCAT(bron[[#This Row],[personeelsnr]]," ",bron[[#This Row],[achternaam]]," ",bron[[#This Row],[voornaam]])</f>
        <v>40138 Moerman Tjimmy</v>
      </c>
      <c r="C760" t="str">
        <f>VLOOKUP(bron[[#This Row],[personeelsnr]],'data hastus'!$A:$C,2,0)</f>
        <v>Moerman</v>
      </c>
      <c r="D760" t="str">
        <f>VLOOKUP(bron[[#This Row],[personeelsnr]],'data hastus'!$A:$C,3,0)</f>
        <v>Tjimmy</v>
      </c>
      <c r="E760" t="str">
        <f>VLOOKUP(bron[[#This Row],[personeelsnr]],'data hastus'!A:K,11,FALSE)</f>
        <v>Christoff Rotty</v>
      </c>
      <c r="F760" s="10"/>
      <c r="G760" s="6"/>
      <c r="H760" s="6"/>
      <c r="I760" s="6"/>
      <c r="J760"/>
      <c r="K760">
        <v>1</v>
      </c>
      <c r="L760"/>
      <c r="M760"/>
      <c r="N760"/>
      <c r="O760"/>
      <c r="P760"/>
      <c r="Q760"/>
      <c r="R760"/>
      <c r="S760">
        <f>SUM(bron[[#This Row],[Januari]:[December]])</f>
        <v>1</v>
      </c>
      <c r="T760" s="3">
        <v>45788</v>
      </c>
      <c r="U760" s="8" t="s">
        <v>1171</v>
      </c>
      <c r="V760" s="8">
        <v>1</v>
      </c>
      <c r="W760" s="8"/>
      <c r="X760" t="s">
        <v>3547</v>
      </c>
      <c r="Y760" t="s">
        <v>25</v>
      </c>
    </row>
    <row r="761" spans="1:25" hidden="1" x14ac:dyDescent="0.3">
      <c r="A761">
        <v>40138</v>
      </c>
      <c r="B761" t="str">
        <f>_xlfn.CONCAT(bron[[#This Row],[personeelsnr]]," ",bron[[#This Row],[achternaam]]," ",bron[[#This Row],[voornaam]])</f>
        <v>40138 Moerman Tjimmy</v>
      </c>
      <c r="C761" t="str">
        <f>VLOOKUP(bron[[#This Row],[personeelsnr]],'data hastus'!$A:$C,2,0)</f>
        <v>Moerman</v>
      </c>
      <c r="D761" t="str">
        <f>VLOOKUP(bron[[#This Row],[personeelsnr]],'data hastus'!$A:$C,3,0)</f>
        <v>Tjimmy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N761" s="5">
        <v>1</v>
      </c>
      <c r="S761" s="5">
        <f>SUM(bron[[#This Row],[Januari]:[December]])</f>
        <v>1</v>
      </c>
      <c r="T761" s="9">
        <v>45871</v>
      </c>
      <c r="U761" s="8" t="s">
        <v>1265</v>
      </c>
      <c r="V761" s="24">
        <v>1</v>
      </c>
      <c r="W761" s="24"/>
      <c r="X761" t="s">
        <v>3546</v>
      </c>
      <c r="Y761" t="s">
        <v>25</v>
      </c>
    </row>
    <row r="762" spans="1:25" hidden="1" x14ac:dyDescent="0.3">
      <c r="A762">
        <v>40223</v>
      </c>
      <c r="B762" t="str">
        <f>_xlfn.CONCAT(bron[[#This Row],[personeelsnr]]," ",bron[[#This Row],[achternaam]]," ",bron[[#This Row],[voornaam]])</f>
        <v>40223 Teetaert Billy</v>
      </c>
      <c r="C762" t="str">
        <f>VLOOKUP(bron[[#This Row],[personeelsnr]],'data hastus'!$A:$C,2,0)</f>
        <v>Teetaert</v>
      </c>
      <c r="D762" t="str">
        <f>VLOOKUP(bron[[#This Row],[personeelsnr]],'data hastus'!$A:$C,3,0)</f>
        <v>Billy</v>
      </c>
      <c r="E762" t="str">
        <f>VLOOKUP(bron[[#This Row],[personeelsnr]],'data hastus'!A:K,11,FALSE)</f>
        <v>Dominique De Clercq</v>
      </c>
      <c r="F762" s="10"/>
      <c r="G762" s="6"/>
      <c r="H762" s="6">
        <v>1</v>
      </c>
      <c r="I762" s="6"/>
      <c r="J762"/>
      <c r="K762"/>
      <c r="L762"/>
      <c r="M762"/>
      <c r="N762"/>
      <c r="O762"/>
      <c r="P762"/>
      <c r="Q762"/>
      <c r="R762"/>
      <c r="S762">
        <f>SUM(bron[[#This Row],[Januari]:[December]])</f>
        <v>1</v>
      </c>
      <c r="T762" s="3">
        <v>45699</v>
      </c>
      <c r="U762" s="8" t="s">
        <v>1054</v>
      </c>
      <c r="V762" s="8">
        <v>1</v>
      </c>
      <c r="W762" s="8"/>
      <c r="X762" t="s">
        <v>3547</v>
      </c>
      <c r="Y762" t="s">
        <v>299</v>
      </c>
    </row>
    <row r="763" spans="1:25" hidden="1" x14ac:dyDescent="0.3">
      <c r="A763">
        <v>40223</v>
      </c>
      <c r="B763" t="str">
        <f>_xlfn.CONCAT(bron[[#This Row],[personeelsnr]]," ",bron[[#This Row],[achternaam]]," ",bron[[#This Row],[voornaam]])</f>
        <v>40223 Teetaert Billy</v>
      </c>
      <c r="C763" t="str">
        <f>VLOOKUP(bron[[#This Row],[personeelsnr]],'data hastus'!$A:$C,2,0)</f>
        <v>Teetaert</v>
      </c>
      <c r="D763" t="str">
        <f>VLOOKUP(bron[[#This Row],[personeelsnr]],'data hastus'!$A:$C,3,0)</f>
        <v>Billy</v>
      </c>
      <c r="E763" t="str">
        <f>VLOOKUP(bron[[#This Row],[personeelsnr]],'data hastus'!A:K,11,FALSE)</f>
        <v>Dominique De Clercq</v>
      </c>
      <c r="F763" s="10"/>
      <c r="G763" s="6"/>
      <c r="H763" s="6">
        <v>1</v>
      </c>
      <c r="I763" s="6"/>
      <c r="J763"/>
      <c r="K763"/>
      <c r="L763"/>
      <c r="M763"/>
      <c r="N763"/>
      <c r="O763"/>
      <c r="P763"/>
      <c r="Q763"/>
      <c r="R763"/>
      <c r="S763">
        <f>SUM(bron[[#This Row],[Januari]:[December]])</f>
        <v>1</v>
      </c>
      <c r="T763" s="3">
        <v>45711</v>
      </c>
      <c r="U763" s="8" t="s">
        <v>1076</v>
      </c>
      <c r="V763" s="8">
        <v>1</v>
      </c>
      <c r="W763" s="8"/>
      <c r="X763" t="s">
        <v>3547</v>
      </c>
      <c r="Y763" t="s">
        <v>25</v>
      </c>
    </row>
    <row r="764" spans="1:25" hidden="1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L764" s="5">
        <v>1</v>
      </c>
      <c r="S764" s="5">
        <f>SUM(bron[[#This Row],[Januari]:[December]])</f>
        <v>1</v>
      </c>
      <c r="T764" s="9">
        <v>45837</v>
      </c>
      <c r="U764" s="8" t="s">
        <v>1220</v>
      </c>
      <c r="V764" s="24">
        <v>1</v>
      </c>
      <c r="W764" s="24"/>
      <c r="X764" t="s">
        <v>3547</v>
      </c>
      <c r="Y764" t="s">
        <v>271</v>
      </c>
    </row>
    <row r="765" spans="1:25" hidden="1" x14ac:dyDescent="0.3">
      <c r="A765">
        <v>40266</v>
      </c>
      <c r="B765" t="str">
        <f>_xlfn.CONCAT(bron[[#This Row],[personeelsnr]]," ",bron[[#This Row],[achternaam]]," ",bron[[#This Row],[voornaam]])</f>
        <v>40266 Taibi Yassine</v>
      </c>
      <c r="C765" t="str">
        <f>VLOOKUP(bron[[#This Row],[personeelsnr]],'data hastus'!$A:$C,2,0)</f>
        <v>Taibi</v>
      </c>
      <c r="D765" t="str">
        <f>VLOOKUP(bron[[#This Row],[personeelsnr]],'data hastus'!$A:$C,3,0)</f>
        <v>Yassine</v>
      </c>
      <c r="E765" t="str">
        <f>VLOOKUP(bron[[#This Row],[personeelsnr]],'data hastus'!A:K,11,FALSE)</f>
        <v>Christoff Rotty</v>
      </c>
      <c r="F765" s="10"/>
      <c r="G765" s="6">
        <v>1</v>
      </c>
      <c r="H765" s="6"/>
      <c r="I765" s="6"/>
      <c r="J765"/>
      <c r="K765"/>
      <c r="L765"/>
      <c r="M765"/>
      <c r="N765"/>
      <c r="O765"/>
      <c r="P765"/>
      <c r="Q765"/>
      <c r="R765"/>
      <c r="S765">
        <f>SUM(bron[[#This Row],[Januari]:[December]])</f>
        <v>1</v>
      </c>
      <c r="T765" s="3">
        <v>45667</v>
      </c>
      <c r="U765" s="8" t="s">
        <v>1008</v>
      </c>
      <c r="V765" s="8">
        <v>1</v>
      </c>
      <c r="W765" s="8"/>
      <c r="X765" t="s">
        <v>3546</v>
      </c>
      <c r="Y765" t="s">
        <v>102</v>
      </c>
    </row>
    <row r="766" spans="1:25" hidden="1" x14ac:dyDescent="0.3">
      <c r="A766">
        <v>40266</v>
      </c>
      <c r="B766" t="str">
        <f>_xlfn.CONCAT(bron[[#This Row],[personeelsnr]]," ",bron[[#This Row],[achternaam]]," ",bron[[#This Row],[voornaam]])</f>
        <v>40266 Taibi Yassine</v>
      </c>
      <c r="C766" t="str">
        <f>VLOOKUP(bron[[#This Row],[personeelsnr]],'data hastus'!$A:$C,2,0)</f>
        <v>Taibi</v>
      </c>
      <c r="D766" t="str">
        <f>VLOOKUP(bron[[#This Row],[personeelsnr]],'data hastus'!$A:$C,3,0)</f>
        <v>Yassine</v>
      </c>
      <c r="E766" t="str">
        <f>VLOOKUP(bron[[#This Row],[personeelsnr]],'data hastus'!A:K,11,FALSE)</f>
        <v>Christoff Rotty</v>
      </c>
      <c r="F766" s="10"/>
      <c r="G766" s="6"/>
      <c r="H766" s="6">
        <v>1</v>
      </c>
      <c r="I766" s="6"/>
      <c r="J766"/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45693</v>
      </c>
      <c r="U766" s="8" t="s">
        <v>1044</v>
      </c>
      <c r="V766" s="8">
        <v>1</v>
      </c>
      <c r="W766" s="8"/>
      <c r="X766" t="s">
        <v>3547</v>
      </c>
      <c r="Y766" t="s">
        <v>43</v>
      </c>
    </row>
    <row r="767" spans="1:25" hidden="1" x14ac:dyDescent="0.3">
      <c r="A767">
        <v>40278</v>
      </c>
      <c r="B767" t="str">
        <f>_xlfn.CONCAT(bron[[#This Row],[personeelsnr]]," ",bron[[#This Row],[achternaam]]," ",bron[[#This Row],[voornaam]])</f>
        <v>40278 Ates Firat</v>
      </c>
      <c r="C767" t="str">
        <f>VLOOKUP(bron[[#This Row],[personeelsnr]],'data hastus'!$A:$C,2,0)</f>
        <v>Ates</v>
      </c>
      <c r="D767" t="str">
        <f>VLOOKUP(bron[[#This Row],[personeelsnr]],'data hastus'!$A:$C,3,0)</f>
        <v>Firat</v>
      </c>
      <c r="E767" t="str">
        <f>VLOOKUP(bron[[#This Row],[personeelsnr]],'data hastus'!A:K,11,FALSE)</f>
        <v>Christoff Rotty</v>
      </c>
      <c r="F767" s="10"/>
      <c r="G767" s="7"/>
      <c r="H767" s="7"/>
      <c r="I767" s="7"/>
      <c r="K767" s="5">
        <v>1</v>
      </c>
      <c r="S767" s="5">
        <f>SUM(bron[[#This Row],[Januari]:[December]])</f>
        <v>1</v>
      </c>
      <c r="T767" s="9">
        <v>45800</v>
      </c>
      <c r="U767" s="5" t="s">
        <v>1181</v>
      </c>
      <c r="V767" s="8">
        <v>1</v>
      </c>
      <c r="X767" t="s">
        <v>3547</v>
      </c>
      <c r="Y767" t="s">
        <v>37</v>
      </c>
    </row>
    <row r="768" spans="1:25" hidden="1" x14ac:dyDescent="0.3">
      <c r="A768">
        <v>40278</v>
      </c>
      <c r="B768" t="str">
        <f>_xlfn.CONCAT(bron[[#This Row],[personeelsnr]]," ",bron[[#This Row],[achternaam]]," ",bron[[#This Row],[voornaam]])</f>
        <v>40278 Ates Firat</v>
      </c>
      <c r="C768" t="str">
        <f>VLOOKUP(bron[[#This Row],[personeelsnr]],'data hastus'!$A:$C,2,0)</f>
        <v>Ates</v>
      </c>
      <c r="D768" t="str">
        <f>VLOOKUP(bron[[#This Row],[personeelsnr]],'data hastus'!$A:$C,3,0)</f>
        <v>Firat</v>
      </c>
      <c r="E768" t="str">
        <f>VLOOKUP(bron[[#This Row],[personeelsnr]],'data hastus'!A:K,11,FALSE)</f>
        <v>Christoff Rotty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45810</v>
      </c>
      <c r="U768" s="8" t="s">
        <v>1189</v>
      </c>
      <c r="V768" s="8">
        <v>1</v>
      </c>
      <c r="W768" s="8"/>
      <c r="X768" t="s">
        <v>3547</v>
      </c>
      <c r="Y768" t="s">
        <v>98</v>
      </c>
    </row>
    <row r="769" spans="1:25" hidden="1" x14ac:dyDescent="0.3">
      <c r="A769">
        <v>40362</v>
      </c>
      <c r="B769" t="str">
        <f>_xlfn.CONCAT(bron[[#This Row],[personeelsnr]]," ",bron[[#This Row],[achternaam]]," ",bron[[#This Row],[voornaam]])</f>
        <v>40362 Kuru Cetin</v>
      </c>
      <c r="C769" t="str">
        <f>VLOOKUP(bron[[#This Row],[personeelsnr]],'data hastus'!$A:$C,2,0)</f>
        <v>Kuru</v>
      </c>
      <c r="D769" t="str">
        <f>VLOOKUP(bron[[#This Row],[personeelsnr]],'data hastus'!$A:$C,3,0)</f>
        <v>Cetin</v>
      </c>
      <c r="E769" t="str">
        <f>VLOOKUP(bron[[#This Row],[personeelsnr]],'data hastus'!A:K,11,FALSE)</f>
        <v>Kenneth De Rick</v>
      </c>
      <c r="F769" s="10"/>
      <c r="G769" s="7"/>
      <c r="H769" s="7"/>
      <c r="I769" s="7"/>
      <c r="L769" s="5">
        <v>1</v>
      </c>
      <c r="S769" s="5">
        <f>SUM(bron[[#This Row],[Januari]:[December]])</f>
        <v>1</v>
      </c>
      <c r="T769" s="9">
        <v>45833</v>
      </c>
      <c r="U769" s="8" t="s">
        <v>1218</v>
      </c>
      <c r="V769" s="24">
        <v>1</v>
      </c>
      <c r="W769" s="24"/>
      <c r="X769" t="s">
        <v>3547</v>
      </c>
      <c r="Y769" t="s">
        <v>51</v>
      </c>
    </row>
    <row r="770" spans="1:25" hidden="1" x14ac:dyDescent="0.3">
      <c r="A770">
        <v>40362</v>
      </c>
      <c r="B770" t="str">
        <f>_xlfn.CONCAT(bron[[#This Row],[personeelsnr]]," ",bron[[#This Row],[achternaam]]," ",bron[[#This Row],[voornaam]])</f>
        <v>40362 Kuru Cetin</v>
      </c>
      <c r="C770" t="str">
        <f>VLOOKUP(bron[[#This Row],[personeelsnr]],'data hastus'!$A:$C,2,0)</f>
        <v>Kuru</v>
      </c>
      <c r="D770" t="str">
        <f>VLOOKUP(bron[[#This Row],[personeelsnr]],'data hastus'!$A:$C,3,0)</f>
        <v>Cetin</v>
      </c>
      <c r="E770" t="str">
        <f>VLOOKUP(bron[[#This Row],[personeelsnr]],'data hastus'!A:K,11,FALSE)</f>
        <v>Kenneth De Rick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45848</v>
      </c>
      <c r="U770" s="8" t="s">
        <v>1240</v>
      </c>
      <c r="V770" s="24">
        <v>1</v>
      </c>
      <c r="W770" s="24"/>
      <c r="X770" t="s">
        <v>3546</v>
      </c>
      <c r="Y770" t="s">
        <v>519</v>
      </c>
    </row>
    <row r="771" spans="1:25" hidden="1" x14ac:dyDescent="0.3">
      <c r="A771">
        <v>40393</v>
      </c>
      <c r="B771" t="str">
        <f>_xlfn.CONCAT(bron[[#This Row],[personeelsnr]]," ",bron[[#This Row],[achternaam]]," ",bron[[#This Row],[voornaam]])</f>
        <v>40393 Salimova Eydzhan</v>
      </c>
      <c r="C771" t="str">
        <f>VLOOKUP(bron[[#This Row],[personeelsnr]],'data hastus'!$A:$C,2,0)</f>
        <v>Salimova</v>
      </c>
      <c r="D771" t="str">
        <f>VLOOKUP(bron[[#This Row],[personeelsnr]],'data hastus'!$A:$C,3,0)</f>
        <v>Eydzhan</v>
      </c>
      <c r="E771" t="str">
        <f>VLOOKUP(bron[[#This Row],[personeelsnr]],'data hastus'!A:K,11,FALSE)</f>
        <v>Dominique De Clercq</v>
      </c>
      <c r="F771" s="10"/>
      <c r="G771" s="7"/>
      <c r="H771" s="7"/>
      <c r="I771" s="7"/>
      <c r="O771" s="5">
        <v>1</v>
      </c>
      <c r="S771" s="5">
        <f>SUM(bron[[#This Row],[Januari]:[December]])</f>
        <v>1</v>
      </c>
      <c r="T771" s="9">
        <v>45792</v>
      </c>
      <c r="U771" s="8" t="s">
        <v>1174</v>
      </c>
      <c r="V771" s="8">
        <v>1</v>
      </c>
      <c r="W771" s="8"/>
      <c r="X771" t="s">
        <v>3546</v>
      </c>
      <c r="Y771" t="s">
        <v>175</v>
      </c>
    </row>
    <row r="772" spans="1:25" hidden="1" x14ac:dyDescent="0.3">
      <c r="A772">
        <v>40403</v>
      </c>
      <c r="B772" t="str">
        <f>_xlfn.CONCAT(bron[[#This Row],[personeelsnr]]," ",bron[[#This Row],[achternaam]]," ",bron[[#This Row],[voornaam]])</f>
        <v>40403 Prové Michaël</v>
      </c>
      <c r="C772" t="str">
        <f>VLOOKUP(bron[[#This Row],[personeelsnr]],'data hastus'!$A:$C,2,0)</f>
        <v>Prové</v>
      </c>
      <c r="D772" t="str">
        <f>VLOOKUP(bron[[#This Row],[personeelsnr]],'data hastus'!$A:$C,3,0)</f>
        <v>Michaël</v>
      </c>
      <c r="E772" t="str">
        <f>VLOOKUP(bron[[#This Row],[personeelsnr]],'data hastus'!A:K,11,FALSE)</f>
        <v>Dominique De Clercq</v>
      </c>
      <c r="F772" s="10">
        <v>45890</v>
      </c>
      <c r="G772" s="7"/>
      <c r="H772" s="7"/>
      <c r="I772" s="7"/>
      <c r="N772" s="5">
        <v>1</v>
      </c>
      <c r="S772" s="5">
        <f>SUM(bron[[#This Row],[Januari]:[December]])</f>
        <v>1</v>
      </c>
      <c r="U772" s="5" t="s">
        <v>1311</v>
      </c>
      <c r="V772" s="24">
        <v>1</v>
      </c>
      <c r="W772" s="24"/>
      <c r="X772" t="s">
        <v>7</v>
      </c>
      <c r="Y772" t="s">
        <v>537</v>
      </c>
    </row>
    <row r="773" spans="1:25" hidden="1" x14ac:dyDescent="0.3">
      <c r="A773">
        <v>40443</v>
      </c>
      <c r="B773" t="str">
        <f>_xlfn.CONCAT(bron[[#This Row],[personeelsnr]]," ",bron[[#This Row],[achternaam]]," ",bron[[#This Row],[voornaam]])</f>
        <v>40443 Fakash Mahmoud</v>
      </c>
      <c r="C773" t="str">
        <f>VLOOKUP(bron[[#This Row],[personeelsnr]],'data hastus'!$A:$C,2,0)</f>
        <v>Fakash</v>
      </c>
      <c r="D773" t="str">
        <f>VLOOKUP(bron[[#This Row],[personeelsnr]],'data hastus'!$A:$C,3,0)</f>
        <v>Mahmoud</v>
      </c>
      <c r="E773" t="str">
        <f>VLOOKUP(bron[[#This Row],[personeelsnr]],'data hastus'!A:K,11,FALSE)</f>
        <v>Bart Van Der Beken</v>
      </c>
      <c r="F773" s="10"/>
      <c r="G773" s="6"/>
      <c r="H773" s="6"/>
      <c r="I773" s="6"/>
      <c r="J773">
        <v>1</v>
      </c>
      <c r="K773"/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45762</v>
      </c>
      <c r="U773" s="8" t="s">
        <v>1138</v>
      </c>
      <c r="V773" s="8">
        <v>1</v>
      </c>
      <c r="W773" s="8"/>
      <c r="X773" t="s">
        <v>3546</v>
      </c>
      <c r="Y773" t="s">
        <v>51</v>
      </c>
    </row>
    <row r="774" spans="1:25" hidden="1" x14ac:dyDescent="0.3">
      <c r="A774">
        <v>40444</v>
      </c>
      <c r="B774" t="str">
        <f>_xlfn.CONCAT(bron[[#This Row],[personeelsnr]]," ",bron[[#This Row],[achternaam]]," ",bron[[#This Row],[voornaam]])</f>
        <v>40444 Van Damme Glenn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Glenn</v>
      </c>
      <c r="E774" t="str">
        <f>VLOOKUP(bron[[#This Row],[personeelsnr]],'data hastus'!A:K,11,FALSE)</f>
        <v>Els Dewulf</v>
      </c>
      <c r="F774" s="10"/>
      <c r="G774" s="6">
        <v>1</v>
      </c>
      <c r="H774" s="6"/>
      <c r="I774" s="6"/>
      <c r="J774"/>
      <c r="K774"/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45670</v>
      </c>
      <c r="U774" s="8" t="s">
        <v>1012</v>
      </c>
      <c r="V774" s="8">
        <v>1</v>
      </c>
      <c r="W774" s="8"/>
      <c r="X774" t="s">
        <v>3547</v>
      </c>
      <c r="Y774" t="s">
        <v>100</v>
      </c>
    </row>
    <row r="775" spans="1:25" hidden="1" x14ac:dyDescent="0.3">
      <c r="A775">
        <v>40478</v>
      </c>
      <c r="B775" t="str">
        <f>_xlfn.CONCAT(bron[[#This Row],[personeelsnr]]," ",bron[[#This Row],[achternaam]]," ",bron[[#This Row],[voornaam]])</f>
        <v>40478 Hashimi Ali Mir</v>
      </c>
      <c r="C775" t="str">
        <f>VLOOKUP(bron[[#This Row],[personeelsnr]],'data hastus'!$A:$C,2,0)</f>
        <v>Hashimi</v>
      </c>
      <c r="D775" t="str">
        <f>VLOOKUP(bron[[#This Row],[personeelsnr]],'data hastus'!$A:$C,3,0)</f>
        <v>Ali Mir</v>
      </c>
      <c r="E775" t="str">
        <f>VLOOKUP(bron[[#This Row],[personeelsnr]],'data hastus'!A:K,11,FALSE)</f>
        <v>Bart Van Der Beken</v>
      </c>
      <c r="F775" s="10"/>
      <c r="G775" s="6"/>
      <c r="H775" s="6"/>
      <c r="I775" s="6"/>
      <c r="J775">
        <v>1</v>
      </c>
      <c r="K775"/>
      <c r="L775"/>
      <c r="M775"/>
      <c r="N775"/>
      <c r="O775"/>
      <c r="P775"/>
      <c r="Q775"/>
      <c r="R775"/>
      <c r="S775">
        <f>SUM(bron[[#This Row],[Januari]:[December]])</f>
        <v>1</v>
      </c>
      <c r="T775" s="3">
        <v>45769</v>
      </c>
      <c r="U775" s="8" t="s">
        <v>1147</v>
      </c>
      <c r="V775" s="8">
        <v>1</v>
      </c>
      <c r="W775" s="8"/>
      <c r="X775" t="s">
        <v>3546</v>
      </c>
      <c r="Y775" t="s">
        <v>245</v>
      </c>
    </row>
    <row r="776" spans="1:25" hidden="1" x14ac:dyDescent="0.3">
      <c r="A776">
        <v>40478</v>
      </c>
      <c r="B776" t="str">
        <f>_xlfn.CONCAT(bron[[#This Row],[personeelsnr]]," ",bron[[#This Row],[achternaam]]," ",bron[[#This Row],[voornaam]])</f>
        <v>40478 Hashimi Ali Mir</v>
      </c>
      <c r="C776" t="str">
        <f>VLOOKUP(bron[[#This Row],[personeelsnr]],'data hastus'!$A:$C,2,0)</f>
        <v>Hashimi</v>
      </c>
      <c r="D776" t="str">
        <f>VLOOKUP(bron[[#This Row],[personeelsnr]],'data hastus'!$A:$C,3,0)</f>
        <v>Ali Mir</v>
      </c>
      <c r="E776" t="str">
        <f>VLOOKUP(bron[[#This Row],[personeelsnr]],'data hastus'!A:K,11,FALSE)</f>
        <v>Bart Van Der Beken</v>
      </c>
      <c r="F776" s="10"/>
      <c r="G776" s="7"/>
      <c r="H776" s="7"/>
      <c r="I776" s="7"/>
      <c r="L776" s="5">
        <v>1</v>
      </c>
      <c r="S776" s="5">
        <f>SUM(bron[[#This Row],[Januari]:[December]])</f>
        <v>1</v>
      </c>
      <c r="T776" s="9">
        <v>45831</v>
      </c>
      <c r="U776" s="8" t="s">
        <v>1214</v>
      </c>
      <c r="V776" s="24">
        <v>1</v>
      </c>
      <c r="W776" s="24"/>
      <c r="X776" t="s">
        <v>3546</v>
      </c>
      <c r="Y776" t="s">
        <v>84</v>
      </c>
    </row>
    <row r="777" spans="1:25" hidden="1" x14ac:dyDescent="0.3">
      <c r="A777">
        <v>40591</v>
      </c>
      <c r="B777" t="str">
        <f>_xlfn.CONCAT(bron[[#This Row],[personeelsnr]]," ",bron[[#This Row],[achternaam]]," ",bron[[#This Row],[voornaam]])</f>
        <v>40591 Hiloui Mahmoud</v>
      </c>
      <c r="C777" t="str">
        <f>VLOOKUP(bron[[#This Row],[personeelsnr]],'data hastus'!$A:$C,2,0)</f>
        <v>Hiloui</v>
      </c>
      <c r="D777" t="str">
        <f>VLOOKUP(bron[[#This Row],[personeelsnr]],'data hastus'!$A:$C,3,0)</f>
        <v>Mahmoud</v>
      </c>
      <c r="E777" t="str">
        <f>VLOOKUP(bron[[#This Row],[personeelsnr]],'data hastus'!A:K,11,FALSE)</f>
        <v>Dominique De Clercq</v>
      </c>
      <c r="F777" s="10"/>
      <c r="G777" s="6"/>
      <c r="H777" s="6"/>
      <c r="I777" s="6">
        <v>1</v>
      </c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45721</v>
      </c>
      <c r="U777" s="8" t="s">
        <v>1090</v>
      </c>
      <c r="V777" s="8">
        <v>1</v>
      </c>
      <c r="W777" s="8"/>
      <c r="X777" t="s">
        <v>3547</v>
      </c>
      <c r="Y777" t="s">
        <v>22</v>
      </c>
    </row>
    <row r="778" spans="1:25" hidden="1" x14ac:dyDescent="0.3">
      <c r="A778">
        <v>40591</v>
      </c>
      <c r="B778" t="str">
        <f>_xlfn.CONCAT(bron[[#This Row],[personeelsnr]]," ",bron[[#This Row],[achternaam]]," ",bron[[#This Row],[voornaam]])</f>
        <v>40591 Hiloui Mahmoud</v>
      </c>
      <c r="C778" t="str">
        <f>VLOOKUP(bron[[#This Row],[personeelsnr]],'data hastus'!$A:$C,2,0)</f>
        <v>Hiloui</v>
      </c>
      <c r="D778" t="str">
        <f>VLOOKUP(bron[[#This Row],[personeelsnr]],'data hastus'!$A:$C,3,0)</f>
        <v>Mahmoud</v>
      </c>
      <c r="E778" t="str">
        <f>VLOOKUP(bron[[#This Row],[personeelsnr]],'data hastus'!A:K,11,FALSE)</f>
        <v>Dominique De Clercq</v>
      </c>
      <c r="F778" s="10"/>
      <c r="G778" s="6"/>
      <c r="H778" s="6"/>
      <c r="I778" s="6"/>
      <c r="J778">
        <v>1</v>
      </c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45775</v>
      </c>
      <c r="U778" s="8" t="s">
        <v>1155</v>
      </c>
      <c r="V778" s="8">
        <v>1</v>
      </c>
      <c r="W778" s="8"/>
      <c r="X778" t="s">
        <v>3547</v>
      </c>
      <c r="Y778" t="s">
        <v>157</v>
      </c>
    </row>
    <row r="779" spans="1:25" hidden="1" x14ac:dyDescent="0.3">
      <c r="A779">
        <v>40645</v>
      </c>
      <c r="B779" t="str">
        <f>_xlfn.CONCAT(bron[[#This Row],[personeelsnr]]," ",bron[[#This Row],[achternaam]]," ",bron[[#This Row],[voornaam]])</f>
        <v>40645 Bytebier Jason</v>
      </c>
      <c r="C779" t="str">
        <f>VLOOKUP(bron[[#This Row],[personeelsnr]],'data hastus'!$A:$C,2,0)</f>
        <v>Bytebier</v>
      </c>
      <c r="D779" t="str">
        <f>VLOOKUP(bron[[#This Row],[personeelsnr]],'data hastus'!$A:$C,3,0)</f>
        <v>Jason</v>
      </c>
      <c r="E779" t="str">
        <f>VLOOKUP(bron[[#This Row],[personeelsnr]],'data hastus'!A:K,11,FALSE)</f>
        <v>Els Dewulf</v>
      </c>
      <c r="F779" s="10"/>
      <c r="G779" s="7"/>
      <c r="H779" s="7"/>
      <c r="I779" s="7"/>
      <c r="L779" s="5">
        <v>1</v>
      </c>
      <c r="S779" s="5">
        <f>SUM(bron[[#This Row],[Januari]:[December]])</f>
        <v>1</v>
      </c>
      <c r="T779" s="9">
        <v>45818</v>
      </c>
      <c r="U779" s="8" t="s">
        <v>1201</v>
      </c>
      <c r="V779" s="24">
        <v>1</v>
      </c>
      <c r="W779" s="24"/>
      <c r="X779" t="s">
        <v>3546</v>
      </c>
      <c r="Y779" t="s">
        <v>16</v>
      </c>
    </row>
    <row r="780" spans="1:25" hidden="1" x14ac:dyDescent="0.3">
      <c r="A780">
        <v>40652</v>
      </c>
      <c r="B780" t="str">
        <f>_xlfn.CONCAT(bron[[#This Row],[personeelsnr]]," ",bron[[#This Row],[achternaam]]," ",bron[[#This Row],[voornaam]])</f>
        <v>40652 Van Damme Gilyann</v>
      </c>
      <c r="C780" t="str">
        <f>VLOOKUP(bron[[#This Row],[personeelsnr]],'data hastus'!$A:$C,2,0)</f>
        <v>Van Damme</v>
      </c>
      <c r="D780" t="str">
        <f>VLOOKUP(bron[[#This Row],[personeelsnr]],'data hastus'!$A:$C,3,0)</f>
        <v>Gilyann</v>
      </c>
      <c r="E780" t="str">
        <f>VLOOKUP(bron[[#This Row],[personeelsnr]],'data hastus'!A:K,11,FALSE)</f>
        <v>Els Vanhoe</v>
      </c>
      <c r="F780" s="10"/>
      <c r="G780" s="6">
        <v>1</v>
      </c>
      <c r="H780" s="6"/>
      <c r="I780" s="6"/>
      <c r="J780"/>
      <c r="K780"/>
      <c r="L780"/>
      <c r="M780"/>
      <c r="N780"/>
      <c r="O780"/>
      <c r="P780"/>
      <c r="Q780"/>
      <c r="R780"/>
      <c r="S780">
        <f>SUM(bron[[#This Row],[Januari]:[December]])</f>
        <v>1</v>
      </c>
      <c r="T780" s="3">
        <v>45687</v>
      </c>
      <c r="U780" s="8" t="s">
        <v>1036</v>
      </c>
      <c r="V780" s="8">
        <v>1</v>
      </c>
      <c r="W780" s="8"/>
      <c r="X780" t="s">
        <v>3547</v>
      </c>
      <c r="Y780" t="s">
        <v>241</v>
      </c>
    </row>
    <row r="781" spans="1:25" hidden="1" x14ac:dyDescent="0.3">
      <c r="A781">
        <v>40652</v>
      </c>
      <c r="B781" t="str">
        <f>_xlfn.CONCAT(bron[[#This Row],[personeelsnr]]," ",bron[[#This Row],[achternaam]]," ",bron[[#This Row],[voornaam]])</f>
        <v>40652 Van Damme Gilyann</v>
      </c>
      <c r="C781" t="str">
        <f>VLOOKUP(bron[[#This Row],[personeelsnr]],'data hastus'!$A:$C,2,0)</f>
        <v>Van Damme</v>
      </c>
      <c r="D781" t="str">
        <f>VLOOKUP(bron[[#This Row],[personeelsnr]],'data hastus'!$A:$C,3,0)</f>
        <v>Gilyann</v>
      </c>
      <c r="E781" t="str">
        <f>VLOOKUP(bron[[#This Row],[personeelsnr]],'data hastus'!A:K,11,FALSE)</f>
        <v>Els Vanhoe</v>
      </c>
      <c r="F781" s="10"/>
      <c r="G781" s="6"/>
      <c r="H781" s="6"/>
      <c r="I781" s="6"/>
      <c r="J781"/>
      <c r="K781">
        <v>1</v>
      </c>
      <c r="L781"/>
      <c r="M781"/>
      <c r="N781"/>
      <c r="O781"/>
      <c r="P781"/>
      <c r="Q781"/>
      <c r="R781"/>
      <c r="S781">
        <f>SUM(bron[[#This Row],[Januari]:[December]])</f>
        <v>1</v>
      </c>
      <c r="T781" s="3">
        <v>45779</v>
      </c>
      <c r="U781" s="8" t="s">
        <v>1022</v>
      </c>
      <c r="V781" s="8">
        <v>1</v>
      </c>
      <c r="W781" s="8"/>
      <c r="X781" t="s">
        <v>3547</v>
      </c>
      <c r="Y781" t="s">
        <v>40</v>
      </c>
    </row>
    <row r="782" spans="1:25" hidden="1" x14ac:dyDescent="0.3">
      <c r="A782">
        <v>40652</v>
      </c>
      <c r="B782" t="str">
        <f>_xlfn.CONCAT(bron[[#This Row],[personeelsnr]]," ",bron[[#This Row],[achternaam]]," ",bron[[#This Row],[voornaam]])</f>
        <v>40652 Van Damme Gilyann</v>
      </c>
      <c r="C782" t="str">
        <f>VLOOKUP(bron[[#This Row],[personeelsnr]],'data hastus'!$A:$C,2,0)</f>
        <v>Van Damme</v>
      </c>
      <c r="D782" t="str">
        <f>VLOOKUP(bron[[#This Row],[personeelsnr]],'data hastus'!$A:$C,3,0)</f>
        <v>Gilyann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45779</v>
      </c>
      <c r="U782" s="8" t="s">
        <v>1162</v>
      </c>
      <c r="V782" s="24">
        <v>1</v>
      </c>
      <c r="W782" s="24"/>
      <c r="X782" t="s">
        <v>3547</v>
      </c>
      <c r="Y782" t="s">
        <v>40</v>
      </c>
    </row>
    <row r="783" spans="1:25" hidden="1" x14ac:dyDescent="0.3">
      <c r="A783">
        <v>40652</v>
      </c>
      <c r="B783" t="str">
        <f>_xlfn.CONCAT(bron[[#This Row],[personeelsnr]]," ",bron[[#This Row],[achternaam]]," ",bron[[#This Row],[voornaam]])</f>
        <v>40652 Van Damme Gilyann</v>
      </c>
      <c r="C783" t="str">
        <f>VLOOKUP(bron[[#This Row],[personeelsnr]],'data hastus'!$A:$C,2,0)</f>
        <v>Van Damme</v>
      </c>
      <c r="D783" t="str">
        <f>VLOOKUP(bron[[#This Row],[personeelsnr]],'data hastus'!$A:$C,3,0)</f>
        <v>Gilyann</v>
      </c>
      <c r="E783" t="str">
        <f>VLOOKUP(bron[[#This Row],[personeelsnr]],'data hastus'!A:K,11,FALSE)</f>
        <v>Els Vanhoe</v>
      </c>
      <c r="F783" s="10"/>
      <c r="G783" s="6"/>
      <c r="H783" s="6"/>
      <c r="I783" s="6"/>
      <c r="J783"/>
      <c r="K783">
        <v>1</v>
      </c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45784</v>
      </c>
      <c r="U783" s="8" t="s">
        <v>1167</v>
      </c>
      <c r="V783" s="8">
        <v>1</v>
      </c>
      <c r="W783" s="8"/>
      <c r="X783" t="s">
        <v>3547</v>
      </c>
      <c r="Y783" t="s">
        <v>295</v>
      </c>
    </row>
    <row r="784" spans="1:25" hidden="1" x14ac:dyDescent="0.3">
      <c r="A784">
        <v>40744</v>
      </c>
      <c r="B784" t="str">
        <f>_xlfn.CONCAT(bron[[#This Row],[personeelsnr]]," ",bron[[#This Row],[achternaam]]," ",bron[[#This Row],[voornaam]])</f>
        <v>40744 Gözüküçük Ugur</v>
      </c>
      <c r="C784" t="str">
        <f>VLOOKUP(bron[[#This Row],[personeelsnr]],'data hastus'!$A:$C,2,0)</f>
        <v>Gözüküçük</v>
      </c>
      <c r="D784" t="str">
        <f>VLOOKUP(bron[[#This Row],[personeelsnr]],'data hastus'!$A:$C,3,0)</f>
        <v>Ugur</v>
      </c>
      <c r="E784" t="str">
        <f>VLOOKUP(bron[[#This Row],[personeelsnr]],'data hastus'!A:K,11,FALSE)</f>
        <v>Bart Van Der Beken</v>
      </c>
      <c r="F784" s="10"/>
      <c r="G784" s="6"/>
      <c r="H784" s="6">
        <v>1</v>
      </c>
      <c r="I784" s="6"/>
      <c r="J784"/>
      <c r="K784"/>
      <c r="L784"/>
      <c r="M784"/>
      <c r="N784"/>
      <c r="O784"/>
      <c r="P784"/>
      <c r="Q784"/>
      <c r="R784"/>
      <c r="S784">
        <f>SUM(bron[[#This Row],[Januari]:[December]])</f>
        <v>1</v>
      </c>
      <c r="T784" s="3">
        <v>45709</v>
      </c>
      <c r="U784" s="8" t="s">
        <v>1072</v>
      </c>
      <c r="V784" s="8">
        <v>1</v>
      </c>
      <c r="W784" s="8"/>
      <c r="X784" t="s">
        <v>3546</v>
      </c>
      <c r="Y784" t="s">
        <v>16</v>
      </c>
    </row>
    <row r="785" spans="1:25" hidden="1" x14ac:dyDescent="0.3">
      <c r="A785">
        <v>40744</v>
      </c>
      <c r="B785" t="str">
        <f>_xlfn.CONCAT(bron[[#This Row],[personeelsnr]]," ",bron[[#This Row],[achternaam]]," ",bron[[#This Row],[voornaam]])</f>
        <v>40744 Gözüküçük Ugur</v>
      </c>
      <c r="C785" t="str">
        <f>VLOOKUP(bron[[#This Row],[personeelsnr]],'data hastus'!$A:$C,2,0)</f>
        <v>Gözüküçük</v>
      </c>
      <c r="D785" t="str">
        <f>VLOOKUP(bron[[#This Row],[personeelsnr]],'data hastus'!$A:$C,3,0)</f>
        <v>Ugur</v>
      </c>
      <c r="E785" t="str">
        <f>VLOOKUP(bron[[#This Row],[personeelsnr]],'data hastus'!A:K,11,FALSE)</f>
        <v>Bart Van Der Beken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45715</v>
      </c>
      <c r="U785" s="8" t="s">
        <v>1081</v>
      </c>
      <c r="V785" s="8">
        <v>1</v>
      </c>
      <c r="W785" s="8"/>
      <c r="X785" t="s">
        <v>3546</v>
      </c>
      <c r="Y785" t="s">
        <v>207</v>
      </c>
    </row>
    <row r="786" spans="1:25" hidden="1" x14ac:dyDescent="0.3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956</v>
      </c>
      <c r="V786" s="8">
        <v>1</v>
      </c>
      <c r="W786" s="8"/>
      <c r="X786" t="s">
        <v>7</v>
      </c>
      <c r="Y786" t="s">
        <v>1292</v>
      </c>
    </row>
    <row r="787" spans="1:25" hidden="1" x14ac:dyDescent="0.3">
      <c r="A787">
        <v>40745</v>
      </c>
      <c r="B787" t="str">
        <f>_xlfn.CONCAT(bron[[#This Row],[personeelsnr]]," ",bron[[#This Row],[achternaam]]," ",bron[[#This Row],[voornaam]])</f>
        <v>40745 Ivanov Ivan</v>
      </c>
      <c r="C787" t="str">
        <f>VLOOKUP(bron[[#This Row],[personeelsnr]],'data hastus'!$A:$C,2,0)</f>
        <v>Ivanov</v>
      </c>
      <c r="D787" t="str">
        <f>VLOOKUP(bron[[#This Row],[personeelsnr]],'data hastus'!$A:$C,3,0)</f>
        <v>Ivan</v>
      </c>
      <c r="E787" t="str">
        <f>VLOOKUP(bron[[#This Row],[personeelsnr]],'data hastus'!A:K,11,FALSE)</f>
        <v>Bart Van Der Beken</v>
      </c>
      <c r="F787" s="10"/>
      <c r="G787" s="7"/>
      <c r="H787" s="7"/>
      <c r="I787" s="7"/>
      <c r="M787" s="5">
        <v>1</v>
      </c>
      <c r="S787" s="5">
        <f>SUM(bron[[#This Row],[Januari]:[December]])</f>
        <v>1</v>
      </c>
      <c r="T787" s="9">
        <v>45841</v>
      </c>
      <c r="U787" s="8" t="s">
        <v>1226</v>
      </c>
      <c r="V787" s="24">
        <v>1</v>
      </c>
      <c r="W787" s="24"/>
      <c r="X787" t="s">
        <v>3545</v>
      </c>
      <c r="Y787" t="s">
        <v>98</v>
      </c>
    </row>
    <row r="788" spans="1:25" hidden="1" x14ac:dyDescent="0.3">
      <c r="A788">
        <v>40856</v>
      </c>
      <c r="B788" t="str">
        <f>_xlfn.CONCAT(bron[[#This Row],[personeelsnr]]," ",bron[[#This Row],[achternaam]]," ",bron[[#This Row],[voornaam]])</f>
        <v>40856 Neissi Sadegh</v>
      </c>
      <c r="C788" t="str">
        <f>VLOOKUP(bron[[#This Row],[personeelsnr]],'data hastus'!$A:$C,2,0)</f>
        <v>Neissi</v>
      </c>
      <c r="D788" t="str">
        <f>VLOOKUP(bron[[#This Row],[personeelsnr]],'data hastus'!$A:$C,3,0)</f>
        <v>Sadegh</v>
      </c>
      <c r="E788" t="str">
        <f>VLOOKUP(bron[[#This Row],[personeelsnr]],'data hastus'!A:K,11,FALSE)</f>
        <v>Kenneth De Rick</v>
      </c>
      <c r="F788" s="10"/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>
        <v>45694</v>
      </c>
      <c r="U788" s="8" t="s">
        <v>1049</v>
      </c>
      <c r="V788" s="8">
        <v>1</v>
      </c>
      <c r="W788" s="8"/>
      <c r="X788" t="s">
        <v>3545</v>
      </c>
      <c r="Y788" t="s">
        <v>211</v>
      </c>
    </row>
    <row r="789" spans="1:25" hidden="1" x14ac:dyDescent="0.3">
      <c r="A789">
        <v>40856</v>
      </c>
      <c r="B789" t="str">
        <f>_xlfn.CONCAT(bron[[#This Row],[personeelsnr]]," ",bron[[#This Row],[achternaam]]," ",bron[[#This Row],[voornaam]])</f>
        <v>40856 Neissi Sadegh</v>
      </c>
      <c r="C789" t="str">
        <f>VLOOKUP(bron[[#This Row],[personeelsnr]],'data hastus'!$A:$C,2,0)</f>
        <v>Neissi</v>
      </c>
      <c r="D789" t="str">
        <f>VLOOKUP(bron[[#This Row],[personeelsnr]],'data hastus'!$A:$C,3,0)</f>
        <v>Sadegh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K789" s="5">
        <v>1</v>
      </c>
      <c r="S789" s="5">
        <f>SUM(bron[[#This Row],[Januari]:[December]])</f>
        <v>1</v>
      </c>
      <c r="T789" s="9">
        <v>45806</v>
      </c>
      <c r="U789" s="8" t="s">
        <v>1186</v>
      </c>
      <c r="V789" s="8">
        <v>1</v>
      </c>
      <c r="W789" s="8"/>
      <c r="X789" t="s">
        <v>3545</v>
      </c>
      <c r="Y789" t="s">
        <v>125</v>
      </c>
    </row>
    <row r="790" spans="1:25" hidden="1" x14ac:dyDescent="0.3">
      <c r="A790">
        <v>40856</v>
      </c>
      <c r="B790" t="str">
        <f>_xlfn.CONCAT(bron[[#This Row],[personeelsnr]]," ",bron[[#This Row],[achternaam]]," ",bron[[#This Row],[voornaam]])</f>
        <v>40856 Neissi Sadegh</v>
      </c>
      <c r="C790" t="str">
        <f>VLOOKUP(bron[[#This Row],[personeelsnr]],'data hastus'!$A:$C,2,0)</f>
        <v>Neissi</v>
      </c>
      <c r="D790" t="str">
        <f>VLOOKUP(bron[[#This Row],[personeelsnr]],'data hastus'!$A:$C,3,0)</f>
        <v>Sadegh</v>
      </c>
      <c r="E790" t="str">
        <f>VLOOKUP(bron[[#This Row],[personeelsnr]],'data hastus'!A:K,11,FALSE)</f>
        <v>Kenneth De Rick</v>
      </c>
      <c r="F790" s="10"/>
      <c r="G790" s="7"/>
      <c r="H790" s="7"/>
      <c r="I790" s="7"/>
      <c r="M790" s="5">
        <v>1</v>
      </c>
      <c r="S790" s="5">
        <f>SUM(bron[[#This Row],[Januari]:[December]])</f>
        <v>1</v>
      </c>
      <c r="T790" s="9">
        <v>45850</v>
      </c>
      <c r="U790" s="8" t="s">
        <v>1243</v>
      </c>
      <c r="V790" s="24">
        <v>1</v>
      </c>
      <c r="W790" s="24"/>
      <c r="X790" t="s">
        <v>3545</v>
      </c>
      <c r="Y790" t="s">
        <v>19</v>
      </c>
    </row>
    <row r="791" spans="1:25" hidden="1" x14ac:dyDescent="0.3">
      <c r="A791">
        <v>40856</v>
      </c>
      <c r="B791" t="str">
        <f>_xlfn.CONCAT(bron[[#This Row],[personeelsnr]]," ",bron[[#This Row],[achternaam]]," ",bron[[#This Row],[voornaam]])</f>
        <v>40856 Neissi Sadegh</v>
      </c>
      <c r="C791" t="str">
        <f>VLOOKUP(bron[[#This Row],[personeelsnr]],'data hastus'!$A:$C,2,0)</f>
        <v>Neissi</v>
      </c>
      <c r="D791" t="str">
        <f>VLOOKUP(bron[[#This Row],[personeelsnr]],'data hastus'!$A:$C,3,0)</f>
        <v>Sadegh</v>
      </c>
      <c r="E791" t="str">
        <f>VLOOKUP(bron[[#This Row],[personeelsnr]],'data hastus'!A:K,11,FALSE)</f>
        <v>Kenneth De Rick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45898</v>
      </c>
      <c r="U791" s="5" t="s">
        <v>1287</v>
      </c>
      <c r="V791" s="24">
        <v>1</v>
      </c>
      <c r="W791" s="24"/>
      <c r="X791" t="s">
        <v>3545</v>
      </c>
      <c r="Y791" t="s">
        <v>5</v>
      </c>
    </row>
    <row r="792" spans="1:25" hidden="1" x14ac:dyDescent="0.3">
      <c r="A792">
        <v>40859</v>
      </c>
      <c r="B792" t="str">
        <f>_xlfn.CONCAT(bron[[#This Row],[personeelsnr]]," ",bron[[#This Row],[achternaam]]," ",bron[[#This Row],[voornaam]])</f>
        <v>40859 Yagoub Abdelali</v>
      </c>
      <c r="C792" t="str">
        <f>VLOOKUP(bron[[#This Row],[personeelsnr]],'data hastus'!$A:$C,2,0)</f>
        <v>Yagoub</v>
      </c>
      <c r="D792" t="str">
        <f>VLOOKUP(bron[[#This Row],[personeelsnr]],'data hastus'!$A:$C,3,0)</f>
        <v>Abdelali</v>
      </c>
      <c r="E792" t="str">
        <f>VLOOKUP(bron[[#This Row],[personeelsnr]],'data hastus'!A:K,11,FALSE)</f>
        <v>Els Vanhoe</v>
      </c>
      <c r="F792" s="10"/>
      <c r="G792" s="6"/>
      <c r="H792" s="6">
        <v>1</v>
      </c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1</v>
      </c>
      <c r="T792" s="3">
        <v>45693</v>
      </c>
      <c r="U792" s="8" t="s">
        <v>1047</v>
      </c>
      <c r="V792" s="8">
        <v>1</v>
      </c>
      <c r="W792" s="8"/>
      <c r="X792" t="s">
        <v>3545</v>
      </c>
      <c r="Y792" t="s">
        <v>273</v>
      </c>
    </row>
    <row r="793" spans="1:25" hidden="1" x14ac:dyDescent="0.3">
      <c r="A793">
        <v>40859</v>
      </c>
      <c r="B793" t="str">
        <f>_xlfn.CONCAT(bron[[#This Row],[personeelsnr]]," ",bron[[#This Row],[achternaam]]," ",bron[[#This Row],[voornaam]])</f>
        <v>40859 Yagoub Abdelali</v>
      </c>
      <c r="C793" t="str">
        <f>VLOOKUP(bron[[#This Row],[personeelsnr]],'data hastus'!$A:$C,2,0)</f>
        <v>Yagoub</v>
      </c>
      <c r="D793" t="str">
        <f>VLOOKUP(bron[[#This Row],[personeelsnr]],'data hastus'!$A:$C,3,0)</f>
        <v>Abdelali</v>
      </c>
      <c r="E793" t="str">
        <f>VLOOKUP(bron[[#This Row],[personeelsnr]],'data hastus'!A:K,11,FALSE)</f>
        <v>Els Vanhoe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45872</v>
      </c>
      <c r="U793" s="8" t="s">
        <v>1266</v>
      </c>
      <c r="V793" s="24">
        <v>1</v>
      </c>
      <c r="W793" s="24"/>
      <c r="X793" t="s">
        <v>3545</v>
      </c>
      <c r="Y793" t="s">
        <v>209</v>
      </c>
    </row>
    <row r="794" spans="1:25" hidden="1" x14ac:dyDescent="0.3">
      <c r="A794">
        <v>40938</v>
      </c>
      <c r="B794" t="str">
        <f>_xlfn.CONCAT(bron[[#This Row],[personeelsnr]]," ",bron[[#This Row],[achternaam]]," ",bron[[#This Row],[voornaam]])</f>
        <v>40938 Hasnaoui Nejmeddine</v>
      </c>
      <c r="C794" t="str">
        <f>VLOOKUP(bron[[#This Row],[personeelsnr]],'data hastus'!$A:$C,2,0)</f>
        <v>Hasnaoui</v>
      </c>
      <c r="D794" t="str">
        <f>VLOOKUP(bron[[#This Row],[personeelsnr]],'data hastus'!$A:$C,3,0)</f>
        <v>Nejmeddine</v>
      </c>
      <c r="E794" t="str">
        <f>VLOOKUP(bron[[#This Row],[personeelsnr]],'data hastus'!A:K,11,FALSE)</f>
        <v>Dominique De Clercq</v>
      </c>
      <c r="F794" s="10"/>
      <c r="G794" s="7"/>
      <c r="H794" s="7"/>
      <c r="I794" s="7"/>
      <c r="K794" s="5">
        <v>1</v>
      </c>
      <c r="S794" s="5">
        <f>SUM(bron[[#This Row],[Januari]:[December]])</f>
        <v>1</v>
      </c>
      <c r="T794" s="9">
        <v>45783</v>
      </c>
      <c r="U794" s="8" t="s">
        <v>1166</v>
      </c>
      <c r="V794" s="8">
        <v>1</v>
      </c>
      <c r="W794" s="8"/>
      <c r="X794" t="s">
        <v>3545</v>
      </c>
      <c r="Y794" t="s">
        <v>43</v>
      </c>
    </row>
    <row r="795" spans="1:25" hidden="1" x14ac:dyDescent="0.3">
      <c r="A795">
        <v>40938</v>
      </c>
      <c r="B795" t="str">
        <f>_xlfn.CONCAT(bron[[#This Row],[personeelsnr]]," ",bron[[#This Row],[achternaam]]," ",bron[[#This Row],[voornaam]])</f>
        <v>40938 Hasnaoui Nejmeddine</v>
      </c>
      <c r="C795" t="str">
        <f>VLOOKUP(bron[[#This Row],[personeelsnr]],'data hastus'!$A:$C,2,0)</f>
        <v>Hasnaoui</v>
      </c>
      <c r="D795" t="str">
        <f>VLOOKUP(bron[[#This Row],[personeelsnr]],'data hastus'!$A:$C,3,0)</f>
        <v>Nejmeddine</v>
      </c>
      <c r="E795" t="str">
        <f>VLOOKUP(bron[[#This Row],[personeelsnr]],'data hastus'!A:K,11,FALSE)</f>
        <v>Dominique De Clercq</v>
      </c>
      <c r="F795" s="10">
        <v>45902</v>
      </c>
      <c r="G795" s="7"/>
      <c r="H795" s="7"/>
      <c r="I795" s="7"/>
      <c r="O795" s="5">
        <v>1</v>
      </c>
      <c r="S795" s="5">
        <f>SUM(bron[[#This Row],[Januari]:[December]])</f>
        <v>1</v>
      </c>
      <c r="U795" s="5" t="s">
        <v>3533</v>
      </c>
      <c r="V795" s="24">
        <v>1</v>
      </c>
      <c r="W795" s="24"/>
      <c r="X795" t="s">
        <v>7</v>
      </c>
      <c r="Y795" t="s">
        <v>100</v>
      </c>
    </row>
    <row r="796" spans="1:25" hidden="1" x14ac:dyDescent="0.3">
      <c r="A796">
        <v>40939</v>
      </c>
      <c r="B796" t="str">
        <f>_xlfn.CONCAT(bron[[#This Row],[personeelsnr]]," ",bron[[#This Row],[achternaam]]," ",bron[[#This Row],[voornaam]])</f>
        <v>40939 Cisse Sayon</v>
      </c>
      <c r="C796" t="str">
        <f>VLOOKUP(bron[[#This Row],[personeelsnr]],'data hastus'!$A:$C,2,0)</f>
        <v>Cisse</v>
      </c>
      <c r="D796" t="str">
        <f>VLOOKUP(bron[[#This Row],[personeelsnr]],'data hastus'!$A:$C,3,0)</f>
        <v>Sayon</v>
      </c>
      <c r="E796" t="str">
        <f>VLOOKUP(bron[[#This Row],[personeelsnr]],'data hastus'!A:K,11,FALSE)</f>
        <v>Kenneth De Rick</v>
      </c>
      <c r="F796" s="10"/>
      <c r="G796" s="6"/>
      <c r="H796" s="6"/>
      <c r="I796" s="6">
        <v>1</v>
      </c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>
        <v>45725</v>
      </c>
      <c r="U796" s="8" t="s">
        <v>1097</v>
      </c>
      <c r="V796" s="8">
        <v>1</v>
      </c>
      <c r="W796" s="8"/>
      <c r="X796" t="s">
        <v>3546</v>
      </c>
      <c r="Y796" t="s">
        <v>13</v>
      </c>
    </row>
    <row r="797" spans="1:25" hidden="1" x14ac:dyDescent="0.3">
      <c r="A797">
        <v>40939</v>
      </c>
      <c r="B797" t="str">
        <f>_xlfn.CONCAT(bron[[#This Row],[personeelsnr]]," ",bron[[#This Row],[achternaam]]," ",bron[[#This Row],[voornaam]])</f>
        <v>40939 Cisse Sayon</v>
      </c>
      <c r="C797" t="str">
        <f>VLOOKUP(bron[[#This Row],[personeelsnr]],'data hastus'!$A:$C,2,0)</f>
        <v>Cisse</v>
      </c>
      <c r="D797" t="str">
        <f>VLOOKUP(bron[[#This Row],[personeelsnr]],'data hastus'!$A:$C,3,0)</f>
        <v>Sayon</v>
      </c>
      <c r="E797" t="str">
        <f>VLOOKUP(bron[[#This Row],[personeelsnr]],'data hastus'!A:K,11,FALSE)</f>
        <v>Kenneth De Rick</v>
      </c>
      <c r="F797" s="10"/>
      <c r="G797" s="6"/>
      <c r="H797" s="6"/>
      <c r="I797" s="6"/>
      <c r="J797">
        <v>1</v>
      </c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45751</v>
      </c>
      <c r="U797" s="8" t="s">
        <v>1125</v>
      </c>
      <c r="V797" s="8">
        <v>1</v>
      </c>
      <c r="W797" s="8"/>
      <c r="X797" t="s">
        <v>3545</v>
      </c>
      <c r="Y797" t="s">
        <v>43</v>
      </c>
    </row>
    <row r="798" spans="1:25" hidden="1" x14ac:dyDescent="0.3">
      <c r="A798">
        <v>40939</v>
      </c>
      <c r="B798" t="str">
        <f>_xlfn.CONCAT(bron[[#This Row],[personeelsnr]]," ",bron[[#This Row],[achternaam]]," ",bron[[#This Row],[voornaam]])</f>
        <v>40939 Cisse Sayon</v>
      </c>
      <c r="C798" t="str">
        <f>VLOOKUP(bron[[#This Row],[personeelsnr]],'data hastus'!$A:$C,2,0)</f>
        <v>Cisse</v>
      </c>
      <c r="D798" t="str">
        <f>VLOOKUP(bron[[#This Row],[personeelsnr]],'data hastus'!$A:$C,3,0)</f>
        <v>Sayon</v>
      </c>
      <c r="E798" t="str">
        <f>VLOOKUP(bron[[#This Row],[personeelsnr]],'data hastus'!A:K,11,FALSE)</f>
        <v>Kenneth De Rick</v>
      </c>
      <c r="F798" s="10"/>
      <c r="G798" s="7"/>
      <c r="H798" s="7"/>
      <c r="I798" s="7"/>
      <c r="M798" s="5">
        <v>1</v>
      </c>
      <c r="S798" s="5">
        <f>SUM(bron[[#This Row],[Januari]:[December]])</f>
        <v>1</v>
      </c>
      <c r="T798" s="9">
        <v>45843</v>
      </c>
      <c r="U798" s="8" t="s">
        <v>1229</v>
      </c>
      <c r="V798" s="24">
        <v>1</v>
      </c>
      <c r="W798" s="24"/>
      <c r="X798" t="s">
        <v>3545</v>
      </c>
      <c r="Y798" t="s">
        <v>22</v>
      </c>
    </row>
    <row r="799" spans="1:25" hidden="1" x14ac:dyDescent="0.3">
      <c r="A799">
        <v>40969</v>
      </c>
      <c r="B799" t="str">
        <f>_xlfn.CONCAT(bron[[#This Row],[personeelsnr]]," ",bron[[#This Row],[achternaam]]," ",bron[[#This Row],[voornaam]])</f>
        <v>40969 Kerman Melisa</v>
      </c>
      <c r="C799" t="str">
        <f>VLOOKUP(bron[[#This Row],[personeelsnr]],'data hastus'!$A:$C,2,0)</f>
        <v>Kerman</v>
      </c>
      <c r="D799" t="str">
        <f>VLOOKUP(bron[[#This Row],[personeelsnr]],'data hastus'!$A:$C,3,0)</f>
        <v>Melisa</v>
      </c>
      <c r="E799" t="str">
        <f>VLOOKUP(bron[[#This Row],[personeelsnr]],'data hastus'!A:K,11,FALSE)</f>
        <v>Steven Storm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>
        <v>45673</v>
      </c>
      <c r="U799" s="8" t="s">
        <v>1019</v>
      </c>
      <c r="V799" s="8">
        <v>1</v>
      </c>
      <c r="W799" s="8"/>
      <c r="X799" t="s">
        <v>3546</v>
      </c>
      <c r="Y799" t="s">
        <v>28</v>
      </c>
    </row>
    <row r="800" spans="1:25" hidden="1" x14ac:dyDescent="0.3">
      <c r="A800">
        <v>41007</v>
      </c>
      <c r="B800" t="str">
        <f>_xlfn.CONCAT(bron[[#This Row],[personeelsnr]]," ",bron[[#This Row],[achternaam]]," ",bron[[#This Row],[voornaam]])</f>
        <v>41007 Sogut Cagri</v>
      </c>
      <c r="C800" t="s">
        <v>1262</v>
      </c>
      <c r="D800" t="s">
        <v>1263</v>
      </c>
      <c r="E800" t="s">
        <v>76</v>
      </c>
      <c r="F800" s="10"/>
      <c r="G800" s="7"/>
      <c r="H800" s="7"/>
      <c r="I800" s="7"/>
      <c r="M800" s="5">
        <v>1</v>
      </c>
      <c r="S800" s="5">
        <f>SUM(bron[[#This Row],[Januari]:[December]])</f>
        <v>1</v>
      </c>
      <c r="T800" s="9">
        <v>45867</v>
      </c>
      <c r="U800" s="24" t="s">
        <v>1264</v>
      </c>
      <c r="V800" s="24">
        <v>1</v>
      </c>
      <c r="W800" s="24"/>
      <c r="X800" t="s">
        <v>3546</v>
      </c>
      <c r="Y800" t="s">
        <v>16</v>
      </c>
    </row>
    <row r="801" spans="1:25" hidden="1" x14ac:dyDescent="0.3">
      <c r="A801">
        <v>41012</v>
      </c>
      <c r="B801" t="str">
        <f>_xlfn.CONCAT(bron[[#This Row],[personeelsnr]]," ",bron[[#This Row],[achternaam]]," ",bron[[#This Row],[voornaam]])</f>
        <v>41012 Natad Younes</v>
      </c>
      <c r="C801" t="str">
        <f>VLOOKUP(bron[[#This Row],[personeelsnr]],'data hastus'!$A:$C,2,0)</f>
        <v>Natad</v>
      </c>
      <c r="D801" t="str">
        <f>VLOOKUP(bron[[#This Row],[personeelsnr]],'data hastus'!$A:$C,3,0)</f>
        <v>Younes</v>
      </c>
      <c r="E801" t="str">
        <f>VLOOKUP(bron[[#This Row],[personeelsnr]],'data hastus'!A:K,11,FALSE)</f>
        <v>Els Vanhoe</v>
      </c>
      <c r="G801" s="6"/>
      <c r="H801" s="6">
        <v>1</v>
      </c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45706</v>
      </c>
      <c r="U801" s="8" t="s">
        <v>1064</v>
      </c>
      <c r="V801" s="8">
        <v>1</v>
      </c>
      <c r="W801" s="8"/>
      <c r="X801" t="s">
        <v>3546</v>
      </c>
      <c r="Y801" t="s">
        <v>514</v>
      </c>
    </row>
    <row r="802" spans="1:25" hidden="1" x14ac:dyDescent="0.3">
      <c r="A802">
        <v>41012</v>
      </c>
      <c r="B802" t="str">
        <f>_xlfn.CONCAT(bron[[#This Row],[personeelsnr]]," ",bron[[#This Row],[achternaam]]," ",bron[[#This Row],[voornaam]])</f>
        <v>41012 Natad Younes</v>
      </c>
      <c r="C802" t="str">
        <f>VLOOKUP(bron[[#This Row],[personeelsnr]],'data hastus'!$A:$C,2,0)</f>
        <v>Natad</v>
      </c>
      <c r="D802" t="str">
        <f>VLOOKUP(bron[[#This Row],[personeelsnr]],'data hastus'!$A:$C,3,0)</f>
        <v>Younes</v>
      </c>
      <c r="E802" t="str">
        <f>VLOOKUP(bron[[#This Row],[personeelsnr]],'data hastus'!A:K,11,FALSE)</f>
        <v>Els Vanhoe</v>
      </c>
      <c r="F802" s="10"/>
      <c r="G802" s="6"/>
      <c r="H802" s="6"/>
      <c r="I802" s="6">
        <v>1</v>
      </c>
      <c r="J802"/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>
        <v>45734</v>
      </c>
      <c r="U802" s="8" t="s">
        <v>1108</v>
      </c>
      <c r="V802" s="8">
        <v>1</v>
      </c>
      <c r="W802" s="8"/>
      <c r="X802" t="s">
        <v>3545</v>
      </c>
      <c r="Y802" t="s">
        <v>25</v>
      </c>
    </row>
    <row r="803" spans="1:25" hidden="1" x14ac:dyDescent="0.3">
      <c r="A803">
        <v>41032</v>
      </c>
      <c r="B803" t="str">
        <f>_xlfn.CONCAT(bron[[#This Row],[personeelsnr]]," ",bron[[#This Row],[achternaam]]," ",bron[[#This Row],[voornaam]])</f>
        <v>41032 Rocabado Hinojosa Lukas</v>
      </c>
      <c r="C803" t="str">
        <f>VLOOKUP(bron[[#This Row],[personeelsnr]],'data hastus'!$A:$C,2,0)</f>
        <v>Rocabado Hinojosa</v>
      </c>
      <c r="D803" t="str">
        <f>VLOOKUP(bron[[#This Row],[personeelsnr]],'data hastus'!$A:$C,3,0)</f>
        <v>Lukas</v>
      </c>
      <c r="E803" t="str">
        <f>VLOOKUP(bron[[#This Row],[personeelsnr]],'data hastus'!A:K,11,FALSE)</f>
        <v>Els Vanhoe</v>
      </c>
      <c r="F803" s="10"/>
      <c r="G803" s="7">
        <v>1</v>
      </c>
      <c r="H803" s="7"/>
      <c r="I803" s="7"/>
      <c r="S803" s="5">
        <f>SUM(bron[[#This Row],[Januari]:[December]])</f>
        <v>1</v>
      </c>
      <c r="T803" s="9">
        <v>45666</v>
      </c>
      <c r="U803" s="8" t="s">
        <v>1006</v>
      </c>
      <c r="V803" s="24">
        <v>1</v>
      </c>
      <c r="W803" s="24"/>
      <c r="X803" t="s">
        <v>3546</v>
      </c>
      <c r="Y803" t="s">
        <v>31</v>
      </c>
    </row>
    <row r="804" spans="1:25" hidden="1" x14ac:dyDescent="0.3">
      <c r="A804">
        <v>41032</v>
      </c>
      <c r="B804" t="str">
        <f>_xlfn.CONCAT(bron[[#This Row],[personeelsnr]]," ",bron[[#This Row],[achternaam]]," ",bron[[#This Row],[voornaam]])</f>
        <v>41032 Rocabado Hinojosa Lukas</v>
      </c>
      <c r="C804" t="str">
        <f>VLOOKUP(bron[[#This Row],[personeelsnr]],'data hastus'!$A:$C,2,0)</f>
        <v>Rocabado Hinojosa</v>
      </c>
      <c r="D804" t="str">
        <f>VLOOKUP(bron[[#This Row],[personeelsnr]],'data hastus'!$A:$C,3,0)</f>
        <v>Lukas</v>
      </c>
      <c r="E804" t="str">
        <f>VLOOKUP(bron[[#This Row],[personeelsnr]],'data hastus'!A:K,11,FALSE)</f>
        <v>Els Vanhoe</v>
      </c>
      <c r="F804" s="10"/>
      <c r="G804" s="6"/>
      <c r="H804" s="6">
        <v>1</v>
      </c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1</v>
      </c>
      <c r="T804" s="3">
        <v>45706</v>
      </c>
      <c r="U804" s="8" t="s">
        <v>1065</v>
      </c>
      <c r="V804" s="8">
        <v>1</v>
      </c>
      <c r="W804" s="8"/>
      <c r="X804" t="s">
        <v>3546</v>
      </c>
      <c r="Y804" t="s">
        <v>219</v>
      </c>
    </row>
    <row r="805" spans="1:25" hidden="1" x14ac:dyDescent="0.3">
      <c r="A805">
        <v>41032</v>
      </c>
      <c r="B805" t="str">
        <f>_xlfn.CONCAT(bron[[#This Row],[personeelsnr]]," ",bron[[#This Row],[achternaam]]," ",bron[[#This Row],[voornaam]])</f>
        <v>41032 Rocabado Hinojosa Lukas</v>
      </c>
      <c r="C805" t="str">
        <f>VLOOKUP(bron[[#This Row],[personeelsnr]],'data hastus'!$A:$C,2,0)</f>
        <v>Rocabado Hinojosa</v>
      </c>
      <c r="D805" t="str">
        <f>VLOOKUP(bron[[#This Row],[personeelsnr]],'data hastus'!$A:$C,3,0)</f>
        <v>Lukas</v>
      </c>
      <c r="E805" t="str">
        <f>VLOOKUP(bron[[#This Row],[personeelsnr]],'data hastus'!A:K,11,FALSE)</f>
        <v>Els Vanhoe</v>
      </c>
      <c r="F805" s="10"/>
      <c r="G805" s="7"/>
      <c r="H805" s="7"/>
      <c r="I805" s="7"/>
      <c r="L805" s="5">
        <v>1</v>
      </c>
      <c r="S805" s="5">
        <f>SUM(bron[[#This Row],[Januari]:[December]])</f>
        <v>1</v>
      </c>
      <c r="T805" s="9">
        <v>45813</v>
      </c>
      <c r="U805" s="8" t="s">
        <v>1197</v>
      </c>
      <c r="V805" s="8">
        <v>1</v>
      </c>
      <c r="W805" s="8"/>
      <c r="X805" t="s">
        <v>3547</v>
      </c>
      <c r="Y805" t="s">
        <v>117</v>
      </c>
    </row>
    <row r="806" spans="1:25" hidden="1" x14ac:dyDescent="0.3">
      <c r="A806">
        <v>41032</v>
      </c>
      <c r="B806" t="str">
        <f>_xlfn.CONCAT(bron[[#This Row],[personeelsnr]]," ",bron[[#This Row],[achternaam]]," ",bron[[#This Row],[voornaam]])</f>
        <v>41032 Rocabado Hinojosa Lukas</v>
      </c>
      <c r="C806" t="str">
        <f>VLOOKUP(bron[[#This Row],[personeelsnr]],'data hastus'!$A:$C,2,0)</f>
        <v>Rocabado Hinojosa</v>
      </c>
      <c r="D806" t="str">
        <f>VLOOKUP(bron[[#This Row],[personeelsnr]],'data hastus'!$A:$C,3,0)</f>
        <v>Lukas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L806" s="5">
        <v>1</v>
      </c>
      <c r="S806" s="5">
        <f>SUM(bron[[#This Row],[Januari]:[December]])</f>
        <v>1</v>
      </c>
      <c r="T806" s="9">
        <v>45813</v>
      </c>
      <c r="U806" s="8" t="s">
        <v>1198</v>
      </c>
      <c r="V806" s="8">
        <v>1</v>
      </c>
      <c r="W806" s="8"/>
      <c r="X806" t="s">
        <v>3547</v>
      </c>
      <c r="Y806" t="s">
        <v>34</v>
      </c>
    </row>
    <row r="807" spans="1:25" hidden="1" x14ac:dyDescent="0.3">
      <c r="A807">
        <v>41064</v>
      </c>
      <c r="B807" t="str">
        <f>_xlfn.CONCAT(bron[[#This Row],[personeelsnr]]," ",bron[[#This Row],[achternaam]]," ",bron[[#This Row],[voornaam]])</f>
        <v>41064 Ardic Atilla</v>
      </c>
      <c r="C807" t="str">
        <f>VLOOKUP(bron[[#This Row],[personeelsnr]],'data hastus'!$A:$C,2,0)</f>
        <v>Ardic</v>
      </c>
      <c r="D807" t="str">
        <f>VLOOKUP(bron[[#This Row],[personeelsnr]],'data hastus'!$A:$C,3,0)</f>
        <v>Atilla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1106</v>
      </c>
      <c r="V807" s="8">
        <v>1</v>
      </c>
      <c r="W807" s="8"/>
      <c r="X807" t="s">
        <v>3546</v>
      </c>
      <c r="Y807" t="s">
        <v>10</v>
      </c>
    </row>
    <row r="808" spans="1:25" hidden="1" x14ac:dyDescent="0.3">
      <c r="A808">
        <v>41064</v>
      </c>
      <c r="B808" t="str">
        <f>_xlfn.CONCAT(bron[[#This Row],[personeelsnr]]," ",bron[[#This Row],[achternaam]]," ",bron[[#This Row],[voornaam]])</f>
        <v>41064 Ardic Atilla</v>
      </c>
      <c r="C808" t="str">
        <f>VLOOKUP(bron[[#This Row],[personeelsnr]],'data hastus'!$A:$C,2,0)</f>
        <v>Ardic</v>
      </c>
      <c r="D808" t="str">
        <f>VLOOKUP(bron[[#This Row],[personeelsnr]],'data hastus'!$A:$C,3,0)</f>
        <v>Atilla</v>
      </c>
      <c r="E808" t="str">
        <f>VLOOKUP(bron[[#This Row],[personeelsnr]],'data hastus'!A:K,11,FALSE)</f>
        <v>Dominique De Clercq</v>
      </c>
      <c r="F808" s="10"/>
      <c r="G808" s="7"/>
      <c r="H808" s="7"/>
      <c r="I808" s="7"/>
      <c r="L808" s="5">
        <v>1</v>
      </c>
      <c r="S808" s="5">
        <f>SUM(bron[[#This Row],[Januari]:[December]])</f>
        <v>1</v>
      </c>
      <c r="T808" s="9">
        <v>45811</v>
      </c>
      <c r="U808" s="8" t="s">
        <v>1192</v>
      </c>
      <c r="V808" s="24">
        <v>1</v>
      </c>
      <c r="W808" s="24"/>
      <c r="X808" t="s">
        <v>3546</v>
      </c>
      <c r="Y808" t="s">
        <v>5</v>
      </c>
    </row>
    <row r="809" spans="1:25" hidden="1" x14ac:dyDescent="0.3">
      <c r="A809">
        <v>41090</v>
      </c>
      <c r="B809" t="e">
        <f>_xlfn.CONCAT(bron[[#This Row],[personeelsnr]]," ",bron[[#This Row],[achternaam]]," ",bron[[#This Row],[voornaam]])</f>
        <v>#N/A</v>
      </c>
      <c r="C809" t="e">
        <f>VLOOKUP(bron[[#This Row],[personeelsnr]],'data hastus'!$A:$C,2,0)</f>
        <v>#N/A</v>
      </c>
      <c r="D809" t="e">
        <f>VLOOKUP(bron[[#This Row],[personeelsnr]],'data hastus'!$A:$C,3,0)</f>
        <v>#N/A</v>
      </c>
      <c r="E809" t="s">
        <v>79</v>
      </c>
      <c r="F809" s="10"/>
      <c r="G809" s="6">
        <v>1</v>
      </c>
      <c r="H809" s="6"/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45671</v>
      </c>
      <c r="U809" s="8" t="s">
        <v>1015</v>
      </c>
      <c r="V809" s="8">
        <v>1</v>
      </c>
      <c r="W809" s="8"/>
      <c r="X809" t="s">
        <v>7</v>
      </c>
      <c r="Y809" t="s">
        <v>16</v>
      </c>
    </row>
    <row r="810" spans="1:25" hidden="1" x14ac:dyDescent="0.3">
      <c r="A810">
        <v>41091</v>
      </c>
      <c r="B810" t="str">
        <f>_xlfn.CONCAT(bron[[#This Row],[personeelsnr]]," ",bron[[#This Row],[achternaam]]," ",bron[[#This Row],[voornaam]])</f>
        <v>41091 Yavas Talha</v>
      </c>
      <c r="C810" t="str">
        <f>VLOOKUP(bron[[#This Row],[personeelsnr]],'data hastus'!$A:$C,2,0)</f>
        <v>Yavas</v>
      </c>
      <c r="D810" t="str">
        <f>VLOOKUP(bron[[#This Row],[personeelsnr]],'data hastus'!$A:$C,3,0)</f>
        <v>Talha</v>
      </c>
      <c r="E810" t="str">
        <f>VLOOKUP(bron[[#This Row],[personeelsnr]],'data hastus'!A:K,11,FALSE)</f>
        <v>Dominique De Clercq</v>
      </c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45703</v>
      </c>
      <c r="U810" s="8" t="s">
        <v>1061</v>
      </c>
      <c r="V810" s="8">
        <v>1</v>
      </c>
      <c r="W810" s="8"/>
      <c r="X810" t="s">
        <v>3546</v>
      </c>
      <c r="Y810" t="s">
        <v>111</v>
      </c>
    </row>
    <row r="811" spans="1:25" hidden="1" x14ac:dyDescent="0.3">
      <c r="A811">
        <v>41091</v>
      </c>
      <c r="B811" t="str">
        <f>_xlfn.CONCAT(bron[[#This Row],[personeelsnr]]," ",bron[[#This Row],[achternaam]]," ",bron[[#This Row],[voornaam]])</f>
        <v>41091 Yavas Talha</v>
      </c>
      <c r="C811" t="str">
        <f>VLOOKUP(bron[[#This Row],[personeelsnr]],'data hastus'!$A:$C,2,0)</f>
        <v>Yavas</v>
      </c>
      <c r="D811" t="str">
        <f>VLOOKUP(bron[[#This Row],[personeelsnr]],'data hastus'!$A:$C,3,0)</f>
        <v>Talha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45849</v>
      </c>
      <c r="U811" s="8" t="s">
        <v>1242</v>
      </c>
      <c r="V811" s="24">
        <v>1</v>
      </c>
      <c r="W811" s="24"/>
      <c r="X811" t="s">
        <v>3547</v>
      </c>
      <c r="Y811" t="s">
        <v>135</v>
      </c>
    </row>
    <row r="812" spans="1:25" hidden="1" x14ac:dyDescent="0.3">
      <c r="A812">
        <v>41092</v>
      </c>
      <c r="B812" t="str">
        <f>_xlfn.CONCAT(bron[[#This Row],[personeelsnr]]," ",bron[[#This Row],[achternaam]]," ",bron[[#This Row],[voornaam]])</f>
        <v>41092 De Keyser Dorien</v>
      </c>
      <c r="C812" t="str">
        <f>VLOOKUP(bron[[#This Row],[personeelsnr]],'data hastus'!$A:$C,2,0)</f>
        <v>De Keyser</v>
      </c>
      <c r="D812" t="str">
        <f>VLOOKUP(bron[[#This Row],[personeelsnr]],'data hastus'!$A:$C,3,0)</f>
        <v>Dorien</v>
      </c>
      <c r="E812" t="str">
        <f>VLOOKUP(bron[[#This Row],[personeelsnr]],'data hastus'!A:K,11,FALSE)</f>
        <v>Dominique De Clercq</v>
      </c>
      <c r="F812" s="10"/>
      <c r="G812" s="6"/>
      <c r="H812" s="6">
        <v>1</v>
      </c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>
        <v>45693</v>
      </c>
      <c r="U812" s="8" t="s">
        <v>1046</v>
      </c>
      <c r="V812" s="8">
        <v>1</v>
      </c>
      <c r="W812" s="8"/>
      <c r="X812" t="s">
        <v>3546</v>
      </c>
      <c r="Y812" t="s">
        <v>57</v>
      </c>
    </row>
    <row r="813" spans="1:25" hidden="1" x14ac:dyDescent="0.3">
      <c r="A813">
        <v>41092</v>
      </c>
      <c r="B813" t="str">
        <f>_xlfn.CONCAT(bron[[#This Row],[personeelsnr]]," ",bron[[#This Row],[achternaam]]," ",bron[[#This Row],[voornaam]])</f>
        <v>41092 De Keyser Dorien</v>
      </c>
      <c r="C813" t="str">
        <f>VLOOKUP(bron[[#This Row],[personeelsnr]],'data hastus'!$A:$C,2,0)</f>
        <v>De Keyser</v>
      </c>
      <c r="D813" t="str">
        <f>VLOOKUP(bron[[#This Row],[personeelsnr]],'data hastus'!$A:$C,3,0)</f>
        <v>Dorien</v>
      </c>
      <c r="E813" t="str">
        <f>VLOOKUP(bron[[#This Row],[personeelsnr]],'data hastus'!A:K,11,FALSE)</f>
        <v>Dominique De Clercq</v>
      </c>
      <c r="F813" s="10"/>
      <c r="G813" s="6"/>
      <c r="H813" s="6">
        <v>1</v>
      </c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1</v>
      </c>
      <c r="T813" s="3">
        <v>45716</v>
      </c>
      <c r="U813" s="8" t="s">
        <v>1084</v>
      </c>
      <c r="V813" s="8">
        <v>1</v>
      </c>
      <c r="W813" s="8"/>
      <c r="X813" t="s">
        <v>3546</v>
      </c>
      <c r="Y813" t="s">
        <v>34</v>
      </c>
    </row>
    <row r="814" spans="1:25" hidden="1" x14ac:dyDescent="0.3">
      <c r="A814">
        <v>41092</v>
      </c>
      <c r="B814" t="str">
        <f>_xlfn.CONCAT(bron[[#This Row],[personeelsnr]]," ",bron[[#This Row],[achternaam]]," ",bron[[#This Row],[voornaam]])</f>
        <v>41092 De Keyser Dorien</v>
      </c>
      <c r="C814" t="str">
        <f>VLOOKUP(bron[[#This Row],[personeelsnr]],'data hastus'!$A:$C,2,0)</f>
        <v>De Keyser</v>
      </c>
      <c r="D814" t="str">
        <f>VLOOKUP(bron[[#This Row],[personeelsnr]],'data hastus'!$A:$C,3,0)</f>
        <v>Dorien</v>
      </c>
      <c r="E814" t="str">
        <f>VLOOKUP(bron[[#This Row],[personeelsnr]],'data hastus'!A:K,11,FALSE)</f>
        <v>Dominique De Clercq</v>
      </c>
      <c r="F814" s="10"/>
      <c r="G814" s="6"/>
      <c r="H814" s="6"/>
      <c r="I814" s="6">
        <v>1</v>
      </c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45722</v>
      </c>
      <c r="U814" s="8" t="s">
        <v>1091</v>
      </c>
      <c r="V814" s="8">
        <v>1</v>
      </c>
      <c r="W814" s="8"/>
      <c r="X814" t="s">
        <v>3546</v>
      </c>
      <c r="Y814" t="s">
        <v>225</v>
      </c>
    </row>
    <row r="815" spans="1:25" hidden="1" x14ac:dyDescent="0.3">
      <c r="A815">
        <v>41092</v>
      </c>
      <c r="B815" t="str">
        <f>_xlfn.CONCAT(bron[[#This Row],[personeelsnr]]," ",bron[[#This Row],[achternaam]]," ",bron[[#This Row],[voornaam]])</f>
        <v>41092 De Keyser Dorien</v>
      </c>
      <c r="C815" t="str">
        <f>VLOOKUP(bron[[#This Row],[personeelsnr]],'data hastus'!$A:$C,2,0)</f>
        <v>De Keyser</v>
      </c>
      <c r="D815" t="str">
        <f>VLOOKUP(bron[[#This Row],[personeelsnr]],'data hastus'!$A:$C,3,0)</f>
        <v>Dorien</v>
      </c>
      <c r="E815" t="str">
        <f>VLOOKUP(bron[[#This Row],[personeelsnr]],'data hastus'!A:K,11,FALSE)</f>
        <v>Dominique De Clercq</v>
      </c>
      <c r="F815" s="10"/>
      <c r="G815" s="6"/>
      <c r="H815" s="6"/>
      <c r="I815" s="6">
        <v>1</v>
      </c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45734</v>
      </c>
      <c r="U815" s="8" t="s">
        <v>1107</v>
      </c>
      <c r="V815" s="8">
        <v>1</v>
      </c>
      <c r="W815" s="8"/>
      <c r="X815" t="s">
        <v>3546</v>
      </c>
      <c r="Y815" t="s">
        <v>102</v>
      </c>
    </row>
    <row r="816" spans="1:25" hidden="1" x14ac:dyDescent="0.3">
      <c r="A816">
        <v>41092</v>
      </c>
      <c r="B816" t="str">
        <f>_xlfn.CONCAT(bron[[#This Row],[personeelsnr]]," ",bron[[#This Row],[achternaam]]," ",bron[[#This Row],[voornaam]])</f>
        <v>41092 De Keyser Dorien</v>
      </c>
      <c r="C816" t="str">
        <f>VLOOKUP(bron[[#This Row],[personeelsnr]],'data hastus'!$A:$C,2,0)</f>
        <v>De Keyser</v>
      </c>
      <c r="D816" t="str">
        <f>VLOOKUP(bron[[#This Row],[personeelsnr]],'data hastus'!$A:$C,3,0)</f>
        <v>Dorien</v>
      </c>
      <c r="E816" t="str">
        <f>VLOOKUP(bron[[#This Row],[personeelsnr]],'data hastus'!A:K,11,FALSE)</f>
        <v>Dominique De Clercq</v>
      </c>
      <c r="F816" s="10"/>
      <c r="G816" s="6"/>
      <c r="H816" s="6"/>
      <c r="I816" s="6"/>
      <c r="J816">
        <v>1</v>
      </c>
      <c r="K816"/>
      <c r="L816"/>
      <c r="M816"/>
      <c r="N816"/>
      <c r="O816"/>
      <c r="P816"/>
      <c r="Q816"/>
      <c r="R816"/>
      <c r="S816">
        <f>SUM(bron[[#This Row],[Januari]:[December]])</f>
        <v>1</v>
      </c>
      <c r="T816" s="3">
        <v>45754</v>
      </c>
      <c r="U816" s="8" t="s">
        <v>1127</v>
      </c>
      <c r="V816" s="8">
        <v>1</v>
      </c>
      <c r="W816" s="8"/>
      <c r="X816" t="s">
        <v>3546</v>
      </c>
      <c r="Y816" t="s">
        <v>119</v>
      </c>
    </row>
    <row r="817" spans="1:25" hidden="1" x14ac:dyDescent="0.3">
      <c r="A817">
        <v>41092</v>
      </c>
      <c r="B817" t="str">
        <f>_xlfn.CONCAT(bron[[#This Row],[personeelsnr]]," ",bron[[#This Row],[achternaam]]," ",bron[[#This Row],[voornaam]])</f>
        <v>41092 De Keyser Dorien</v>
      </c>
      <c r="C817" t="str">
        <f>VLOOKUP(bron[[#This Row],[personeelsnr]],'data hastus'!$A:$C,2,0)</f>
        <v>De Keyser</v>
      </c>
      <c r="D817" t="str">
        <f>VLOOKUP(bron[[#This Row],[personeelsnr]],'data hastus'!$A:$C,3,0)</f>
        <v>Dorien</v>
      </c>
      <c r="E817" t="str">
        <f>VLOOKUP(bron[[#This Row],[personeelsnr]],'data hastus'!A:K,11,FALSE)</f>
        <v>Dominique De Clercq</v>
      </c>
      <c r="F817" s="10"/>
      <c r="G817" s="6"/>
      <c r="H817" s="6"/>
      <c r="I817" s="6"/>
      <c r="J817">
        <v>1</v>
      </c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45777</v>
      </c>
      <c r="U817" s="8" t="s">
        <v>1159</v>
      </c>
      <c r="V817" s="8">
        <v>1</v>
      </c>
      <c r="W817" s="8"/>
      <c r="X817" t="s">
        <v>3546</v>
      </c>
      <c r="Y817" t="s">
        <v>133</v>
      </c>
    </row>
    <row r="818" spans="1:25" hidden="1" x14ac:dyDescent="0.3">
      <c r="A818">
        <v>41092</v>
      </c>
      <c r="B818" t="str">
        <f>_xlfn.CONCAT(bron[[#This Row],[personeelsnr]]," ",bron[[#This Row],[achternaam]]," ",bron[[#This Row],[voornaam]])</f>
        <v>41092 De Keyser Dorien</v>
      </c>
      <c r="C818" t="str">
        <f>VLOOKUP(bron[[#This Row],[personeelsnr]],'data hastus'!$A:$C,2,0)</f>
        <v>De Keyser</v>
      </c>
      <c r="D818" t="str">
        <f>VLOOKUP(bron[[#This Row],[personeelsnr]],'data hastus'!$A:$C,3,0)</f>
        <v>Dorien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N818" s="5">
        <v>1</v>
      </c>
      <c r="S818" s="5">
        <f>SUM(bron[[#This Row],[Januari]:[December]])</f>
        <v>1</v>
      </c>
      <c r="T818" s="9">
        <v>45878</v>
      </c>
      <c r="U818" s="8" t="s">
        <v>1271</v>
      </c>
      <c r="V818" s="24">
        <v>1</v>
      </c>
      <c r="W818" s="24"/>
      <c r="X818" t="s">
        <v>3547</v>
      </c>
      <c r="Y818" t="s">
        <v>289</v>
      </c>
    </row>
    <row r="819" spans="1:25" hidden="1" x14ac:dyDescent="0.3">
      <c r="A819">
        <v>41137</v>
      </c>
      <c r="B819" t="str">
        <f>_xlfn.CONCAT(bron[[#This Row],[personeelsnr]]," ",bron[[#This Row],[achternaam]]," ",bron[[#This Row],[voornaam]])</f>
        <v>41137 De smet Dirk</v>
      </c>
      <c r="C819" t="str">
        <f>VLOOKUP(bron[[#This Row],[personeelsnr]],'data hastus'!$A:$C,2,0)</f>
        <v>De smet</v>
      </c>
      <c r="D819" t="str">
        <f>VLOOKUP(bron[[#This Row],[personeelsnr]],'data hastus'!$A:$C,3,0)</f>
        <v>Dirk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M819" s="5">
        <v>1</v>
      </c>
      <c r="S819" s="5">
        <f>SUM(bron[[#This Row],[Januari]:[December]])</f>
        <v>1</v>
      </c>
      <c r="T819" s="9">
        <v>45859</v>
      </c>
      <c r="U819" s="24" t="s">
        <v>1251</v>
      </c>
      <c r="V819" s="24">
        <v>1</v>
      </c>
      <c r="W819" s="24"/>
      <c r="X819" t="s">
        <v>3546</v>
      </c>
      <c r="Y819" t="s">
        <v>111</v>
      </c>
    </row>
    <row r="820" spans="1:25" hidden="1" x14ac:dyDescent="0.3">
      <c r="A820">
        <v>41162</v>
      </c>
      <c r="B820" t="str">
        <f>_xlfn.CONCAT(bron[[#This Row],[personeelsnr]]," ",bron[[#This Row],[achternaam]]," ",bron[[#This Row],[voornaam]])</f>
        <v>41162 Hoeckman Jeroen</v>
      </c>
      <c r="C820" t="str">
        <f>VLOOKUP(bron[[#This Row],[personeelsnr]],'data hastus'!$A:$C,2,0)</f>
        <v>Hoeckman</v>
      </c>
      <c r="D820" t="str">
        <f>VLOOKUP(bron[[#This Row],[personeelsnr]],'data hastus'!$A:$C,3,0)</f>
        <v>Jeroen</v>
      </c>
      <c r="E820" t="str">
        <f>VLOOKUP(bron[[#This Row],[personeelsnr]],'data hastus'!A:K,11,FALSE)</f>
        <v>Dominique De Clercq</v>
      </c>
      <c r="F820" s="10"/>
      <c r="G820" s="6">
        <v>1</v>
      </c>
      <c r="H820" s="6"/>
      <c r="I820" s="6"/>
      <c r="J820"/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45679</v>
      </c>
      <c r="U820" s="8" t="s">
        <v>1025</v>
      </c>
      <c r="V820" s="8">
        <v>1</v>
      </c>
      <c r="W820" s="8"/>
      <c r="X820" t="s">
        <v>3546</v>
      </c>
      <c r="Y820" t="s">
        <v>127</v>
      </c>
    </row>
    <row r="821" spans="1:25" hidden="1" x14ac:dyDescent="0.3">
      <c r="A821">
        <v>41162</v>
      </c>
      <c r="B821" t="str">
        <f>_xlfn.CONCAT(bron[[#This Row],[personeelsnr]]," ",bron[[#This Row],[achternaam]]," ",bron[[#This Row],[voornaam]])</f>
        <v>41162 Hoeckman Jeroen</v>
      </c>
      <c r="C821" t="str">
        <f>VLOOKUP(bron[[#This Row],[personeelsnr]],'data hastus'!$A:$C,2,0)</f>
        <v>Hoeckman</v>
      </c>
      <c r="D821" t="str">
        <f>VLOOKUP(bron[[#This Row],[personeelsnr]],'data hastus'!$A:$C,3,0)</f>
        <v>Jeroen</v>
      </c>
      <c r="E821" t="str">
        <f>VLOOKUP(bron[[#This Row],[personeelsnr]],'data hastus'!A:K,11,FALSE)</f>
        <v>Dominique De Clercq</v>
      </c>
      <c r="F821" s="10"/>
      <c r="G821" s="6"/>
      <c r="H821" s="6">
        <v>1</v>
      </c>
      <c r="I821" s="6"/>
      <c r="J821"/>
      <c r="K821"/>
      <c r="L821"/>
      <c r="M821"/>
      <c r="N821"/>
      <c r="O821"/>
      <c r="P821"/>
      <c r="Q821"/>
      <c r="R821"/>
      <c r="S821">
        <f>SUM(bron[[#This Row],[Januari]:[December]])</f>
        <v>1</v>
      </c>
      <c r="T821" s="3">
        <v>45693</v>
      </c>
      <c r="U821" s="8" t="s">
        <v>1045</v>
      </c>
      <c r="V821" s="8">
        <v>1</v>
      </c>
      <c r="W821" s="8"/>
      <c r="X821" t="s">
        <v>3546</v>
      </c>
      <c r="Y821" t="s">
        <v>261</v>
      </c>
    </row>
    <row r="822" spans="1:25" hidden="1" x14ac:dyDescent="0.3">
      <c r="A822">
        <v>41162</v>
      </c>
      <c r="B822" t="str">
        <f>_xlfn.CONCAT(bron[[#This Row],[personeelsnr]]," ",bron[[#This Row],[achternaam]]," ",bron[[#This Row],[voornaam]])</f>
        <v>41162 Hoeckman Jeroen</v>
      </c>
      <c r="C822" t="str">
        <f>VLOOKUP(bron[[#This Row],[personeelsnr]],'data hastus'!$A:$C,2,0)</f>
        <v>Hoeckman</v>
      </c>
      <c r="D822" t="str">
        <f>VLOOKUP(bron[[#This Row],[personeelsnr]],'data hastus'!$A:$C,3,0)</f>
        <v>Jeroen</v>
      </c>
      <c r="E822" t="str">
        <f>VLOOKUP(bron[[#This Row],[personeelsnr]],'data hastus'!A:K,11,FALSE)</f>
        <v>Dominique De Clercq</v>
      </c>
      <c r="F822" s="10"/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>
        <v>45706</v>
      </c>
      <c r="U822" s="8" t="s">
        <v>1063</v>
      </c>
      <c r="V822" s="8">
        <v>1</v>
      </c>
      <c r="W822" s="8"/>
      <c r="X822" t="s">
        <v>3546</v>
      </c>
      <c r="Y822" t="s">
        <v>213</v>
      </c>
    </row>
    <row r="823" spans="1:25" hidden="1" x14ac:dyDescent="0.3">
      <c r="A823">
        <v>41162</v>
      </c>
      <c r="B823" t="str">
        <f>_xlfn.CONCAT(bron[[#This Row],[personeelsnr]]," ",bron[[#This Row],[achternaam]]," ",bron[[#This Row],[voornaam]])</f>
        <v>41162 Hoeckman Jeroen</v>
      </c>
      <c r="C823" t="str">
        <f>VLOOKUP(bron[[#This Row],[personeelsnr]],'data hastus'!$A:$C,2,0)</f>
        <v>Hoeckman</v>
      </c>
      <c r="D823" t="str">
        <f>VLOOKUP(bron[[#This Row],[personeelsnr]],'data hastus'!$A:$C,3,0)</f>
        <v>Jeroen</v>
      </c>
      <c r="E823" t="str">
        <f>VLOOKUP(bron[[#This Row],[personeelsnr]],'data hastus'!A:K,11,FALSE)</f>
        <v>Dominique De Clercq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45861</v>
      </c>
      <c r="U823" s="8" t="s">
        <v>1252</v>
      </c>
      <c r="V823" s="24">
        <v>1</v>
      </c>
      <c r="W823" s="24"/>
      <c r="X823" t="s">
        <v>3547</v>
      </c>
      <c r="Y823" t="s">
        <v>1253</v>
      </c>
    </row>
    <row r="824" spans="1:25" hidden="1" x14ac:dyDescent="0.3">
      <c r="A824">
        <v>41162</v>
      </c>
      <c r="B824" t="str">
        <f>_xlfn.CONCAT(bron[[#This Row],[personeelsnr]]," ",bron[[#This Row],[achternaam]]," ",bron[[#This Row],[voornaam]])</f>
        <v>41162 Hoeckman Jeroen</v>
      </c>
      <c r="C824" t="str">
        <f>VLOOKUP(bron[[#This Row],[personeelsnr]],'data hastus'!$A:$C,2,0)</f>
        <v>Hoeckman</v>
      </c>
      <c r="D824" t="str">
        <f>VLOOKUP(bron[[#This Row],[personeelsnr]],'data hastus'!$A:$C,3,0)</f>
        <v>Jeroen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45874</v>
      </c>
      <c r="U824" s="24" t="s">
        <v>1267</v>
      </c>
      <c r="V824" s="24">
        <v>1</v>
      </c>
      <c r="W824" s="24"/>
      <c r="X824" t="s">
        <v>3547</v>
      </c>
      <c r="Y824" t="s">
        <v>19</v>
      </c>
    </row>
    <row r="825" spans="1:25" hidden="1" x14ac:dyDescent="0.3">
      <c r="A825">
        <v>41190</v>
      </c>
      <c r="B825" t="str">
        <f>_xlfn.CONCAT(bron[[#This Row],[personeelsnr]]," ",bron[[#This Row],[achternaam]]," ",bron[[#This Row],[voornaam]])</f>
        <v>41190 De Meyer Horst</v>
      </c>
      <c r="C825" t="s">
        <v>1277</v>
      </c>
      <c r="D825" t="s">
        <v>1278</v>
      </c>
      <c r="E825" t="s">
        <v>76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24" t="s">
        <v>1279</v>
      </c>
      <c r="V825" s="24">
        <v>1</v>
      </c>
      <c r="W825" s="24"/>
      <c r="X825" t="s">
        <v>3546</v>
      </c>
      <c r="Y825" t="s">
        <v>5</v>
      </c>
    </row>
    <row r="826" spans="1:25" hidden="1" x14ac:dyDescent="0.3">
      <c r="A826">
        <v>41230</v>
      </c>
      <c r="B826" t="str">
        <f>_xlfn.CONCAT(bron[[#This Row],[personeelsnr]]," ",bron[[#This Row],[achternaam]]," ",bron[[#This Row],[voornaam]])</f>
        <v>41230 De Witte Bart</v>
      </c>
      <c r="C826" t="str">
        <f>VLOOKUP(bron[[#This Row],[personeelsnr]],'data hastus'!$A:$C,2,0)</f>
        <v>De Witte</v>
      </c>
      <c r="D826" t="str">
        <f>VLOOKUP(bron[[#This Row],[personeelsnr]],'data hastus'!$A:$C,3,0)</f>
        <v>Bart</v>
      </c>
      <c r="E826" t="str">
        <f>VLOOKUP(bron[[#This Row],[personeelsnr]],'data hastus'!A:K,11,FALSE)</f>
        <v>Dominique De Clercq</v>
      </c>
      <c r="F826" s="10"/>
      <c r="G826" s="6"/>
      <c r="H826" s="6"/>
      <c r="I826" s="6"/>
      <c r="J826">
        <v>1</v>
      </c>
      <c r="K826"/>
      <c r="L826"/>
      <c r="M826"/>
      <c r="N826"/>
      <c r="O826"/>
      <c r="P826"/>
      <c r="Q826"/>
      <c r="R826"/>
      <c r="S826">
        <f>SUM(bron[[#This Row],[Januari]:[December]])</f>
        <v>1</v>
      </c>
      <c r="T826" s="3">
        <v>45765</v>
      </c>
      <c r="U826" s="8" t="s">
        <v>1141</v>
      </c>
      <c r="V826" s="8">
        <v>1</v>
      </c>
      <c r="W826" s="8"/>
      <c r="X826" t="s">
        <v>3546</v>
      </c>
      <c r="Y826" t="s">
        <v>131</v>
      </c>
    </row>
    <row r="827" spans="1:25" hidden="1" x14ac:dyDescent="0.3">
      <c r="A827">
        <v>41230</v>
      </c>
      <c r="B827" t="str">
        <f>_xlfn.CONCAT(bron[[#This Row],[personeelsnr]]," ",bron[[#This Row],[achternaam]]," ",bron[[#This Row],[voornaam]])</f>
        <v>41230 De Witte Bart</v>
      </c>
      <c r="C827" t="str">
        <f>VLOOKUP(bron[[#This Row],[personeelsnr]],'data hastus'!$A:$C,2,0)</f>
        <v>De Witte</v>
      </c>
      <c r="D827" t="str">
        <f>VLOOKUP(bron[[#This Row],[personeelsnr]],'data hastus'!$A:$C,3,0)</f>
        <v>Bart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K827" s="5">
        <v>1</v>
      </c>
      <c r="S827" s="5">
        <f>SUM(bron[[#This Row],[Januari]:[December]])</f>
        <v>1</v>
      </c>
      <c r="T827" s="9">
        <v>45794</v>
      </c>
      <c r="U827" s="8" t="s">
        <v>1176</v>
      </c>
      <c r="V827" s="8">
        <v>1</v>
      </c>
      <c r="W827" s="8"/>
      <c r="X827" t="s">
        <v>3546</v>
      </c>
      <c r="Y827" t="s">
        <v>281</v>
      </c>
    </row>
    <row r="828" spans="1:25" hidden="1" x14ac:dyDescent="0.3">
      <c r="A828">
        <v>41246</v>
      </c>
      <c r="B828" t="str">
        <f>_xlfn.CONCAT(bron[[#This Row],[personeelsnr]]," ",bron[[#This Row],[achternaam]]," ",bron[[#This Row],[voornaam]])</f>
        <v>41246 Van Holsbeeck Yana</v>
      </c>
      <c r="C828" t="str">
        <f>VLOOKUP(bron[[#This Row],[personeelsnr]],'data hastus'!$A:$C,2,0)</f>
        <v>Van Holsbeeck</v>
      </c>
      <c r="D828" t="str">
        <f>VLOOKUP(bron[[#This Row],[personeelsnr]],'data hastus'!$A:$C,3,0)</f>
        <v>Yana</v>
      </c>
      <c r="E828" t="str">
        <f>VLOOKUP(bron[[#This Row],[personeelsnr]],'data hastus'!A:K,11,FALSE)</f>
        <v>Dominique De Clercq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45708</v>
      </c>
      <c r="U828" s="8" t="s">
        <v>1067</v>
      </c>
      <c r="V828" s="8">
        <v>1</v>
      </c>
      <c r="W828" s="8"/>
      <c r="X828" t="s">
        <v>3546</v>
      </c>
      <c r="Y828" t="s">
        <v>131</v>
      </c>
    </row>
    <row r="829" spans="1:25" hidden="1" x14ac:dyDescent="0.3">
      <c r="A829" s="15">
        <v>41246</v>
      </c>
      <c r="B829" t="str">
        <f>_xlfn.CONCAT(bron[[#This Row],[personeelsnr]]," ",bron[[#This Row],[achternaam]]," ",bron[[#This Row],[voornaam]])</f>
        <v>41246 Van Holsbeeck Yana</v>
      </c>
      <c r="C829" s="15" t="str">
        <f>VLOOKUP(bron[[#This Row],[personeelsnr]],'data hastus'!$A:$C,2,0)</f>
        <v>Van Holsbeeck</v>
      </c>
      <c r="D829" s="15" t="str">
        <f>VLOOKUP(bron[[#This Row],[personeelsnr]],'data hastus'!$A:$C,3,0)</f>
        <v>Yana</v>
      </c>
      <c r="E829" s="15" t="str">
        <f>VLOOKUP(bron[[#This Row],[personeelsnr]],'data hastus'!A:K,11,FALSE)</f>
        <v>Dominique De Clercq</v>
      </c>
      <c r="F829" s="16"/>
      <c r="G829" s="17"/>
      <c r="H829" s="17"/>
      <c r="I829" s="17">
        <v>1</v>
      </c>
      <c r="J829" s="18"/>
      <c r="K829" s="18"/>
      <c r="L829" s="18"/>
      <c r="M829" s="18"/>
      <c r="N829" s="18"/>
      <c r="O829" s="18"/>
      <c r="P829" s="18"/>
      <c r="Q829" s="18"/>
      <c r="R829" s="18"/>
      <c r="S829" s="18">
        <f>SUM(bron[[#This Row],[Januari]:[December]])</f>
        <v>1</v>
      </c>
      <c r="T829" s="19">
        <v>45732</v>
      </c>
      <c r="U829" s="20" t="s">
        <v>1104</v>
      </c>
      <c r="V829" s="8">
        <v>1</v>
      </c>
      <c r="W829" s="20"/>
      <c r="X829" t="s">
        <v>3546</v>
      </c>
      <c r="Y829" s="15" t="s">
        <v>121</v>
      </c>
    </row>
    <row r="830" spans="1:25" hidden="1" x14ac:dyDescent="0.3">
      <c r="A830">
        <v>41246</v>
      </c>
      <c r="B830" t="str">
        <f>_xlfn.CONCAT(bron[[#This Row],[personeelsnr]]," ",bron[[#This Row],[achternaam]]," ",bron[[#This Row],[voornaam]])</f>
        <v>41246 Van Holsbeeck Yana</v>
      </c>
      <c r="C830" t="str">
        <f>VLOOKUP(bron[[#This Row],[personeelsnr]],'data hastus'!$A:$C,2,0)</f>
        <v>Van Holsbeeck</v>
      </c>
      <c r="D830" t="str">
        <f>VLOOKUP(bron[[#This Row],[personeelsnr]],'data hastus'!$A:$C,3,0)</f>
        <v>Yana</v>
      </c>
      <c r="E830" t="str">
        <f>VLOOKUP(bron[[#This Row],[personeelsnr]],'data hastus'!A:K,11,FALSE)</f>
        <v>Dominique De Clercq</v>
      </c>
      <c r="F830" s="10"/>
      <c r="G830" s="7"/>
      <c r="H830" s="7"/>
      <c r="I830" s="7"/>
      <c r="L830" s="5">
        <v>1</v>
      </c>
      <c r="S830" s="5">
        <f>SUM(bron[[#This Row],[Januari]:[December]])</f>
        <v>1</v>
      </c>
      <c r="T830" s="9">
        <v>45811</v>
      </c>
      <c r="U830" s="8" t="s">
        <v>1193</v>
      </c>
      <c r="V830" s="8">
        <v>1</v>
      </c>
      <c r="W830" s="8"/>
      <c r="X830" t="s">
        <v>3546</v>
      </c>
      <c r="Y830" t="s">
        <v>283</v>
      </c>
    </row>
    <row r="831" spans="1:25" hidden="1" x14ac:dyDescent="0.3">
      <c r="A831">
        <v>41296</v>
      </c>
      <c r="B831" t="str">
        <f>_xlfn.CONCAT(bron[[#This Row],[personeelsnr]]," ",bron[[#This Row],[achternaam]]," ",bron[[#This Row],[voornaam]])</f>
        <v>41296 Abulehia Oday</v>
      </c>
      <c r="C831" t="str">
        <f>VLOOKUP(bron[[#This Row],[personeelsnr]],'data hastus'!$A:$C,2,0)</f>
        <v>Abulehia</v>
      </c>
      <c r="D831" t="str">
        <f>VLOOKUP(bron[[#This Row],[personeelsnr]],'data hastus'!$A:$C,3,0)</f>
        <v>Oday</v>
      </c>
      <c r="E831" t="str">
        <f>VLOOKUP(bron[[#This Row],[personeelsnr]],'data hastus'!A:K,11,FALSE)</f>
        <v>Christoff Rotty</v>
      </c>
      <c r="F831" s="10"/>
      <c r="G831" s="7"/>
      <c r="H831" s="7"/>
      <c r="I831" s="7"/>
      <c r="M831" s="5">
        <v>1</v>
      </c>
      <c r="S831" s="5">
        <f>SUM(bron[[#This Row],[Januari]:[December]])</f>
        <v>1</v>
      </c>
      <c r="T831" s="9">
        <v>45867</v>
      </c>
      <c r="U831" s="24" t="s">
        <v>1261</v>
      </c>
      <c r="V831" s="24">
        <v>1</v>
      </c>
      <c r="W831" s="24"/>
      <c r="X831" t="s">
        <v>3547</v>
      </c>
      <c r="Y831" t="s">
        <v>141</v>
      </c>
    </row>
    <row r="832" spans="1:25" hidden="1" x14ac:dyDescent="0.3">
      <c r="A832">
        <v>41348</v>
      </c>
      <c r="B832" t="str">
        <f>_xlfn.CONCAT(bron[[#This Row],[personeelsnr]]," ",bron[[#This Row],[achternaam]]," ",bron[[#This Row],[voornaam]])</f>
        <v>41348 Van Huffel Tim</v>
      </c>
      <c r="C832" t="str">
        <f>VLOOKUP(bron[[#This Row],[personeelsnr]],'data hastus'!$A:$C,2,0)</f>
        <v>Van Huffel</v>
      </c>
      <c r="D832" t="str">
        <f>VLOOKUP(bron[[#This Row],[personeelsnr]],'data hastus'!$A:$C,3,0)</f>
        <v>Tim</v>
      </c>
      <c r="E832" t="str">
        <f>VLOOKUP(bron[[#This Row],[personeelsnr]],'data hastus'!A:K,11,FALSE)</f>
        <v>Christoff Rotty</v>
      </c>
      <c r="F832" s="10">
        <v>45883</v>
      </c>
      <c r="G832" s="6"/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0</v>
      </c>
      <c r="T832" s="3"/>
      <c r="U832" s="24" t="s">
        <v>1302</v>
      </c>
      <c r="V832" s="8">
        <v>1</v>
      </c>
      <c r="W832" s="8"/>
      <c r="X832" t="s">
        <v>7</v>
      </c>
      <c r="Y832" t="s">
        <v>10</v>
      </c>
    </row>
    <row r="833" spans="1:25" hidden="1" x14ac:dyDescent="0.3">
      <c r="A833">
        <v>41383</v>
      </c>
      <c r="B833" t="str">
        <f>_xlfn.CONCAT(bron[[#This Row],[personeelsnr]]," ",bron[[#This Row],[achternaam]]," ",bron[[#This Row],[voornaam]])</f>
        <v>41383 De Pauw Tony</v>
      </c>
      <c r="C833" t="str">
        <f>VLOOKUP(bron[[#This Row],[personeelsnr]],'data hastus'!$A:$C,2,0)</f>
        <v>De Pauw</v>
      </c>
      <c r="D833" t="str">
        <f>VLOOKUP(bron[[#This Row],[personeelsnr]],'data hastus'!$A:$C,3,0)</f>
        <v>Tony</v>
      </c>
      <c r="E833" t="str">
        <f>VLOOKUP(bron[[#This Row],[personeelsnr]],'data hastus'!A:K,11,FALSE)</f>
        <v>Els Vanhoe</v>
      </c>
      <c r="F833" s="10"/>
      <c r="G833" s="6"/>
      <c r="H833" s="6">
        <v>1</v>
      </c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1</v>
      </c>
      <c r="T833" s="3">
        <v>45702</v>
      </c>
      <c r="U833" s="8" t="s">
        <v>1060</v>
      </c>
      <c r="V833" s="8">
        <v>1</v>
      </c>
      <c r="W833" s="8"/>
      <c r="X833" t="s">
        <v>3546</v>
      </c>
      <c r="Y833" t="s">
        <v>60</v>
      </c>
    </row>
    <row r="834" spans="1:25" hidden="1" x14ac:dyDescent="0.3">
      <c r="A834">
        <v>41384</v>
      </c>
      <c r="B834" t="str">
        <f>_xlfn.CONCAT(bron[[#This Row],[personeelsnr]]," ",bron[[#This Row],[achternaam]]," ",bron[[#This Row],[voornaam]])</f>
        <v>41384 Hillaert Thimo</v>
      </c>
      <c r="C834" t="str">
        <f>VLOOKUP(bron[[#This Row],[personeelsnr]],'data hastus'!$A:$C,2,0)</f>
        <v>Hillaert</v>
      </c>
      <c r="D834" t="str">
        <f>VLOOKUP(bron[[#This Row],[personeelsnr]],'data hastus'!$A:$C,3,0)</f>
        <v>Thimo</v>
      </c>
      <c r="E834" t="str">
        <f>VLOOKUP(bron[[#This Row],[personeelsnr]],'data hastus'!A:K,11,FALSE)</f>
        <v>Christoff Rotty</v>
      </c>
      <c r="F834" s="10"/>
      <c r="G834" s="7"/>
      <c r="H834" s="7"/>
      <c r="I834" s="7"/>
      <c r="L834" s="5">
        <v>1</v>
      </c>
      <c r="S834" s="5">
        <f>SUM(bron[[#This Row],[Januari]:[December]])</f>
        <v>1</v>
      </c>
      <c r="T834" s="9">
        <v>45810</v>
      </c>
      <c r="U834" s="8" t="s">
        <v>1190</v>
      </c>
      <c r="V834" s="8">
        <v>1</v>
      </c>
      <c r="W834" s="8"/>
      <c r="X834" t="s">
        <v>3546</v>
      </c>
      <c r="Y834" t="s">
        <v>28</v>
      </c>
    </row>
    <row r="835" spans="1:25" hidden="1" x14ac:dyDescent="0.3">
      <c r="A835">
        <v>41384</v>
      </c>
      <c r="B835" t="str">
        <f>_xlfn.CONCAT(bron[[#This Row],[personeelsnr]]," ",bron[[#This Row],[achternaam]]," ",bron[[#This Row],[voornaam]])</f>
        <v>41384 Hillaert Thimo</v>
      </c>
      <c r="C835" t="str">
        <f>VLOOKUP(bron[[#This Row],[personeelsnr]],'data hastus'!$A:$C,2,0)</f>
        <v>Hillaert</v>
      </c>
      <c r="D835" t="str">
        <f>VLOOKUP(bron[[#This Row],[personeelsnr]],'data hastus'!$A:$C,3,0)</f>
        <v>Thimo</v>
      </c>
      <c r="E835" t="str">
        <f>VLOOKUP(bron[[#This Row],[personeelsnr]],'data hastus'!A:K,11,FALSE)</f>
        <v>Christoff Rotty</v>
      </c>
      <c r="F835" s="10">
        <v>45864</v>
      </c>
      <c r="G835" s="7"/>
      <c r="H835" s="7"/>
      <c r="I835" s="7"/>
      <c r="M835" s="5">
        <v>1</v>
      </c>
      <c r="S835" s="5">
        <f>SUM(bron[[#This Row],[Januari]:[December]])</f>
        <v>1</v>
      </c>
      <c r="U835" s="8" t="s">
        <v>1303</v>
      </c>
      <c r="V835" s="24">
        <v>1</v>
      </c>
      <c r="W835" s="24"/>
      <c r="X835" t="s">
        <v>7</v>
      </c>
      <c r="Y835" t="s">
        <v>108</v>
      </c>
    </row>
    <row r="836" spans="1:25" hidden="1" x14ac:dyDescent="0.3">
      <c r="A836">
        <v>41482</v>
      </c>
      <c r="B836" t="str">
        <f>_xlfn.CONCAT(bron[[#This Row],[personeelsnr]]," ",bron[[#This Row],[achternaam]]," ",bron[[#This Row],[voornaam]])</f>
        <v>41482 Özdemir Osman</v>
      </c>
      <c r="C836" t="str">
        <f>VLOOKUP(bron[[#This Row],[personeelsnr]],'data hastus'!$A:$C,2,0)</f>
        <v>Özdemir</v>
      </c>
      <c r="D836" t="str">
        <f>VLOOKUP(bron[[#This Row],[personeelsnr]],'data hastus'!$A:$C,3,0)</f>
        <v>Osman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K836" s="5">
        <v>1</v>
      </c>
      <c r="S836" s="5">
        <f>SUM(bron[[#This Row],[Januari]:[December]])</f>
        <v>1</v>
      </c>
      <c r="T836" s="9">
        <v>45800</v>
      </c>
      <c r="U836" s="8" t="s">
        <v>1180</v>
      </c>
      <c r="V836" s="8">
        <v>1</v>
      </c>
      <c r="W836" s="8"/>
      <c r="X836" t="s">
        <v>3546</v>
      </c>
      <c r="Y836" t="s">
        <v>34</v>
      </c>
    </row>
    <row r="837" spans="1:25" hidden="1" x14ac:dyDescent="0.3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3546</v>
      </c>
      <c r="Y837" t="s">
        <v>145</v>
      </c>
    </row>
    <row r="838" spans="1:25" hidden="1" x14ac:dyDescent="0.3">
      <c r="A838">
        <v>41520</v>
      </c>
      <c r="B838" t="str">
        <f>_xlfn.CONCAT(bron[[#This Row],[personeelsnr]]," ",bron[[#This Row],[achternaam]]," ",bron[[#This Row],[voornaam]])</f>
        <v>41520 Smets Avery</v>
      </c>
      <c r="C838" t="str">
        <f>VLOOKUP(bron[[#This Row],[personeelsnr]],'data hastus'!$A:$C,2,0)</f>
        <v>Smets</v>
      </c>
      <c r="D838" t="str">
        <f>VLOOKUP(bron[[#This Row],[personeelsnr]],'data hastus'!$A:$C,3,0)</f>
        <v>Avery</v>
      </c>
      <c r="E838" t="str">
        <f>VLOOKUP(bron[[#This Row],[personeelsnr]],'data hastus'!A:K,11,FALSE)</f>
        <v>Christoff Rotty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45766</v>
      </c>
      <c r="U838" s="8" t="s">
        <v>1145</v>
      </c>
      <c r="V838" s="8">
        <v>1</v>
      </c>
      <c r="W838" s="8"/>
      <c r="X838" t="s">
        <v>3546</v>
      </c>
      <c r="Y838" t="s">
        <v>269</v>
      </c>
    </row>
    <row r="839" spans="1:25" hidden="1" x14ac:dyDescent="0.3">
      <c r="A839">
        <v>41588</v>
      </c>
      <c r="B839" t="str">
        <f>_xlfn.CONCAT(bron[[#This Row],[personeelsnr]]," ",bron[[#This Row],[achternaam]]," ",bron[[#This Row],[voornaam]])</f>
        <v>41588 Naessens Yves</v>
      </c>
      <c r="C839" t="str">
        <f>VLOOKUP(bron[[#This Row],[personeelsnr]],'data hastus'!$A:$C,2,0)</f>
        <v>Naessens</v>
      </c>
      <c r="D839" t="str">
        <f>VLOOKUP(bron[[#This Row],[personeelsnr]],'data hastus'!$A:$C,3,0)</f>
        <v>Yves</v>
      </c>
      <c r="E839" t="str">
        <f>VLOOKUP(bron[[#This Row],[personeelsnr]],'data hastus'!A:K,11,FALSE)</f>
        <v>Kenneth De Rick</v>
      </c>
      <c r="F839" s="10"/>
      <c r="G839" s="6"/>
      <c r="H839" s="6"/>
      <c r="I839" s="6"/>
      <c r="J839">
        <v>1</v>
      </c>
      <c r="K839"/>
      <c r="L839"/>
      <c r="M839"/>
      <c r="N839"/>
      <c r="O839"/>
      <c r="P839"/>
      <c r="Q839"/>
      <c r="R839"/>
      <c r="S839">
        <f>SUM(bron[[#This Row],[Januari]:[December]])</f>
        <v>1</v>
      </c>
      <c r="T839" s="3">
        <v>45769</v>
      </c>
      <c r="U839" s="8" t="s">
        <v>1148</v>
      </c>
      <c r="V839" s="8">
        <v>1</v>
      </c>
      <c r="W839" s="8"/>
      <c r="X839" t="s">
        <v>3546</v>
      </c>
      <c r="Y839" t="s">
        <v>183</v>
      </c>
    </row>
    <row r="840" spans="1:25" hidden="1" x14ac:dyDescent="0.3">
      <c r="A840">
        <v>41619</v>
      </c>
      <c r="B840" t="str">
        <f>_xlfn.CONCAT(bron[[#This Row],[personeelsnr]]," ",bron[[#This Row],[achternaam]]," ",bron[[#This Row],[voornaam]])</f>
        <v>41619 Bachiri Ousama</v>
      </c>
      <c r="C840" t="str">
        <f>VLOOKUP(bron[[#This Row],[personeelsnr]],'data hastus'!$A:$C,2,0)</f>
        <v>Bachiri</v>
      </c>
      <c r="D840" t="str">
        <f>VLOOKUP(bron[[#This Row],[personeelsnr]],'data hastus'!$A:$C,3,0)</f>
        <v>Ousama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45807</v>
      </c>
      <c r="U840" s="8" t="s">
        <v>1187</v>
      </c>
      <c r="V840" s="8">
        <v>1</v>
      </c>
      <c r="W840" s="8"/>
      <c r="X840" t="s">
        <v>3546</v>
      </c>
      <c r="Y840" t="s">
        <v>57</v>
      </c>
    </row>
    <row r="841" spans="1:25" hidden="1" x14ac:dyDescent="0.3">
      <c r="A841">
        <v>41619</v>
      </c>
      <c r="B841" t="str">
        <f>_xlfn.CONCAT(bron[[#This Row],[personeelsnr]]," ",bron[[#This Row],[achternaam]]," ",bron[[#This Row],[voornaam]])</f>
        <v>41619 Bachiri Ousama</v>
      </c>
      <c r="C841" t="str">
        <f>VLOOKUP(bron[[#This Row],[personeelsnr]],'data hastus'!$A:$C,2,0)</f>
        <v>Bachiri</v>
      </c>
      <c r="D841" t="str">
        <f>VLOOKUP(bron[[#This Row],[personeelsnr]],'data hastus'!$A:$C,3,0)</f>
        <v>Ousama</v>
      </c>
      <c r="E841" t="str">
        <f>VLOOKUP(bron[[#This Row],[personeelsnr]],'data hastus'!A:K,11,FALSE)</f>
        <v>Bart Van Der Beken</v>
      </c>
      <c r="F841" s="10"/>
      <c r="G841" s="7"/>
      <c r="H841" s="7"/>
      <c r="I841" s="7"/>
      <c r="N841" s="5">
        <v>1</v>
      </c>
      <c r="S841" s="5">
        <f>SUM(bron[[#This Row],[Januari]:[December]])</f>
        <v>1</v>
      </c>
      <c r="T841" s="9">
        <v>45892</v>
      </c>
      <c r="U841" s="5" t="s">
        <v>1282</v>
      </c>
      <c r="V841" s="24">
        <v>1</v>
      </c>
      <c r="W841" s="24"/>
      <c r="X841" t="s">
        <v>3547</v>
      </c>
      <c r="Y841" t="s">
        <v>51</v>
      </c>
    </row>
    <row r="842" spans="1:25" hidden="1" x14ac:dyDescent="0.3">
      <c r="A842">
        <v>41671</v>
      </c>
      <c r="B842" t="str">
        <f>_xlfn.CONCAT(bron[[#This Row],[personeelsnr]]," ",bron[[#This Row],[achternaam]]," ",bron[[#This Row],[voornaam]])</f>
        <v>41671 Hasan Salem</v>
      </c>
      <c r="C842" t="str">
        <f>VLOOKUP(bron[[#This Row],[personeelsnr]],'data hastus'!$A:$C,2,0)</f>
        <v>Hasan</v>
      </c>
      <c r="D842" t="str">
        <f>VLOOKUP(bron[[#This Row],[personeelsnr]],'data hastus'!$A:$C,3,0)</f>
        <v>Salem</v>
      </c>
      <c r="E842" t="str">
        <f>VLOOKUP(bron[[#This Row],[personeelsnr]],'data hastus'!A:K,11,FALSE)</f>
        <v>Bart Van Der Beken</v>
      </c>
      <c r="F842" s="10"/>
      <c r="G842" s="7"/>
      <c r="H842" s="7"/>
      <c r="I842" s="7"/>
      <c r="K842" s="5">
        <v>1</v>
      </c>
      <c r="S842" s="5">
        <f>SUM(bron[[#This Row],[Januari]:[December]])</f>
        <v>1</v>
      </c>
      <c r="T842" s="9">
        <v>45799</v>
      </c>
      <c r="U842" s="8" t="s">
        <v>1179</v>
      </c>
      <c r="V842" s="8">
        <v>1</v>
      </c>
      <c r="W842" s="8"/>
      <c r="X842" t="s">
        <v>3546</v>
      </c>
      <c r="Y842" t="s">
        <v>46</v>
      </c>
    </row>
    <row r="843" spans="1:25" hidden="1" x14ac:dyDescent="0.3">
      <c r="A843">
        <v>41690</v>
      </c>
      <c r="B843" t="str">
        <f>_xlfn.CONCAT(bron[[#This Row],[personeelsnr]]," ",bron[[#This Row],[achternaam]]," ",bron[[#This Row],[voornaam]])</f>
        <v>41690 Van de Winckel Kelly</v>
      </c>
      <c r="C843" t="str">
        <f>VLOOKUP(bron[[#This Row],[personeelsnr]],'data hastus'!$A:$C,2,0)</f>
        <v>Van de Winckel</v>
      </c>
      <c r="D843" t="str">
        <f>VLOOKUP(bron[[#This Row],[personeelsnr]],'data hastus'!$A:$C,3,0)</f>
        <v>Kelly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L843" s="5">
        <v>1</v>
      </c>
      <c r="S843" s="5">
        <f>SUM(bron[[#This Row],[Januari]:[December]])</f>
        <v>1</v>
      </c>
      <c r="T843" s="9">
        <v>45829</v>
      </c>
      <c r="U843" s="8" t="s">
        <v>1211</v>
      </c>
      <c r="V843" s="24">
        <v>1</v>
      </c>
      <c r="W843" s="24"/>
      <c r="X843" t="s">
        <v>3546</v>
      </c>
      <c r="Y843" t="s">
        <v>54</v>
      </c>
    </row>
    <row r="844" spans="1:25" hidden="1" x14ac:dyDescent="0.3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1177</v>
      </c>
      <c r="V844" s="8">
        <v>1</v>
      </c>
      <c r="W844" s="8"/>
      <c r="X844" t="s">
        <v>3546</v>
      </c>
      <c r="Y844" t="s">
        <v>108</v>
      </c>
    </row>
    <row r="845" spans="1:25" hidden="1" x14ac:dyDescent="0.3">
      <c r="A845">
        <v>41721</v>
      </c>
      <c r="B845" t="str">
        <f>_xlfn.CONCAT(bron[[#This Row],[personeelsnr]]," ",bron[[#This Row],[achternaam]]," ",bron[[#This Row],[voornaam]])</f>
        <v>41721 Nolf Philippe</v>
      </c>
      <c r="C845" t="str">
        <f>VLOOKUP(bron[[#This Row],[personeelsnr]],'data hastus'!$A:$C,2,0)</f>
        <v>Nolf</v>
      </c>
      <c r="D845" t="str">
        <f>VLOOKUP(bron[[#This Row],[personeelsnr]],'data hastus'!$A:$C,3,0)</f>
        <v>Philippe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L845" s="5">
        <v>1</v>
      </c>
      <c r="S845" s="5">
        <f>SUM(bron[[#This Row],[Januari]:[December]])</f>
        <v>1</v>
      </c>
      <c r="T845" s="9">
        <v>45828</v>
      </c>
      <c r="U845" s="8" t="s">
        <v>1209</v>
      </c>
      <c r="V845" s="24">
        <v>1</v>
      </c>
      <c r="W845" s="24"/>
      <c r="X845" t="s">
        <v>3546</v>
      </c>
      <c r="Y845" t="s">
        <v>57</v>
      </c>
    </row>
    <row r="846" spans="1:25" hidden="1" x14ac:dyDescent="0.3">
      <c r="A846">
        <v>41859</v>
      </c>
      <c r="B846" t="str">
        <f>_xlfn.CONCAT(bron[[#This Row],[personeelsnr]]," ",bron[[#This Row],[achternaam]]," ",bron[[#This Row],[voornaam]])</f>
        <v>41859 Palit Ramazan</v>
      </c>
      <c r="C846" t="s">
        <v>1231</v>
      </c>
      <c r="D846" t="s">
        <v>1232</v>
      </c>
      <c r="E846" t="s">
        <v>76</v>
      </c>
      <c r="F846" s="10"/>
      <c r="G846" s="7"/>
      <c r="H846" s="7"/>
      <c r="I846" s="7"/>
      <c r="M846" s="5">
        <v>1</v>
      </c>
      <c r="S846" s="5">
        <f>SUM(bron[[#This Row],[Januari]:[December]])</f>
        <v>1</v>
      </c>
      <c r="T846" s="9">
        <v>45845</v>
      </c>
      <c r="U846" s="8" t="s">
        <v>1233</v>
      </c>
      <c r="V846" s="24">
        <v>1</v>
      </c>
      <c r="W846" s="24"/>
      <c r="X846" t="s">
        <v>3546</v>
      </c>
      <c r="Y846" t="s">
        <v>16</v>
      </c>
    </row>
    <row r="847" spans="1:25" hidden="1" x14ac:dyDescent="0.3">
      <c r="A847">
        <v>41871</v>
      </c>
      <c r="B847" t="str">
        <f>_xlfn.CONCAT(bron[[#This Row],[personeelsnr]]," ",bron[[#This Row],[achternaam]]," ",bron[[#This Row],[voornaam]])</f>
        <v>41871 Karanfil Ibrahim</v>
      </c>
      <c r="C847" t="str">
        <f>VLOOKUP(bron[[#This Row],[personeelsnr]],'data hastus'!$A:$C,2,0)</f>
        <v>Karanfil</v>
      </c>
      <c r="D847" t="str">
        <f>VLOOKUP(bron[[#This Row],[personeelsnr]],'data hastus'!$A:$C,3,0)</f>
        <v>Ibrahim</v>
      </c>
      <c r="E847" t="str">
        <f>VLOOKUP(bron[[#This Row],[personeelsnr]],'data hastus'!A:K,11,FALSE)</f>
        <v>Dominique De Clercq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45884</v>
      </c>
      <c r="U847" s="24" t="s">
        <v>1274</v>
      </c>
      <c r="V847" s="24">
        <v>1</v>
      </c>
      <c r="W847" s="24"/>
      <c r="X847" t="s">
        <v>3546</v>
      </c>
      <c r="Y847" t="s">
        <v>243</v>
      </c>
    </row>
    <row r="848" spans="1:25" hidden="1" x14ac:dyDescent="0.3">
      <c r="A848">
        <v>41874</v>
      </c>
      <c r="B848" t="str">
        <f>_xlfn.CONCAT(bron[[#This Row],[personeelsnr]]," ",bron[[#This Row],[achternaam]]," ",bron[[#This Row],[voornaam]])</f>
        <v>41874 Dobbeleire Bruno</v>
      </c>
      <c r="C848" t="str">
        <f>VLOOKUP(bron[[#This Row],[personeelsnr]],'data hastus'!$A:$C,2,0)</f>
        <v>Dobbeleire</v>
      </c>
      <c r="D848" t="str">
        <f>VLOOKUP(bron[[#This Row],[personeelsnr]],'data hastus'!$A:$C,3,0)</f>
        <v>Bruno</v>
      </c>
      <c r="E848" t="str">
        <f>VLOOKUP(bron[[#This Row],[personeelsnr]],'data hastus'!A:K,11,FALSE)</f>
        <v>Dominique De Clercq</v>
      </c>
      <c r="F848" s="10"/>
      <c r="G848" s="7"/>
      <c r="H848" s="7"/>
      <c r="I848" s="7"/>
      <c r="N848" s="5">
        <v>1</v>
      </c>
      <c r="S848" s="5">
        <f>SUM(bron[[#This Row],[Januari]:[December]])</f>
        <v>1</v>
      </c>
      <c r="T848" s="9">
        <v>45876</v>
      </c>
      <c r="U848" s="24" t="s">
        <v>1269</v>
      </c>
      <c r="V848" s="24">
        <v>1</v>
      </c>
      <c r="W848" s="24"/>
      <c r="X848" t="s">
        <v>3546</v>
      </c>
      <c r="Y848" t="s">
        <v>54</v>
      </c>
    </row>
    <row r="849" spans="1:25" hidden="1" x14ac:dyDescent="0.3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O849" s="5">
        <v>1</v>
      </c>
      <c r="S849" s="5">
        <f>SUM(bron[[#This Row],[Januari]:[December]])</f>
        <v>1</v>
      </c>
      <c r="T849" s="9">
        <v>45901</v>
      </c>
      <c r="U849" s="5" t="s">
        <v>1340</v>
      </c>
      <c r="V849" s="24">
        <v>1</v>
      </c>
      <c r="W849" s="24"/>
      <c r="X849" t="s">
        <v>3546</v>
      </c>
      <c r="Y849" t="s">
        <v>1341</v>
      </c>
    </row>
    <row r="850" spans="1:25" hidden="1" x14ac:dyDescent="0.3">
      <c r="A850">
        <v>42002</v>
      </c>
      <c r="B850" t="str">
        <f>_xlfn.CONCAT(bron[[#This Row],[personeelsnr]]," ",bron[[#This Row],[achternaam]]," ",bron[[#This Row],[voornaam]])</f>
        <v>42002 Bogaert Kevin</v>
      </c>
      <c r="C850" t="str">
        <f>VLOOKUP(bron[[#This Row],[personeelsnr]],'data hastus'!$A:$C,2,0)</f>
        <v>Bogaert</v>
      </c>
      <c r="D850" t="str">
        <f>VLOOKUP(bron[[#This Row],[personeelsnr]],'data hastus'!$A:$C,3,0)</f>
        <v>Kevin</v>
      </c>
      <c r="E850" t="str">
        <f>VLOOKUP(bron[[#This Row],[personeelsnr]],'data hastus'!A:K,11,FALSE)</f>
        <v>Els Vanhoe</v>
      </c>
      <c r="F850" s="10">
        <v>45862</v>
      </c>
      <c r="G850" s="7"/>
      <c r="H850" s="7"/>
      <c r="I850" s="7"/>
      <c r="M850" s="5">
        <v>1</v>
      </c>
      <c r="S850" s="5">
        <f>SUM(bron[[#This Row],[Januari]:[December]])</f>
        <v>1</v>
      </c>
      <c r="U850" s="8" t="s">
        <v>1318</v>
      </c>
      <c r="V850" s="24">
        <v>1</v>
      </c>
      <c r="W850" s="24"/>
      <c r="X850" t="s">
        <v>7</v>
      </c>
      <c r="Y850" t="s">
        <v>16</v>
      </c>
    </row>
    <row r="851" spans="1:25" hidden="1" x14ac:dyDescent="0.3">
      <c r="A851">
        <v>42082</v>
      </c>
      <c r="B851" t="str">
        <f>_xlfn.CONCAT(bron[[#This Row],[personeelsnr]]," ",bron[[#This Row],[achternaam]]," ",bron[[#This Row],[voornaam]])</f>
        <v>42082 Ahmad Othman</v>
      </c>
      <c r="C851" t="str">
        <f>VLOOKUP(bron[[#This Row],[personeelsnr]],'data hastus'!$A:$C,2,0)</f>
        <v>Ahmad</v>
      </c>
      <c r="D851" t="str">
        <f>VLOOKUP(bron[[#This Row],[personeelsnr]],'data hastus'!$A:$C,3,0)</f>
        <v>Othman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O851" s="5">
        <v>1</v>
      </c>
      <c r="S851" s="5">
        <f>SUM(bron[[#This Row],[Januari]:[December]])</f>
        <v>1</v>
      </c>
      <c r="T851" s="9">
        <v>45904</v>
      </c>
      <c r="U851" s="5" t="s">
        <v>3534</v>
      </c>
      <c r="V851" s="24">
        <v>1</v>
      </c>
      <c r="W851" s="24"/>
      <c r="X851" t="s">
        <v>3546</v>
      </c>
      <c r="Y851" t="s">
        <v>10</v>
      </c>
    </row>
    <row r="852" spans="1:25" hidden="1" x14ac:dyDescent="0.3">
      <c r="A852">
        <v>42145</v>
      </c>
      <c r="B852" t="str">
        <f>_xlfn.CONCAT(bron[[#This Row],[personeelsnr]]," ",bron[[#This Row],[achternaam]]," ",bron[[#This Row],[voornaam]])</f>
        <v>42145 Gys Shayya</v>
      </c>
      <c r="C852" t="str">
        <f>VLOOKUP(bron[[#This Row],[personeelsnr]],'data hastus'!$A:$C,2,0)</f>
        <v>Gys</v>
      </c>
      <c r="D852" t="str">
        <f>VLOOKUP(bron[[#This Row],[personeelsnr]],'data hastus'!$A:$C,3,0)</f>
        <v>Shayya</v>
      </c>
      <c r="E852" t="str">
        <f>VLOOKUP(bron[[#This Row],[personeelsnr]],'data hastus'!A:K,11,FALSE)</f>
        <v>Steven Storm</v>
      </c>
      <c r="F852" s="10"/>
      <c r="G852" s="7"/>
      <c r="H852" s="7"/>
      <c r="I852" s="7"/>
      <c r="N852" s="5">
        <v>1</v>
      </c>
      <c r="S852" s="5">
        <f>SUM(bron[[#This Row],[Januari]:[December]])</f>
        <v>1</v>
      </c>
      <c r="T852" s="9">
        <v>45894</v>
      </c>
      <c r="U852" s="5" t="s">
        <v>1283</v>
      </c>
      <c r="V852" s="24">
        <v>1</v>
      </c>
      <c r="W852" s="24"/>
      <c r="X852" t="s">
        <v>3546</v>
      </c>
      <c r="Y852" t="s">
        <v>293</v>
      </c>
    </row>
    <row r="853" spans="1:25" hidden="1" x14ac:dyDescent="0.3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  <row r="854" spans="1:25" hidden="1" x14ac:dyDescent="0.3">
      <c r="B854" t="e">
        <f>_xlfn.CONCAT(bron[[#This Row],[personeelsnr]]," ",bron[[#This Row],[achternaam]]," ",bron[[#This Row],[voornaam]])</f>
        <v>#N/A</v>
      </c>
      <c r="C854" t="e">
        <f>VLOOKUP(bron[[#This Row],[personeelsnr]],'data hastus'!$A:$C,2,0)</f>
        <v>#N/A</v>
      </c>
      <c r="D854" t="e">
        <f>VLOOKUP(bron[[#This Row],[personeelsnr]],'data hastus'!$A:$C,3,0)</f>
        <v>#N/A</v>
      </c>
      <c r="E854" t="e">
        <f>VLOOKUP(bron[[#This Row],[personeelsnr]],'data hastus'!A:K,11,FALSE)</f>
        <v>#N/A</v>
      </c>
      <c r="F854" s="10"/>
      <c r="G854" s="7"/>
      <c r="H854" s="7"/>
      <c r="I854" s="7"/>
      <c r="S854" s="5">
        <f>SUM(bron[[#This Row],[Januari]:[December]])</f>
        <v>0</v>
      </c>
      <c r="V854" s="24"/>
      <c r="W854" s="24"/>
    </row>
    <row r="855" spans="1:25" hidden="1" x14ac:dyDescent="0.3">
      <c r="B855" t="e">
        <f>_xlfn.CONCAT(bron[[#This Row],[personeelsnr]]," ",bron[[#This Row],[achternaam]]," ",bron[[#This Row],[voornaam]])</f>
        <v>#N/A</v>
      </c>
      <c r="C855" t="e">
        <f>VLOOKUP(bron[[#This Row],[personeelsnr]],'data hastus'!$A:$C,2,0)</f>
        <v>#N/A</v>
      </c>
      <c r="D855" t="e">
        <f>VLOOKUP(bron[[#This Row],[personeelsnr]],'data hastus'!$A:$C,3,0)</f>
        <v>#N/A</v>
      </c>
      <c r="E855" t="e">
        <f>VLOOKUP(bron[[#This Row],[personeelsnr]],'data hastus'!A:K,11,FALSE)</f>
        <v>#N/A</v>
      </c>
      <c r="F855" s="10"/>
      <c r="G855" s="7"/>
      <c r="H855" s="7"/>
      <c r="I855" s="7"/>
      <c r="S855" s="5">
        <f>SUM(bron[[#This Row],[Januari]:[December]])</f>
        <v>0</v>
      </c>
      <c r="V855" s="24"/>
      <c r="W855" s="24"/>
    </row>
    <row r="856" spans="1:25" hidden="1" x14ac:dyDescent="0.3">
      <c r="B856" t="e">
        <f>_xlfn.CONCAT(bron[[#This Row],[personeelsnr]]," ",bron[[#This Row],[achternaam]]," ",bron[[#This Row],[voornaam]])</f>
        <v>#N/A</v>
      </c>
      <c r="C856" t="e">
        <f>VLOOKUP(bron[[#This Row],[personeelsnr]],'data hastus'!$A:$C,2,0)</f>
        <v>#N/A</v>
      </c>
      <c r="D856" t="e">
        <f>VLOOKUP(bron[[#This Row],[personeelsnr]],'data hastus'!$A:$C,3,0)</f>
        <v>#N/A</v>
      </c>
      <c r="E856" t="e">
        <f>VLOOKUP(bron[[#This Row],[personeelsnr]],'data hastus'!A:K,11,FALSE)</f>
        <v>#N/A</v>
      </c>
      <c r="F856" s="10"/>
      <c r="G856" s="7"/>
      <c r="H856" s="7"/>
      <c r="I856" s="7"/>
      <c r="S856" s="5">
        <f>SUM(bron[[#This Row],[Januari]:[December]])</f>
        <v>0</v>
      </c>
      <c r="V856" s="24"/>
      <c r="W856" s="24"/>
    </row>
    <row r="857" spans="1:25" hidden="1" x14ac:dyDescent="0.3">
      <c r="B857" t="e">
        <f>_xlfn.CONCAT(bron[[#This Row],[personeelsnr]]," ",bron[[#This Row],[achternaam]]," ",bron[[#This Row],[voornaam]])</f>
        <v>#N/A</v>
      </c>
      <c r="C857" t="e">
        <f>VLOOKUP(bron[[#This Row],[personeelsnr]],'data hastus'!$A:$C,2,0)</f>
        <v>#N/A</v>
      </c>
      <c r="D857" t="e">
        <f>VLOOKUP(bron[[#This Row],[personeelsnr]],'data hastus'!$A:$C,3,0)</f>
        <v>#N/A</v>
      </c>
      <c r="E857" t="e">
        <f>VLOOKUP(bron[[#This Row],[personeelsnr]],'data hastus'!A:K,11,FALSE)</f>
        <v>#N/A</v>
      </c>
      <c r="F857" s="10"/>
      <c r="G857" s="7"/>
      <c r="H857" s="7"/>
      <c r="I857" s="7"/>
      <c r="S857" s="5">
        <f>SUM(bron[[#This Row],[Januari]:[December]])</f>
        <v>0</v>
      </c>
      <c r="V857" s="24"/>
      <c r="W857" s="24"/>
    </row>
    <row r="858" spans="1:25" hidden="1" x14ac:dyDescent="0.3">
      <c r="B858" t="e">
        <f>_xlfn.CONCAT(bron[[#This Row],[personeelsnr]]," ",bron[[#This Row],[achternaam]]," ",bron[[#This Row],[voornaam]])</f>
        <v>#N/A</v>
      </c>
      <c r="C858" t="e">
        <f>VLOOKUP(bron[[#This Row],[personeelsnr]],'data hastus'!$A:$C,2,0)</f>
        <v>#N/A</v>
      </c>
      <c r="D858" t="e">
        <f>VLOOKUP(bron[[#This Row],[personeelsnr]],'data hastus'!$A:$C,3,0)</f>
        <v>#N/A</v>
      </c>
      <c r="E858" t="e">
        <f>VLOOKUP(bron[[#This Row],[personeelsnr]],'data hastus'!A:K,11,FALSE)</f>
        <v>#N/A</v>
      </c>
      <c r="F858" s="10"/>
      <c r="G858" s="7"/>
      <c r="H858" s="7"/>
      <c r="I858" s="7"/>
      <c r="S858" s="5">
        <f>SUM(bron[[#This Row],[Januari]:[December]])</f>
        <v>0</v>
      </c>
      <c r="V858" s="24"/>
      <c r="W858" s="24"/>
    </row>
  </sheetData>
  <sheetProtection sort="0" autoFilter="0"/>
  <phoneticPr fontId="1" type="noConversion"/>
  <conditionalFormatting sqref="F2:F85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97" r:id="rId1" xr:uid="{069AB0F3-66D9-443A-A282-BECCE4BC15A4}"/>
    <hyperlink ref="U699" r:id="rId2" xr:uid="{266ED411-E9BA-4025-B809-BF681D6EF2C2}"/>
    <hyperlink ref="U552" r:id="rId3" display="../../../../../../../:b:/r/teams/CTM-OTGentStad/Shared Documents/General/EAF/CSI(nieuwe sharepoint) 2025/1. Januari/EAF 6337 Gent 17012025.pdf?csf=1&amp;web=1&amp;e=HIde3n" xr:uid="{B7A5B04D-2444-4A69-96EE-429FE1FAEFC1}"/>
    <hyperlink ref="U648" r:id="rId4" display="../../../../../../../:b:/r/teams/CTM-OTGentStad/Shared Documents/General/EAF/CSI(nieuwe sharepoint) 2025/1. Januari/EAF 6356 Gentbrugge 18012025.pdf?csf=1&amp;web=1&amp;e=mefvXc" xr:uid="{3B1FF491-C1E6-43FD-A0C3-057465EB5192}"/>
    <hyperlink ref="U565" r:id="rId5" display="../../../../../../../:b:/r/teams/CTM-OTGentStad/Shared Documents/General/EAF/CSI(nieuwe sharepoint) 2025/1. Januari/EAF 5263 Mariakerke 13012025.pdf?csf=1&amp;web=1&amp;e=qFf0hX" xr:uid="{1AF9CACF-A798-4483-851F-5828A099BE42}"/>
    <hyperlink ref="U752" r:id="rId6" display="../../../../../../../:b:/r/teams/CTM-OTGentStad/Shared Documents/General/EAF/CSI(nieuwe sharepoint) 2025/1. Januari/EAF 5047 Gent 03012025.pdf?csf=1&amp;web=1&amp;e=ycRhDE" xr:uid="{3AD54217-AB8C-48D0-9A63-05351EF31D35}"/>
    <hyperlink ref="U527" r:id="rId7" xr:uid="{758C2375-3764-4237-851D-A90FFF7D6AC8}"/>
    <hyperlink ref="U56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3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0" r:id="rId10" xr:uid="{F64E53A4-7C17-46F2-BB91-670CFE110D02}"/>
    <hyperlink ref="U691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19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43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13" r:id="rId16" xr:uid="{7921045D-AAB1-4DF0-9E93-D83FFE86B6F5}"/>
    <hyperlink ref="U59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47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7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93" r:id="rId533" xr:uid="{150DA4FD-1711-4867-B634-D05F4AEFF1A7}"/>
    <hyperlink ref="U780" r:id="rId534" xr:uid="{D4A9EBC2-7040-472D-9CD7-25E0CD73A803}"/>
    <hyperlink ref="U781" r:id="rId535" xr:uid="{863C6FA1-A756-4D70-AC71-51E5A76689C5}"/>
    <hyperlink ref="U521" r:id="rId536" xr:uid="{DACDB412-C833-4291-9C28-79BA532569AA}"/>
    <hyperlink ref="U563" r:id="rId537" xr:uid="{0B00DD93-46E6-429E-BC0E-941F7DDDCE2A}"/>
    <hyperlink ref="U717" r:id="rId538" xr:uid="{225EB26C-7772-460F-A73C-0F374D7AF285}"/>
    <hyperlink ref="U654" r:id="rId539" xr:uid="{BD0527B6-7BCC-4011-AFE4-A7A21EEA6DF1}"/>
    <hyperlink ref="U676" r:id="rId540" xr:uid="{C2CD05F9-E24E-4861-A589-1C820F320F9E}"/>
    <hyperlink ref="U719" r:id="rId541" xr:uid="{FE436817-0B4F-438C-A63D-C51B18F105A4}"/>
    <hyperlink ref="U645" r:id="rId542" xr:uid="{4A3BDEF3-14A7-45E2-8146-4BAA33388E54}"/>
    <hyperlink ref="U774" r:id="rId543" xr:uid="{56E8F87E-FC9C-4191-9A01-2285D988C8C0}"/>
    <hyperlink ref="U731" r:id="rId544" xr:uid="{3BF788E9-2462-4020-AC4B-A66BB6793883}"/>
    <hyperlink ref="U631" r:id="rId545" xr:uid="{67C81648-7A07-49F8-9510-14AC3651BFAC}"/>
    <hyperlink ref="U675" r:id="rId546" xr:uid="{D17842E8-28B7-4700-8F51-1BF6AAFEEDED}"/>
    <hyperlink ref="U824" r:id="rId547" xr:uid="{1D07BE5F-6D45-449E-A856-72ABC302C426}"/>
    <hyperlink ref="U678" r:id="rId548" xr:uid="{74CF06CF-A463-4FAA-9D33-6F2484FDFE16}"/>
    <hyperlink ref="U652" r:id="rId549" xr:uid="{4D2D47F3-D93E-4E06-A609-F6F31A503B9E}"/>
    <hyperlink ref="U818" r:id="rId550" xr:uid="{BB3ADF8B-2677-4058-AC30-13299C7C8573}"/>
    <hyperlink ref="U848" r:id="rId551" xr:uid="{F243989D-7F6A-4CAE-A35A-DDFC357040CB}"/>
    <hyperlink ref="U682" r:id="rId552" xr:uid="{E058195F-A560-43AD-B42C-D9F293BF83BE}"/>
    <hyperlink ref="U800" r:id="rId553" xr:uid="{E23FAE86-C71A-42EC-8B47-C80E9CF9E459}"/>
    <hyperlink ref="U831" r:id="rId554" xr:uid="{56031605-4B81-4A26-9C04-859AC6BC7199}"/>
    <hyperlink ref="U707" r:id="rId555" xr:uid="{37F3A534-9157-4431-A907-DA8F76A26E11}"/>
    <hyperlink ref="U819" r:id="rId556" xr:uid="{3B159F39-D1EE-4FFE-B00F-CD5A30667FFD}"/>
    <hyperlink ref="U803" r:id="rId557" xr:uid="{D0BD2ED7-E6F8-44FF-AA5C-9C16A6C1804B}"/>
    <hyperlink ref="U657" r:id="rId558" xr:uid="{F33A1740-8EB8-4025-8F53-80BACD691CA6}"/>
    <hyperlink ref="U550" r:id="rId559" xr:uid="{9D95C12D-8E65-4229-9718-A51321D9D94F}"/>
    <hyperlink ref="U757" r:id="rId560" xr:uid="{E4224694-117F-4F4F-9BF7-195BE73397D9}"/>
    <hyperlink ref="U734" r:id="rId561" xr:uid="{C8F55B2D-0BB9-4A25-9B22-6ED11D2439AC}"/>
    <hyperlink ref="U627" r:id="rId562" xr:uid="{086A88D0-A6B0-4F2C-A4EA-1445ED053D6B}"/>
    <hyperlink ref="U603" r:id="rId563" xr:uid="{C251BE52-D64A-40F3-8DC1-707966587D02}"/>
    <hyperlink ref="U635" r:id="rId564" xr:uid="{C7F96931-1F41-4392-BB45-AB92C7E8FFD7}"/>
    <hyperlink ref="U561" r:id="rId565" xr:uid="{730C7AE1-7643-4719-8632-C64D319771B0}"/>
    <hyperlink ref="U633" r:id="rId566" xr:uid="{D2369495-C800-435E-BFFA-8E9093A0F80C}"/>
    <hyperlink ref="U667" r:id="rId567" xr:uid="{0008102A-7EB8-4F37-BAC1-D6E4CC390730}"/>
    <hyperlink ref="U622" r:id="rId568" xr:uid="{351AB9DA-E3BE-4B59-ACEA-9324F3745699}"/>
    <hyperlink ref="U820" r:id="rId569" xr:uid="{899603D8-6E8D-4C79-924A-93406B78EE6B}"/>
    <hyperlink ref="U592" r:id="rId570" xr:uid="{A9F5798F-300C-4BC1-A1B4-06B6054503B7}"/>
    <hyperlink ref="U809" r:id="rId571" xr:uid="{81401BA5-C27E-4D6E-A3BE-13A3DE7927D3}"/>
    <hyperlink ref="U799" r:id="rId572" xr:uid="{8B0F07D6-AE8A-451D-8D1C-41E66AA0B123}"/>
    <hyperlink ref="U576" r:id="rId573" xr:uid="{F8D24394-978E-485C-8512-376B34C9D206}"/>
    <hyperlink ref="U749" r:id="rId574" xr:uid="{75BDEF6D-E245-4089-9D06-E52A0E0E795D}"/>
    <hyperlink ref="U670" r:id="rId575" xr:uid="{E465F374-DB36-41EF-9408-9AAAF868BAFE}"/>
    <hyperlink ref="U554" r:id="rId576" xr:uid="{3DE33E38-BC69-43E7-A2F4-FF3992FBB1C9}"/>
    <hyperlink ref="U661" r:id="rId577" xr:uid="{FC00D559-9EF1-4F91-AD31-31D9EA911704}"/>
    <hyperlink ref="U658" r:id="rId578" xr:uid="{C7205737-9829-4547-A889-2926DD023738}"/>
    <hyperlink ref="U765" r:id="rId579" xr:uid="{58642315-5AF4-42F7-BEE7-55CBCF1C9245}"/>
    <hyperlink ref="U756" r:id="rId580" xr:uid="{9F8B2670-1D8E-490C-BA83-01C7BEF546C6}"/>
    <hyperlink ref="U610" r:id="rId581" xr:uid="{82C47FF0-C30B-4A63-B16D-8D26943A680A}"/>
    <hyperlink ref="U587" r:id="rId582" xr:uid="{2EDE9429-F341-4878-AB9F-AF725DA96FB3}"/>
    <hyperlink ref="U581" r:id="rId583" xr:uid="{D0A8B0FF-DF89-4F65-839E-1E68205C5FFF}"/>
    <hyperlink ref="U746" r:id="rId584" xr:uid="{2E040C5D-D095-44E3-B108-B706873F4965}"/>
    <hyperlink ref="U662" r:id="rId585" xr:uid="{C380338D-B4EB-403F-8201-FF24A466E0AE}"/>
    <hyperlink ref="U681" r:id="rId586" xr:uid="{898BACA9-0B24-4041-83A0-D0979000C0A0}"/>
    <hyperlink ref="U684" r:id="rId587" xr:uid="{F35FBE87-2C1F-4A44-AB97-02EB30AC6E6E}"/>
    <hyperlink ref="U710" r:id="rId588" xr:uid="{4D737CE6-73A6-4025-8559-A716C852BB95}"/>
    <hyperlink ref="U545" r:id="rId589" xr:uid="{0FC9E311-23DD-4419-B96B-98BEF4FED6F2}"/>
    <hyperlink ref="U523" r:id="rId590" xr:uid="{CD2DBC0B-1260-46CE-84BB-78105AC98D90}"/>
    <hyperlink ref="U812" r:id="rId591" xr:uid="{E3AA322B-9412-406B-8DCF-EA1782F3C537}"/>
    <hyperlink ref="U784" r:id="rId592" xr:uid="{145D5B93-B022-4AA5-BCE0-1F27B283997C}"/>
    <hyperlink ref="U741" r:id="rId593" xr:uid="{EC15FBBC-3DD8-418C-B6A0-2A05877526FA}"/>
    <hyperlink ref="U810" r:id="rId594" xr:uid="{F9FC5F25-4055-4C41-B010-4340642B1532}"/>
    <hyperlink ref="U822" r:id="rId595" xr:uid="{EC00F961-65B6-466B-B885-D48582405F11}"/>
    <hyperlink ref="U804" r:id="rId596" xr:uid="{07F0B742-6CE5-4373-91E8-D4D1692F9DC3}"/>
    <hyperlink ref="U739" r:id="rId597" xr:uid="{7FA0A5F5-AA81-4888-A3D8-56C51C832365}"/>
    <hyperlink ref="U801" r:id="rId598" xr:uid="{AB21B84C-4547-4A3C-BB78-3A25340BB2F7}"/>
    <hyperlink ref="U828" r:id="rId599" xr:uid="{39217EE0-75C0-4402-B10E-A014D4704D80}"/>
    <hyperlink ref="U641" r:id="rId600" xr:uid="{83E41EC9-3241-447D-B3D2-B8BBE514E846}"/>
    <hyperlink ref="U833" r:id="rId601" xr:uid="{9B7CC6C0-DE32-42AF-A032-A7DE6B20A49A}"/>
    <hyperlink ref="U821" r:id="rId602" xr:uid="{0B1560EE-DF6A-4F3C-95E1-15E330022847}"/>
    <hyperlink ref="U541" r:id="rId603" xr:uid="{516D4D8A-BCD6-4BD2-A762-62154B283621}"/>
    <hyperlink ref="U792" r:id="rId604" xr:uid="{8DC45460-FF99-4B45-B29A-DF778ECF6172}"/>
    <hyperlink ref="U751" r:id="rId605" xr:uid="{1BC6803B-76CD-4B8F-B5A4-9C3613CBA4F2}"/>
    <hyperlink ref="U528" r:id="rId606" xr:uid="{A4B53BAE-D44A-4347-A973-54F4E0FF678D}"/>
    <hyperlink ref="U519" r:id="rId607" xr:uid="{9688A2CA-6817-402E-BB11-1FFE0CE3D72A}"/>
    <hyperlink ref="U748" r:id="rId608" xr:uid="{CDAA5689-B753-4C35-9F3B-F46334AA0D28}"/>
    <hyperlink ref="U692" r:id="rId609" xr:uid="{3DAC90A6-8D42-4FEE-AF74-97C01BD7600E}"/>
    <hyperlink ref="U762" r:id="rId610" xr:uid="{E1DB103D-F090-4258-8E3B-055683FCD7B4}"/>
    <hyperlink ref="U763" r:id="rId611" xr:uid="{3D1FAB95-5B8B-4634-B0B4-7DB8CC60FFB8}"/>
    <hyperlink ref="U723" r:id="rId612" xr:uid="{043D990C-2F93-4782-B504-B8CA72F45A43}"/>
    <hyperlink ref="U742" r:id="rId613" xr:uid="{1F54DB39-AE2C-4D07-A41A-12435C3E02CE}"/>
    <hyperlink ref="U688" r:id="rId614" xr:uid="{89D6702A-34CC-4980-B10A-5BA92B354176}"/>
    <hyperlink ref="U579" r:id="rId615" xr:uid="{77330D35-BD0B-4CB7-9F5A-65D536231B32}"/>
    <hyperlink ref="U785" r:id="rId616" xr:uid="{478E4DD9-50AE-4E56-8AAD-BF7B5CB410CD}"/>
    <hyperlink ref="U788" r:id="rId617" xr:uid="{95E8979D-9B42-4992-8BAF-3E4668DFB37A}"/>
    <hyperlink ref="U601" r:id="rId618" xr:uid="{A5A32A1E-3517-41A7-94F5-1E7E58CB0021}"/>
    <hyperlink ref="U766" r:id="rId619" xr:uid="{10324561-F0B5-4F2C-A30E-0CCC67F69554}"/>
    <hyperlink ref="U732" r:id="rId620" xr:uid="{5F8DF6C1-8BAD-4816-B651-79AB4DC08D38}"/>
    <hyperlink ref="U514" r:id="rId621" xr:uid="{B935B8C7-66A1-48FB-97B5-581A072674C9}"/>
    <hyperlink ref="U829" r:id="rId622" xr:uid="{96DD215D-8D77-42B5-87FD-AAD46745E6CE}"/>
    <hyperlink ref="U553" r:id="rId623" xr:uid="{25E3891C-A841-4FAD-8848-83BCDA07B07D}"/>
    <hyperlink ref="U611" r:id="rId624" xr:uid="{6B2453B4-DE64-4299-98A6-04B583A216BE}"/>
    <hyperlink ref="U807" r:id="rId625" xr:uid="{ABB49E0F-D960-4CBD-9512-B12078CCF062}"/>
    <hyperlink ref="U643" r:id="rId626" xr:uid="{310C0FCD-B925-4842-B943-ECA2DEB634D8}"/>
    <hyperlink ref="U704" r:id="rId627" xr:uid="{DF068475-DB5A-4B55-AC50-4551B49647A5}"/>
    <hyperlink ref="U802" r:id="rId628" xr:uid="{96287227-49F7-4F9C-AB86-3F9606F24C0C}"/>
    <hyperlink ref="U740" r:id="rId629" xr:uid="{56BCDB2C-7703-45F5-A312-C5E893E4471F}"/>
    <hyperlink ref="U696" r:id="rId630" xr:uid="{DB7207BC-37CA-486F-B566-C1D2EEC1D98C}"/>
    <hyperlink ref="U724" r:id="rId631" xr:uid="{EB1DE0E7-525B-41A5-B65D-E4EFDD71FA50}"/>
    <hyperlink ref="U639" r:id="rId632" xr:uid="{9EC01C6F-6C00-4ADD-9130-4C36DFCB9779}"/>
    <hyperlink ref="U725" r:id="rId633" xr:uid="{93F4F107-6055-4000-B994-82766AC2F8B3}"/>
    <hyperlink ref="U680" r:id="rId634" xr:uid="{7CF19AB4-E4D1-4E84-8F6B-D30EEFAB42E5}"/>
    <hyperlink ref="U759" r:id="rId635" xr:uid="{AD2BAD26-D2CD-4C3C-A625-0421ABE6776E}"/>
    <hyperlink ref="U815" r:id="rId636" xr:uid="{AB528683-13E1-43EF-9397-0F1EA0A95500}"/>
    <hyperlink ref="U617" r:id="rId637" xr:uid="{63D05921-89F2-42B2-8802-476070CE7486}"/>
    <hyperlink ref="U693" r:id="rId638" xr:uid="{7511178A-2DAB-45C1-B7D5-E5AB38820A3D}"/>
    <hyperlink ref="U612" r:id="rId639" xr:uid="{3A3EB255-474E-47F0-A53A-051803ED74C0}"/>
    <hyperlink ref="U605" r:id="rId640" xr:uid="{768F261D-495B-41EC-B1C0-677BBCBABEC5}"/>
    <hyperlink ref="U621" r:id="rId641" xr:uid="{CC1D23EA-2FA4-475A-B130-CAFDD977883C}"/>
    <hyperlink ref="U638" r:id="rId642" xr:uid="{4532DF16-2F25-4398-A9D2-C64BCAC2623A}"/>
    <hyperlink ref="U637" r:id="rId643" xr:uid="{DBF3EEA2-E5BA-4578-9529-31D42BC09EE8}"/>
    <hyperlink ref="U574" r:id="rId644" xr:uid="{6DBCD5CC-7915-4AD2-ACB7-9AF638A8D476}"/>
    <hyperlink ref="U526" r:id="rId645" xr:uid="{ABEA59BF-FF44-4925-AA21-B49F73E586F9}"/>
    <hyperlink ref="U664" r:id="rId646" xr:uid="{6ADC597C-C276-4C62-8E82-A4969ACC73EF}"/>
    <hyperlink ref="U647" r:id="rId647" xr:uid="{2FBBADAF-55DB-491E-AD6E-CBCBA567C379}"/>
    <hyperlink ref="U671" r:id="rId648" xr:uid="{FC933634-D1AA-401F-9EC8-E2A2DA5B1806}"/>
    <hyperlink ref="U649" r:id="rId649" xr:uid="{B0C3DC5B-76AF-4980-9ED1-806AF6657A94}"/>
    <hyperlink ref="U580" r:id="rId650" xr:uid="{26A56EE1-DB69-411D-ACCF-185580542394}"/>
    <hyperlink ref="U837" r:id="rId651" xr:uid="{CCE2BD31-28A5-4D0E-89EE-5DB37DEC1506}"/>
    <hyperlink ref="U758" r:id="rId652" xr:uid="{D422ED3F-5E9D-4F5A-A8B1-B5ED221AA5CB}"/>
    <hyperlink ref="U712" r:id="rId653" xr:uid="{1EEB36FB-467C-4173-9337-6930BD20E5BF}"/>
    <hyperlink ref="U777" r:id="rId654" xr:uid="{4A86C2AA-47F9-4BF7-8520-E38A909DD226}"/>
    <hyperlink ref="U632" r:id="rId655" xr:uid="{80485985-F15E-473A-982F-1696C89487EF}"/>
    <hyperlink ref="U814" r:id="rId656" xr:uid="{C011010E-C6E0-4E9F-8C53-F07785B63047}"/>
    <hyperlink ref="U588" r:id="rId657" xr:uid="{083F9CE9-FB70-4A23-968F-174CB60F5F3C}"/>
    <hyperlink ref="U591" r:id="rId658" xr:uid="{5DBEABD7-9276-4526-98A7-F5BD247071FC}"/>
    <hyperlink ref="U543" r:id="rId659" xr:uid="{9152E7DD-8182-4F52-B2D5-9C32E77A51E3}"/>
    <hyperlink ref="U595" r:id="rId660" xr:uid="{01D51050-FBEA-4B59-8B56-73F47A55F718}"/>
    <hyperlink ref="U796" r:id="rId661" xr:uid="{6E0D216D-F35E-408D-A4BA-9CB81B5BDEF6}"/>
    <hyperlink ref="U650" r:id="rId662" xr:uid="{B3851F33-F581-4CD5-B45F-70F07B9370B5}"/>
    <hyperlink ref="U737" r:id="rId663" xr:uid="{C2DA7E70-657B-451F-BE61-5753ED491960}"/>
    <hyperlink ref="U747" r:id="rId664" xr:uid="{E760B65F-D437-4A82-ADB0-CE57C56613BB}"/>
    <hyperlink ref="U753" r:id="rId665" xr:uid="{389D8CFC-6E96-47C9-95C2-6D0DC5FDC47F}"/>
    <hyperlink ref="U624" r:id="rId666" xr:uid="{D2F96A81-C7E3-4D73-A9D6-8A3776AEECF0}"/>
    <hyperlink ref="U797" r:id="rId667" xr:uid="{6A2967DA-72F6-4A66-BEB1-06B967D72FB9}"/>
    <hyperlink ref="U623" r:id="rId668" xr:uid="{F10DFD8F-A4E6-41F4-BE12-01AC9829729E}"/>
    <hyperlink ref="U778" r:id="rId669" xr:uid="{DCEB82AA-5B00-4B67-8A9B-4E25B22FF280}"/>
    <hyperlink ref="U713" r:id="rId670" xr:uid="{BB9AC7A1-5FDB-4793-9AA6-3BB716B0C417}"/>
    <hyperlink ref="U571" r:id="rId671" xr:uid="{4CBA8A86-B0FD-497B-A600-0A4526F783DB}"/>
    <hyperlink ref="U720" r:id="rId672" xr:uid="{D79D5AFE-C6AE-4FA5-A4C4-9789128877A0}"/>
    <hyperlink ref="U695" r:id="rId673" xr:uid="{87D82A19-8903-4915-BAF9-F10A723DAE7D}"/>
    <hyperlink ref="U700" r:id="rId674" xr:uid="{0726CA3F-D1B7-4365-8444-071E08AB4843}"/>
    <hyperlink ref="U816" r:id="rId675" xr:uid="{4DABF424-4C2A-4687-9B10-293A0FA9CC8F}"/>
    <hyperlink ref="U773" r:id="rId676" xr:uid="{708E88D7-B2D1-4C38-9F56-2D3CEA54003B}"/>
    <hyperlink ref="U754" r:id="rId677" xr:uid="{4D1CA8F5-6233-474B-A545-0E94FA4DC8F3}"/>
    <hyperlink ref="U775" r:id="rId678" xr:uid="{14267202-C2D0-4352-8EB8-846DAF2A0233}"/>
    <hyperlink ref="U826" r:id="rId679" xr:uid="{648D6711-B4FB-49BE-91E9-C9B8326515D3}"/>
    <hyperlink ref="U817" r:id="rId680" xr:uid="{A1731FAA-3015-41C5-8D89-A3BC6FF922C1}"/>
    <hyperlink ref="U629" r:id="rId681" xr:uid="{FB514E15-C32B-496E-B7E0-17F9FFE4F17A}"/>
    <hyperlink ref="U618" r:id="rId682" xr:uid="{5808F782-76C6-429E-96A0-A064A37AB21C}"/>
    <hyperlink ref="U838" r:id="rId683" xr:uid="{0959C9E6-7835-43BF-8547-BF481EE80D5F}"/>
    <hyperlink ref="U702" r:id="rId684" xr:uid="{E52DBEBD-5887-4E06-947D-8EBE36982A82}"/>
    <hyperlink ref="U701" r:id="rId685" xr:uid="{BEDB739D-737F-46F1-8D57-3FC8CC982198}"/>
    <hyperlink ref="U559" r:id="rId686" xr:uid="{2C8D7F5E-0E75-41BC-BBB4-A9211236EFFC}"/>
    <hyperlink ref="U577" r:id="rId687" xr:uid="{F99B1E7C-2349-405E-AA64-6967C432A75C}"/>
    <hyperlink ref="U672" r:id="rId688" xr:uid="{7C2A0286-1324-4403-B4DD-361A1DE5D0D9}"/>
    <hyperlink ref="U711" r:id="rId689" xr:uid="{A843F00B-7BAC-4217-9322-AFAA44197BF0}"/>
    <hyperlink ref="U544" r:id="rId690" xr:uid="{7B9D040B-C241-4309-A54F-21F4A2598A78}"/>
    <hyperlink ref="U609" r:id="rId691" xr:uid="{D015F0C9-969C-41A7-B05D-E8B186DD2A94}"/>
    <hyperlink ref="U578" r:id="rId692" xr:uid="{3C13EDDC-696D-4A5F-8A9E-BF272DB24513}"/>
    <hyperlink ref="U708" r:id="rId693" xr:uid="{E34F6C64-B60F-4F48-B4F1-8F9AACEBD075}"/>
    <hyperlink ref="U634" r:id="rId694" xr:uid="{220AA725-B3A5-4243-828D-E1C53155A150}"/>
    <hyperlink ref="U567" r:id="rId695" xr:uid="{BD4E9079-B973-4420-B1FD-4BF6FB1C7BE3}"/>
    <hyperlink ref="U616" r:id="rId696" xr:uid="{9B75B6EB-4972-47F4-A52E-FEF937B469CF}"/>
    <hyperlink ref="U718" r:id="rId697" xr:uid="{B58AB238-8D14-4EBC-B9DB-4A28D670C5DE}"/>
    <hyperlink ref="U839" r:id="rId698" xr:uid="{5173BAAC-F800-464C-B1AE-88F401557E13}"/>
    <hyperlink ref="U524" r:id="rId699" xr:uid="{484C4C1C-5CCC-486B-A82C-68FA2983E0DC}"/>
    <hyperlink ref="U640" r:id="rId700" xr:uid="{103C09BE-ED5D-4747-B5EA-48E902C6140F}"/>
    <hyperlink ref="U630" r:id="rId701" xr:uid="{251288C3-BF64-4860-9A54-41802A975EDB}"/>
    <hyperlink ref="U651" r:id="rId702" xr:uid="{FAF8B960-BFE9-4FB4-9CC7-36E0BE491390}"/>
    <hyperlink ref="U677" r:id="rId703" xr:uid="{6949557C-A40F-49B7-BB27-5E184F540F37}"/>
    <hyperlink ref="U659" r:id="rId704" xr:uid="{BA558B59-A969-4F15-8D2F-64FA1E58F79D}"/>
    <hyperlink ref="U697" r:id="rId705" xr:uid="{6D11B92B-7522-488B-A553-08C77073F8DF}"/>
    <hyperlink ref="U728" r:id="rId706" xr:uid="{A432BF3B-B956-4B79-A609-35525C4FFC9D}"/>
    <hyperlink ref="U539" r:id="rId707" xr:uid="{B09855AE-7B80-4B3A-911C-960610B88F94}"/>
    <hyperlink ref="U716" r:id="rId708" xr:uid="{EB8F3410-4B22-4544-A2C6-9E83C2900923}"/>
    <hyperlink ref="U789" r:id="rId709" xr:uid="{03AA8935-8534-457F-8190-65FC4AD3BB0D}"/>
    <hyperlink ref="U589" r:id="rId710" xr:uid="{F4EFC8AC-0CB9-4AD7-92FA-021D8A8DC863}"/>
    <hyperlink ref="U656" r:id="rId711" xr:uid="{593C82B9-E6E1-4283-9A5A-1601224BACAE}"/>
    <hyperlink ref="U530" r:id="rId712" xr:uid="{A0977BE1-A651-41F4-AE35-711937967CEF}"/>
    <hyperlink ref="U598" r:id="rId713" xr:uid="{F49DB4A0-BC81-4A06-9A32-5C72DB73A3BA}"/>
    <hyperlink ref="U842" r:id="rId714" xr:uid="{1FA4F1A2-C68C-43F7-B1C4-BA99F25F26CE}"/>
    <hyperlink ref="U836" r:id="rId715" xr:uid="{3AAD246B-25BE-4D96-817A-D6CB2F311E44}"/>
    <hyperlink ref="U690" r:id="rId716" xr:uid="{18B2D28D-956E-4BA4-AFA1-1B87456A0A2C}"/>
    <hyperlink ref="U844" r:id="rId717" xr:uid="{B22F530F-E864-4C38-8989-BD6CCCFFE2C2}"/>
    <hyperlink ref="U827" r:id="rId718" xr:uid="{83DE97E8-FA36-495A-88E8-38CAC06F844C}"/>
    <hyperlink ref="U794" r:id="rId719" xr:uid="{5C67D965-A539-410D-A59A-D6AEF2A02C03}"/>
    <hyperlink ref="U655" r:id="rId720" xr:uid="{FC61B223-3866-4716-9F84-568EC3B46547}"/>
    <hyperlink ref="U584" r:id="rId721" xr:uid="{D85F952D-CB1B-44F4-B28A-6C3D09476CF2}"/>
    <hyperlink ref="U625" r:id="rId722" xr:uid="{5568D8F3-F32F-4736-A916-963C9CCB47FA}"/>
    <hyperlink ref="U604" r:id="rId723" xr:uid="{B723EA80-581E-475A-B68D-9A836974DD11}"/>
    <hyperlink ref="U745" r:id="rId724" xr:uid="{0F637775-FD3B-4C08-8D6F-C589BFDB9CC9}"/>
    <hyperlink ref="U607" r:id="rId725" xr:uid="{51B51EB8-64EF-476E-ACD4-48008568D921}"/>
    <hyperlink ref="U715" r:id="rId726" xr:uid="{6939651F-8743-40D7-8248-7C59BC326531}"/>
    <hyperlink ref="U783" r:id="rId727" xr:uid="{AE840088-FA86-44F9-8AEA-7685D8FC1882}"/>
    <hyperlink ref="U694" r:id="rId728" xr:uid="{F06FFB0D-5885-4D14-8AC6-016C02308BD6}"/>
    <hyperlink ref="U727" r:id="rId729" xr:uid="{34E44BC6-0C9A-468D-8837-FC115CC6C91C}"/>
    <hyperlink ref="U709" r:id="rId730" xr:uid="{0ED0DD59-3557-4D96-AA95-5DC7A645AE06}"/>
    <hyperlink ref="U517" r:id="rId731" xr:uid="{A2170097-8EAE-46AC-9251-EF553AB1A9D6}"/>
    <hyperlink ref="U782" r:id="rId732" xr:uid="{F8BF4E85-D8D9-47D4-AB8E-C87937357FA9}"/>
    <hyperlink ref="U536" r:id="rId733" xr:uid="{4CE98016-D7E6-4D5E-912E-DED4D44F20AD}"/>
    <hyperlink ref="U606" r:id="rId734" xr:uid="{9321BFD9-F8A8-4656-8410-61658A528AC5}"/>
    <hyperlink ref="U744" r:id="rId735" xr:uid="{A92F0936-5E6B-42FE-85E7-A4B061C5DAD3}"/>
    <hyperlink ref="U537" r:id="rId736" xr:uid="{6049A51A-F4DF-4E73-8440-DE6F40AEBDD9}"/>
    <hyperlink ref="U764" r:id="rId737" xr:uid="{7928FACB-A4C4-47AE-B295-577B8CBBB398}"/>
    <hyperlink ref="U808" r:id="rId738" xr:uid="{941EBDF1-E734-4E5A-AA48-F30D0B24F93C}"/>
    <hyperlink ref="U769" r:id="rId739" xr:uid="{574AA468-D84B-4155-9894-72B740EF0AB1}"/>
    <hyperlink ref="U768" r:id="rId740" xr:uid="{E57FF12C-76E0-4A86-99D4-5E1538E38ACD}"/>
    <hyperlink ref="U805" r:id="rId741" xr:uid="{7E75644F-64CB-4F63-924E-F8365E75C71A}"/>
    <hyperlink ref="U806" r:id="rId742" xr:uid="{973F95B8-C132-4D72-96F7-C5CD97AB7E19}"/>
    <hyperlink ref="U555" r:id="rId743" xr:uid="{4511E0E2-3308-42B9-8AB9-1E3204BB4AB9}"/>
    <hyperlink ref="U540" r:id="rId744" xr:uid="{5805C3DE-57A9-46D6-9F19-1050F00D1E46}"/>
    <hyperlink ref="U520" r:id="rId745" xr:uid="{DAF3293A-AB51-4EAB-94D6-99379936EE9A}"/>
    <hyperlink ref="U834" r:id="rId746" xr:uid="{0D2FAD1A-6FB7-42BC-ACD4-2ED17239737A}"/>
    <hyperlink ref="U843" r:id="rId747" xr:uid="{C97D0CF5-D880-48AA-976A-46B72F6366E2}"/>
    <hyperlink ref="U779" r:id="rId748" xr:uid="{5B139B7F-C169-4457-832F-2CDEE69FD825}"/>
    <hyperlink ref="U669" r:id="rId749" xr:uid="{03CEA0C4-C067-4D36-8EC4-BD674608B5EC}"/>
    <hyperlink ref="U776" r:id="rId750" xr:uid="{7F799986-DE7E-4CB4-9450-D1751467B184}"/>
    <hyperlink ref="U830" r:id="rId751" xr:uid="{2FEEE5DD-8A0F-48EB-80CD-BE2AF1317FD9}"/>
    <hyperlink ref="U714" r:id="rId752" xr:uid="{95504083-0ADC-4023-97B7-A22841E41A0A}"/>
    <hyperlink ref="U840" r:id="rId753" xr:uid="{B3527575-B430-444E-9B0B-A3C05BCAB247}"/>
    <hyperlink ref="U750" r:id="rId754" xr:uid="{6A58F34B-5E83-417C-AE7D-F5176857093F}"/>
    <hyperlink ref="U572" r:id="rId755" xr:uid="{A65CEF8A-32E1-43C3-A6EE-B0328385DBFC}"/>
    <hyperlink ref="U845" r:id="rId756" xr:uid="{2C6873D5-430D-4DDD-932E-93E40910B97B}"/>
    <hyperlink ref="U665" r:id="rId757" xr:uid="{FCD32162-3212-4E63-83FF-A086C4015E85}"/>
    <hyperlink ref="U600" r:id="rId758" xr:uid="{43EDAC8C-154F-4594-876F-3F9377E4C0C1}"/>
    <hyperlink ref="U673" r:id="rId759" xr:uid="{8D3EABC5-7EEB-4300-9EC6-7B98D5F8E029}"/>
    <hyperlink ref="U687" r:id="rId760" xr:uid="{E0BA6773-6967-4D97-A6D9-16414C9EBA75}"/>
    <hyperlink ref="U642" r:id="rId761" xr:uid="{373A757C-29EC-4205-A1DA-27EEA898D2E7}"/>
    <hyperlink ref="U653" r:id="rId762" xr:uid="{E74A0A93-7E76-4BC0-99FA-7A5BB8BD7138}"/>
    <hyperlink ref="U599" r:id="rId763" xr:uid="{F37985B0-E9F1-438A-82A1-42D19BFF8F90}"/>
    <hyperlink ref="U668" r:id="rId764" xr:uid="{DCE67A40-B91D-42D6-B85F-800E2487CF07}"/>
    <hyperlink ref="U663" r:id="rId765" xr:uid="{23CA3DFE-A440-4845-ADDC-E00CDDC2FAB8}"/>
    <hyperlink ref="U705" r:id="rId766" xr:uid="{DC114D74-FDA1-4A5B-99B3-1F704C9F9E88}"/>
    <hyperlink ref="U596" r:id="rId767" xr:uid="{5FB200BE-8F49-4D2F-AF1F-5BDC0C88CA57}"/>
    <hyperlink ref="U703" r:id="rId768" xr:uid="{E9488F98-417D-45F0-AF31-42083D111195}"/>
    <hyperlink ref="U586" r:id="rId769" xr:uid="{F330EFD7-79BD-46D0-80F4-426AC08554CF}"/>
    <hyperlink ref="U583" r:id="rId770" xr:uid="{11491747-2133-49D4-A272-44F6FF53D9C6}"/>
    <hyperlink ref="U636" r:id="rId771" xr:uid="{93FCF700-48E1-4AAB-8495-FC2999DF82EF}"/>
    <hyperlink ref="U823" r:id="rId772" xr:uid="{254E9E40-B563-406B-8450-9FF9E949AC8C}"/>
    <hyperlink ref="U549" r:id="rId773" xr:uid="{8C7050E5-1548-47AD-9816-9F8590927730}"/>
    <hyperlink ref="U525" r:id="rId774" xr:uid="{298E54A3-9DBF-4CA6-8BA6-31974C23228C}"/>
    <hyperlink ref="U557" r:id="rId775" xr:uid="{1562B673-8C26-4B21-ACFD-266C8A1777FD}"/>
    <hyperlink ref="U735" r:id="rId776" xr:uid="{ED1DD83C-6022-4BD4-8146-1AD33BD7F5AA}"/>
    <hyperlink ref="U585" r:id="rId777" xr:uid="{8DEB09DF-90D5-4C0F-84ED-2C9E5F524D87}"/>
    <hyperlink ref="U573" r:id="rId778" xr:uid="{FA5FD159-9EBA-4548-9418-76FA3AEF3C15}"/>
    <hyperlink ref="U850" r:id="rId779" xr:uid="{77FF1940-85B2-4158-80F6-DBA00A0D3F48}"/>
    <hyperlink ref="U835" r:id="rId780" xr:uid="{59EF7A79-E073-4066-A0E3-4FBC18F26DDD}"/>
    <hyperlink ref="U533" r:id="rId781" xr:uid="{754E2135-D332-4D17-85A1-DC7CD58911BE}"/>
    <hyperlink ref="U698" r:id="rId782" xr:uid="{88F06494-6D83-4A92-B776-4B6746B0CDAD}"/>
    <hyperlink ref="U602" r:id="rId783" xr:uid="{DFC68BEC-B39F-4AC2-9D00-AF674412F4D1}"/>
    <hyperlink ref="U522" r:id="rId784" xr:uid="{D39377EB-7E62-4F41-B32C-DD7C8FD9FD9A}"/>
    <hyperlink ref="U726" r:id="rId785" xr:uid="{9929740E-87D0-46BF-BF92-B7A6F0F75EB5}"/>
    <hyperlink ref="U532" r:id="rId786" xr:uid="{E123B967-6F80-47D3-AA99-5D00D58C1C7B}"/>
    <hyperlink ref="U722" r:id="rId787" xr:uid="{BD1736A6-FDDE-4E2B-AEC4-56B7A59A4D9B}"/>
    <hyperlink ref="U556" r:id="rId788" xr:uid="{2C5F8736-DD9A-4211-A2E6-04D793B952E2}"/>
    <hyperlink ref="U666" r:id="rId789" xr:uid="{CAA0EEB7-98AD-4175-978B-3481CD4B09A2}"/>
    <hyperlink ref="U790" r:id="rId790" xr:uid="{B994F345-9D6F-49FE-936F-A1FF870DA159}"/>
    <hyperlink ref="U660" r:id="rId791" xr:uid="{4E7BD72F-64F1-4161-94B3-40F3EAD4DF8D}"/>
    <hyperlink ref="U531" r:id="rId792" xr:uid="{42CE2B8A-4445-4D38-A19B-27E617E5355F}"/>
    <hyperlink ref="U570" r:id="rId793" xr:uid="{77672107-1074-4CC5-B773-C90D586B98DC}"/>
    <hyperlink ref="U518" r:id="rId794" xr:uid="{B8BBF23F-600D-4EA8-8F9E-4C020A484596}"/>
    <hyperlink ref="U770" r:id="rId795" xr:uid="{DF5118FE-DD0A-43D5-A04A-F1BB5EC966CB}"/>
    <hyperlink ref="U608" r:id="rId796" xr:uid="{80154DBC-66DF-4433-A9D0-087580B052BE}"/>
    <hyperlink ref="U613" r:id="rId797" xr:uid="{DA9F6E43-F97B-474A-85EE-108BF5C95D67}"/>
    <hyperlink ref="U685" r:id="rId798" xr:uid="{AD697AE6-4666-4389-B2B4-38726DB31C7C}"/>
    <hyperlink ref="U846" r:id="rId799" xr:uid="{436AFDD6-523C-43FE-9A08-ED579E166D7F}"/>
    <hyperlink ref="U614" r:id="rId800" xr:uid="{D71CB4A7-6A12-475B-B09C-97A19E5BF7E7}"/>
    <hyperlink ref="U546" r:id="rId801" xr:uid="{86BB9DC2-49BD-4EA6-88AF-16451F0EF0F2}"/>
    <hyperlink ref="U620" r:id="rId802" xr:uid="{FF4ED1A0-310A-4193-BF64-B647931B2430}"/>
    <hyperlink ref="U798" r:id="rId803" xr:uid="{5C6636C1-94D3-4505-AC39-65A67FE4CB32}"/>
    <hyperlink ref="U787" r:id="rId804" xr:uid="{BB7CE327-230E-48A5-8741-25B18189C503}"/>
    <hyperlink ref="U593" r:id="rId805" xr:uid="{DD89C437-E14C-48AB-B80E-F8AF986B6A7D}"/>
    <hyperlink ref="U733" r:id="rId806" xr:uid="{5E6E094E-D08D-41A9-9AD4-AB96C0D2D0E5}"/>
    <hyperlink ref="U564" r:id="rId807" xr:uid="{738BBA94-39E1-4EAD-85E3-D6FD30B5D2A2}"/>
    <hyperlink ref="U516" r:id="rId808" xr:uid="{366A0727-3127-49A7-8A3D-1CF9FEDBA2C5}"/>
    <hyperlink ref="U686" r:id="rId809" xr:uid="{36071FA3-ED9D-4C49-BBE1-80EA68977EF9}"/>
    <hyperlink ref="U706" r:id="rId810" xr:uid="{6E08855B-C243-4269-AE79-8EAC47FB9816}"/>
    <hyperlink ref="U551" r:id="rId811" xr:uid="{3F757C3A-AABB-46B0-A376-7F8782AED0B7}"/>
    <hyperlink ref="U761" r:id="rId812" xr:uid="{E6EBA1DA-3AD1-419D-8F5E-43BB39D94529}"/>
    <hyperlink ref="U515" r:id="rId813" xr:uid="{713D8C42-321D-4476-9086-F7A96074829F}"/>
    <hyperlink ref="U847" r:id="rId814" xr:uid="{C7E0C9F1-1B82-42AF-BD02-CB6701562797}"/>
    <hyperlink ref="U832" r:id="rId815" xr:uid="{C0FAEEAC-68E5-4E84-8EFB-8E0C90520D3D}"/>
    <hyperlink ref="U825" r:id="rId816" xr:uid="{F5EC6EE1-E791-4255-A36A-ED2CB561FB90}"/>
    <hyperlink ref="U542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1343</v>
      </c>
      <c r="B1" t="s">
        <v>1344</v>
      </c>
      <c r="C1" t="s">
        <v>1345</v>
      </c>
    </row>
    <row r="2" spans="1:3" x14ac:dyDescent="0.3">
      <c r="A2">
        <v>29076</v>
      </c>
      <c r="B2" t="s">
        <v>1346</v>
      </c>
      <c r="C2" s="8" t="s">
        <v>1347</v>
      </c>
    </row>
    <row r="3" spans="1:3" x14ac:dyDescent="0.3">
      <c r="A3">
        <v>35348</v>
      </c>
      <c r="B3" t="s">
        <v>1348</v>
      </c>
      <c r="C3" s="8" t="s">
        <v>1349</v>
      </c>
    </row>
    <row r="4" spans="1:3" x14ac:dyDescent="0.3">
      <c r="A4">
        <v>10170</v>
      </c>
      <c r="B4" t="s">
        <v>1350</v>
      </c>
      <c r="C4" s="8" t="s">
        <v>1351</v>
      </c>
    </row>
    <row r="5" spans="1:3" x14ac:dyDescent="0.3">
      <c r="A5">
        <v>5579</v>
      </c>
      <c r="B5" t="s">
        <v>1352</v>
      </c>
      <c r="C5" s="8" t="s">
        <v>1353</v>
      </c>
    </row>
    <row r="6" spans="1:3" x14ac:dyDescent="0.3">
      <c r="A6">
        <v>4597</v>
      </c>
      <c r="B6" t="s">
        <v>1354</v>
      </c>
      <c r="C6" s="8" t="s">
        <v>1355</v>
      </c>
    </row>
    <row r="7" spans="1:3" x14ac:dyDescent="0.3">
      <c r="A7">
        <v>26268</v>
      </c>
      <c r="B7" t="s">
        <v>1356</v>
      </c>
      <c r="C7" s="8" t="s">
        <v>1357</v>
      </c>
    </row>
    <row r="8" spans="1:3" x14ac:dyDescent="0.3">
      <c r="A8">
        <v>23897</v>
      </c>
      <c r="B8" t="s">
        <v>1358</v>
      </c>
      <c r="C8" s="8" t="s">
        <v>1359</v>
      </c>
    </row>
    <row r="9" spans="1:3" x14ac:dyDescent="0.3">
      <c r="A9">
        <v>30456</v>
      </c>
      <c r="B9" t="s">
        <v>1360</v>
      </c>
      <c r="C9" s="8" t="s">
        <v>1361</v>
      </c>
    </row>
    <row r="10" spans="1:3" x14ac:dyDescent="0.3">
      <c r="A10">
        <v>7839</v>
      </c>
      <c r="B10" t="s">
        <v>1352</v>
      </c>
      <c r="C10" s="8" t="s">
        <v>1362</v>
      </c>
    </row>
    <row r="11" spans="1:3" x14ac:dyDescent="0.3">
      <c r="A11">
        <v>28740</v>
      </c>
      <c r="B11" t="s">
        <v>1363</v>
      </c>
      <c r="C11" s="8" t="s">
        <v>1364</v>
      </c>
    </row>
    <row r="12" spans="1:3" x14ac:dyDescent="0.3">
      <c r="A12">
        <v>32219</v>
      </c>
      <c r="B12" t="s">
        <v>1365</v>
      </c>
      <c r="C12" s="8" t="s">
        <v>1366</v>
      </c>
    </row>
    <row r="13" spans="1:3" x14ac:dyDescent="0.3">
      <c r="A13">
        <v>33531</v>
      </c>
      <c r="B13" t="s">
        <v>1367</v>
      </c>
      <c r="C13" s="8" t="s">
        <v>1368</v>
      </c>
    </row>
    <row r="14" spans="1:3" x14ac:dyDescent="0.3">
      <c r="A14">
        <v>10072</v>
      </c>
      <c r="B14" t="s">
        <v>1369</v>
      </c>
      <c r="C14" s="8" t="s">
        <v>1370</v>
      </c>
    </row>
    <row r="15" spans="1:3" x14ac:dyDescent="0.3">
      <c r="A15">
        <v>33429</v>
      </c>
      <c r="B15" t="s">
        <v>1371</v>
      </c>
      <c r="C15" s="8" t="s">
        <v>1372</v>
      </c>
    </row>
    <row r="16" spans="1:3" x14ac:dyDescent="0.3">
      <c r="A16">
        <v>15673</v>
      </c>
      <c r="B16" t="s">
        <v>1373</v>
      </c>
      <c r="C16" s="8" t="s">
        <v>1374</v>
      </c>
    </row>
    <row r="17" spans="1:3" x14ac:dyDescent="0.3">
      <c r="A17">
        <v>6046</v>
      </c>
      <c r="B17" t="s">
        <v>3548</v>
      </c>
      <c r="C17" s="8" t="s">
        <v>3549</v>
      </c>
    </row>
    <row r="18" spans="1:3" x14ac:dyDescent="0.3">
      <c r="A18">
        <v>4691</v>
      </c>
      <c r="B18" t="s">
        <v>1475</v>
      </c>
      <c r="C18" s="8" t="s">
        <v>3550</v>
      </c>
    </row>
    <row r="19" spans="1:3" x14ac:dyDescent="0.3">
      <c r="A19">
        <v>22812</v>
      </c>
      <c r="B19" t="s">
        <v>1573</v>
      </c>
      <c r="C19" s="8" t="s">
        <v>3551</v>
      </c>
    </row>
    <row r="20" spans="1:3" x14ac:dyDescent="0.3">
      <c r="A20">
        <v>25875</v>
      </c>
      <c r="B20" t="s">
        <v>3552</v>
      </c>
      <c r="C20" s="8" t="s">
        <v>3553</v>
      </c>
    </row>
    <row r="21" spans="1:3" x14ac:dyDescent="0.3">
      <c r="A21">
        <v>10905</v>
      </c>
      <c r="B21" t="s">
        <v>3554</v>
      </c>
      <c r="C21" s="8" t="s">
        <v>3555</v>
      </c>
    </row>
    <row r="22" spans="1:3" x14ac:dyDescent="0.3">
      <c r="A22">
        <v>17552</v>
      </c>
      <c r="B22" t="s">
        <v>3556</v>
      </c>
      <c r="C22" s="8" t="s">
        <v>3557</v>
      </c>
    </row>
    <row r="23" spans="1:3" x14ac:dyDescent="0.3">
      <c r="A23">
        <v>29544</v>
      </c>
      <c r="B23" t="s">
        <v>3558</v>
      </c>
      <c r="C23" s="8" t="s">
        <v>3559</v>
      </c>
    </row>
    <row r="24" spans="1:3" x14ac:dyDescent="0.3">
      <c r="A24">
        <v>14537</v>
      </c>
      <c r="B24" t="s">
        <v>3400</v>
      </c>
      <c r="C24" s="8" t="s">
        <v>3560</v>
      </c>
    </row>
    <row r="25" spans="1:3" x14ac:dyDescent="0.3">
      <c r="A25">
        <v>16707</v>
      </c>
      <c r="B25" t="s">
        <v>1475</v>
      </c>
      <c r="C25" s="8" t="s">
        <v>3561</v>
      </c>
    </row>
    <row r="26" spans="1:3" x14ac:dyDescent="0.3">
      <c r="A26">
        <v>7848</v>
      </c>
      <c r="B26" t="s">
        <v>2539</v>
      </c>
      <c r="C26" s="8" t="s">
        <v>3562</v>
      </c>
    </row>
    <row r="27" spans="1:3" x14ac:dyDescent="0.3">
      <c r="A27">
        <v>32710</v>
      </c>
      <c r="B27" t="s">
        <v>3068</v>
      </c>
      <c r="C27" s="8" t="s">
        <v>3563</v>
      </c>
    </row>
    <row r="28" spans="1:3" x14ac:dyDescent="0.3">
      <c r="A28">
        <v>20541</v>
      </c>
      <c r="B28" t="s">
        <v>1836</v>
      </c>
      <c r="C28" s="8" t="s">
        <v>3564</v>
      </c>
    </row>
    <row r="29" spans="1:3" x14ac:dyDescent="0.3">
      <c r="A29">
        <v>26202</v>
      </c>
      <c r="B29" t="s">
        <v>3565</v>
      </c>
      <c r="C29" s="8" t="s">
        <v>3566</v>
      </c>
    </row>
    <row r="30" spans="1:3" x14ac:dyDescent="0.3">
      <c r="A30">
        <v>27081</v>
      </c>
      <c r="B30" t="s">
        <v>3567</v>
      </c>
      <c r="C30" s="8" t="s">
        <v>3568</v>
      </c>
    </row>
    <row r="31" spans="1:3" x14ac:dyDescent="0.3">
      <c r="A31">
        <v>24577</v>
      </c>
      <c r="B31" t="s">
        <v>3569</v>
      </c>
      <c r="C31" s="8" t="s">
        <v>3570</v>
      </c>
    </row>
    <row r="32" spans="1:3" x14ac:dyDescent="0.3">
      <c r="A32">
        <v>29909</v>
      </c>
      <c r="B32" t="s">
        <v>3571</v>
      </c>
      <c r="C32" s="8" t="s">
        <v>3572</v>
      </c>
    </row>
    <row r="33" spans="1:3" x14ac:dyDescent="0.3">
      <c r="A33">
        <v>31154</v>
      </c>
      <c r="B33" t="s">
        <v>3573</v>
      </c>
      <c r="C33" s="8" t="s">
        <v>3574</v>
      </c>
    </row>
    <row r="34" spans="1:3" x14ac:dyDescent="0.3">
      <c r="A34">
        <v>4707</v>
      </c>
      <c r="B34" t="s">
        <v>1954</v>
      </c>
      <c r="C34" s="8" t="s">
        <v>3575</v>
      </c>
    </row>
    <row r="35" spans="1:3" x14ac:dyDescent="0.3">
      <c r="A35">
        <v>8538</v>
      </c>
      <c r="B35" t="s">
        <v>1936</v>
      </c>
      <c r="C35" s="8" t="s">
        <v>3576</v>
      </c>
    </row>
    <row r="36" spans="1:3" x14ac:dyDescent="0.3">
      <c r="A36">
        <v>27105</v>
      </c>
      <c r="B36" t="s">
        <v>3577</v>
      </c>
      <c r="C36" s="8" t="s">
        <v>3578</v>
      </c>
    </row>
    <row r="37" spans="1:3" x14ac:dyDescent="0.3">
      <c r="A37">
        <v>4692</v>
      </c>
      <c r="B37" t="s">
        <v>3068</v>
      </c>
      <c r="C37" s="8" t="s">
        <v>3579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4.4" x14ac:dyDescent="0.3"/>
  <sheetData>
    <row r="1" spans="1:20" x14ac:dyDescent="0.3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3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3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3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3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3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3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3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3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3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3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3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3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3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3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3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3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3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3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3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3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3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3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3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3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3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3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3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3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3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3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3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3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3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3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3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3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3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3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3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3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3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3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3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3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3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3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3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3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3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3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3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3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3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3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3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3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3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3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3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3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3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3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3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3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3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3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3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3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3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3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3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3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3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3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3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3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3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3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3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3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3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3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3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3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3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3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3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3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3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3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3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3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3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3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3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3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3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3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3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3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3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3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3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3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3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3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3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3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3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3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3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3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3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3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3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3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3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3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3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3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3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3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3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3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3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3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3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3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3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3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3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3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3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3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3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3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3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3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3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3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3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3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3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3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3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3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3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3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3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3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3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3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3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3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3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3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3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3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3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3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3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3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3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3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3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3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3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3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3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3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3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3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3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3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3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3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3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3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3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3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3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3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3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3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3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3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3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3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3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3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3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3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3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3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3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3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3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3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3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3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3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3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3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3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3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3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3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3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3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3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3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3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3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3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3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3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3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3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3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3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3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3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3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3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3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3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3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3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3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3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3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3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3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3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3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3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3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3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3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3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3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3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3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3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3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3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3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3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3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3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3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3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3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3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3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3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3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3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3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3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3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3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3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3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3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3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3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3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3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3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3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3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3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3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3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3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3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3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3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3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3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3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3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3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3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3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3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3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3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3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3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3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3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3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3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3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3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3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3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3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3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3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3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3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3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3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3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3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3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3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3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3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3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3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3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3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3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3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3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3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3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3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3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3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3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3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3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3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3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3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3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3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3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3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3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3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3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3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3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3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3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3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3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3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3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3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3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3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3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3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3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3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3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3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3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3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3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3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3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3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3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3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3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3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3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3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3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3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3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3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3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3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3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3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3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3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3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3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3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3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3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3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3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3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3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3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3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3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3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3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3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3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3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3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3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3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3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3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3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3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3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3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3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3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3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3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3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3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3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3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3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3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3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3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3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3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3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3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3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3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3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3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3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3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3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3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3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3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3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3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3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3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3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3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3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3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3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3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3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3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3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3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3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3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3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3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3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3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3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3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3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3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3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3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3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3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3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3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3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3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3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3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3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3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3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3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3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3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3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3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3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3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3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3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3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3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3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3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3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3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3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3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3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3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3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3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3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3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3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3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3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3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3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3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3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3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3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3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3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3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3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3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3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3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3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3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3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3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3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3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3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3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3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3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3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3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3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3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3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3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3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3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3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3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3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3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3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3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3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3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3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3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3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3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3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3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3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3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3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3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3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3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3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3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3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3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3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3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3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3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3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3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3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3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3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3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3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3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3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3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3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3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3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3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3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3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3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3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3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3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3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3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3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3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3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3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3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3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3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3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3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3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3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3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3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3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3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3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3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3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3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3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3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2025-09-13T07:58:05Z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