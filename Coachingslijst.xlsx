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35" documentId="13_ncr:1_{51182797-F005-4DB1-88AE-A2BD37A2289A}" xr6:coauthVersionLast="47" xr6:coauthVersionMax="47" xr10:uidLastSave="{CC28E947-2F7E-4C8A-99C6-175845DA189D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G78" i="6" s="1"/>
  <c r="F78" i="6"/>
  <c r="I78" i="6"/>
  <c r="J78" i="6"/>
  <c r="E79" i="6"/>
  <c r="G79" i="6" s="1"/>
  <c r="F79" i="6"/>
  <c r="I79" i="6"/>
  <c r="J79" i="6"/>
  <c r="E80" i="6"/>
  <c r="F80" i="6"/>
  <c r="G80" i="6"/>
  <c r="I80" i="6"/>
  <c r="J80" i="6"/>
  <c r="E81" i="6"/>
  <c r="F81" i="6"/>
  <c r="G81" i="6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F84" i="6"/>
  <c r="G84" i="6"/>
  <c r="I84" i="6"/>
  <c r="J84" i="6"/>
  <c r="E85" i="6"/>
  <c r="G85" i="6" s="1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E88" i="6"/>
  <c r="F88" i="6"/>
  <c r="G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E224" i="4"/>
  <c r="D224" i="4"/>
  <c r="C224" i="4"/>
  <c r="H223" i="4"/>
  <c r="G223" i="4"/>
  <c r="F223" i="4"/>
  <c r="D223" i="4"/>
  <c r="C223" i="4"/>
  <c r="E223" i="4" s="1"/>
  <c r="H222" i="4"/>
  <c r="G222" i="4"/>
  <c r="F222" i="4"/>
  <c r="D222" i="4"/>
  <c r="E222" i="4" s="1"/>
  <c r="C222" i="4"/>
  <c r="H221" i="4"/>
  <c r="G221" i="4"/>
  <c r="F221" i="4"/>
  <c r="D221" i="4"/>
  <c r="C221" i="4"/>
  <c r="E221" i="4" s="1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G77" i="6" s="1"/>
  <c r="F77" i="6"/>
  <c r="E76" i="6"/>
  <c r="G76" i="6" s="1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3" i="4" l="1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<sst xmlns="http://schemas.openxmlformats.org/spreadsheetml/2006/main" count="4547" uniqueCount="1184">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</sst>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</cellXfs>
  <cellStyles count="1">
    <cellStyle name="Standaard" xfId="0" builtinId="0"/>
  </cellStyles>
  <dxfs count="63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none"/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8" totalsRowShown="0">
  <autoFilter ref="A1:T88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31"/>
    <tableColumn id="5" xr3:uid="{F4EF036B-C2F8-4026-A2A9-AD2B883FBCA0}" name="Naam" dataDxfId="59"/>
    <tableColumn id="6" xr3:uid="{35DA4508-064A-468B-B6AB-413C038B8A1C}" name="Voornaam" dataDxfId="58"/>
    <tableColumn id="7" xr3:uid="{1DF84F60-8CE2-4D75-A697-8993441A24AE}" name="Volledige naam" dataDxfId="57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6"/>
    <tableColumn id="9" xr3:uid="{55439308-91C5-4F17-A0C7-B1F6312B9742}" name="Teamcoach" dataDxfId="55"/>
    <tableColumn id="10" xr3:uid="{2D4A733F-4F63-4CA5-BD3C-7B49FC1F3FFF}" name="Rooster" dataDxfId="54"/>
    <tableColumn id="11" xr3:uid="{61C0CBEA-E79D-414F-8B84-D7AED8AC3B32}" name="Opmerkingen" dataDxfId="53"/>
    <tableColumn id="12" xr3:uid="{456ABA1C-1C62-4168-AD5C-BFD9C05C8542}" name="Bus/Tram" dataDxfId="52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1" tableBorderDxfId="50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9"/>
    <tableColumn id="3" xr3:uid="{52A951B9-B59E-44E6-8A45-E1DDDAE59F2B}" name="P-nr" dataDxfId="48"/>
    <tableColumn id="4" xr3:uid="{BD9BF6D0-9641-488E-9B97-616DB79C04E7}" name="Naam" dataDxfId="47">
      <calculatedColumnFormula>VLOOKUP(Tabel3[[#This Row],[P-nr]],'data Chauffeur'!A:F,2,FALSE)</calculatedColumnFormula>
    </tableColumn>
    <tableColumn id="5" xr3:uid="{73FB442E-689C-47F2-A972-8C747CA4D1FE}" name="Voornaam" dataDxfId="46">
      <calculatedColumnFormula>VLOOKUP(Tabel3[[#This Row],[P-nr]],'data Chauffeur'!A:F,3,FALSE)</calculatedColumnFormula>
    </tableColumn>
    <tableColumn id="19" xr3:uid="{0E7C4C2C-8FAF-4AF8-B74A-A795E82D70BF}" name="volledige naam" dataDxfId="45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4">
      <calculatedColumnFormula>VLOOKUP(Tabel3[[#This Row],[P-nr]],'data Chauffeur'!A:F,6)</calculatedColumnFormula>
    </tableColumn>
    <tableColumn id="7" xr3:uid="{2B5863C0-7E79-493F-9444-D5813C7509BD}" name="Teamcoach" dataDxfId="43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2"/>
    <tableColumn id="10" xr3:uid="{FD8BD468-4F49-4A26-BDC9-C5D447E8B706}" name="Bus/Tram" dataDxfId="41"/>
    <tableColumn id="11" xr3:uid="{765E0419-27CF-4DAE-B015-F02637B854A5}" name="Instructeur" dataDxfId="40"/>
    <tableColumn id="12" xr3:uid="{7EA98E72-E042-4EC4-B413-6AE982845CBC}" name="Datum coaching" dataDxfId="39"/>
    <tableColumn id="13" xr3:uid="{E8F2DBEE-8058-4D04-9096-2337D0AACDE1}" name="Werkpunten 1" dataDxfId="38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7" tableBorderDxfId="36">
  <autoFilter ref="A1:B9" xr:uid="{5069B2ED-DA4E-49BE-95FC-145C55EFE18A}"/>
  <tableColumns count="2">
    <tableColumn id="1" xr3:uid="{E1CCD3C9-4705-4AD5-BC57-858AF9DED01A}" name="Ingepland" dataDxfId="35">
      <calculatedColumnFormula>COUNTIF(Coaching!#REF!,B2)</calculatedColumnFormula>
    </tableColumn>
    <tableColumn id="2" xr3:uid="{7123B93F-DC90-4741-9407-C3AA2A7BE734}" name="Teamcoach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3">
      <calculatedColumnFormula>COUNTIF('Voltooide coachings'!G:G,Tabel1[[#This Row],[Teamcoach]])</calculatedColumnFormula>
    </tableColumn>
    <tableColumn id="2" xr3:uid="{E5C53CA5-6DE4-400B-937E-6E61F5467E68}" name="teamcoach" dataDxfId="32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8"/>
  <sheetViews>
    <sheetView tabSelected="1" topLeftCell="H70" zoomScale="112" zoomScaleNormal="112" workbookViewId="0">
      <selection activeCell="P87" sqref="P87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style="52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s="5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 s="5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 s="52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 s="52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 s="52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 s="52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 s="52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 s="52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 s="52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 s="52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 s="52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 s="5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 s="52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 s="52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 s="52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 s="52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 s="52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 s="52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 s="52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 s="52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 s="5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 s="52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 s="52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 s="52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 s="52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 s="52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 s="52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 s="52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 s="52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 s="52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 s="5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 s="52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8" x14ac:dyDescent="0.3">
      <c r="C34" s="11">
        <v>45749</v>
      </c>
      <c r="D34" s="52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8" x14ac:dyDescent="0.3">
      <c r="C35" s="11">
        <v>45749</v>
      </c>
      <c r="D35" s="52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8" x14ac:dyDescent="0.3">
      <c r="C36" s="11">
        <v>45771</v>
      </c>
      <c r="D36" s="52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80</v>
      </c>
      <c r="N36" s="11">
        <v>45966</v>
      </c>
      <c r="O36" t="s">
        <v>59</v>
      </c>
      <c r="Q36" t="s">
        <v>61</v>
      </c>
      <c r="R36" t="s">
        <v>54</v>
      </c>
    </row>
    <row r="37" spans="1:18" x14ac:dyDescent="0.3">
      <c r="C37" s="11">
        <v>45772</v>
      </c>
      <c r="D37" s="52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 s="52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 s="52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 s="52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8" x14ac:dyDescent="0.3">
      <c r="C41" s="11">
        <v>45813</v>
      </c>
      <c r="D41" s="52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 s="5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39</v>
      </c>
      <c r="N42" s="11"/>
    </row>
    <row r="43" spans="1:18" x14ac:dyDescent="0.3">
      <c r="C43" s="11">
        <v>45849</v>
      </c>
      <c r="D43" s="52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39</v>
      </c>
      <c r="N43" s="11"/>
    </row>
    <row r="44" spans="1:18" x14ac:dyDescent="0.3">
      <c r="C44" s="11">
        <v>45853</v>
      </c>
      <c r="D44" s="52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43</v>
      </c>
      <c r="L44" s="2" t="s">
        <v>38</v>
      </c>
    </row>
    <row r="45" spans="1:18" x14ac:dyDescent="0.3">
      <c r="C45" s="11">
        <v>45868</v>
      </c>
      <c r="D45" s="52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49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39</v>
      </c>
    </row>
    <row r="46" spans="1:18" x14ac:dyDescent="0.3">
      <c r="C46" s="11">
        <v>45870</v>
      </c>
      <c r="D46" s="52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39</v>
      </c>
      <c r="L46" s="2" t="s">
        <v>11</v>
      </c>
    </row>
    <row r="47" spans="1:18" x14ac:dyDescent="0.3">
      <c r="C47" s="11">
        <v>45881</v>
      </c>
      <c r="D47" s="52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39</v>
      </c>
    </row>
    <row r="48" spans="1:18" x14ac:dyDescent="0.3">
      <c r="C48" s="11">
        <v>45883</v>
      </c>
      <c r="D48" s="52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49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39</v>
      </c>
      <c r="N48" s="11"/>
    </row>
    <row r="49" spans="3:11" x14ac:dyDescent="0.3">
      <c r="C49" s="11">
        <v>45898</v>
      </c>
      <c r="D49" s="52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39</v>
      </c>
    </row>
    <row r="50" spans="3:11" x14ac:dyDescent="0.3">
      <c r="C50" s="11">
        <v>45898</v>
      </c>
      <c r="D50" s="52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39</v>
      </c>
    </row>
    <row r="51" spans="3:11" x14ac:dyDescent="0.3">
      <c r="C51" s="11">
        <v>45898</v>
      </c>
      <c r="D51" s="52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39</v>
      </c>
    </row>
    <row r="52" spans="3:11" x14ac:dyDescent="0.3">
      <c r="C52" s="11">
        <v>45898</v>
      </c>
      <c r="D52" s="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3:11" x14ac:dyDescent="0.3">
      <c r="C53" s="11">
        <v>45898</v>
      </c>
      <c r="D53" s="52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3:11" x14ac:dyDescent="0.3">
      <c r="C54" s="11">
        <v>45898</v>
      </c>
      <c r="D54" s="52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39</v>
      </c>
    </row>
    <row r="55" spans="3:11" x14ac:dyDescent="0.3">
      <c r="C55" s="11">
        <v>45898</v>
      </c>
      <c r="D55" s="52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39</v>
      </c>
    </row>
    <row r="56" spans="3:11" x14ac:dyDescent="0.3">
      <c r="C56" s="11">
        <v>45898</v>
      </c>
      <c r="D56" s="52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39</v>
      </c>
    </row>
    <row r="57" spans="3:11" x14ac:dyDescent="0.3">
      <c r="C57" s="11">
        <v>45898</v>
      </c>
      <c r="D57" s="52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39</v>
      </c>
    </row>
    <row r="58" spans="3:11" x14ac:dyDescent="0.3">
      <c r="C58" s="11">
        <v>45898</v>
      </c>
      <c r="D58" s="52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49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39</v>
      </c>
    </row>
    <row r="59" spans="3:11" x14ac:dyDescent="0.3">
      <c r="C59" s="11">
        <v>45898</v>
      </c>
      <c r="D59" s="52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1" x14ac:dyDescent="0.3">
      <c r="C60" s="11">
        <v>45898</v>
      </c>
      <c r="D60" s="52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49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39</v>
      </c>
    </row>
    <row r="61" spans="3:11" x14ac:dyDescent="0.3">
      <c r="C61" s="11">
        <v>45898</v>
      </c>
      <c r="D61" s="52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49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39</v>
      </c>
    </row>
    <row r="62" spans="3:11" x14ac:dyDescent="0.3">
      <c r="C62" s="11">
        <v>45898</v>
      </c>
      <c r="D62" s="5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49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39</v>
      </c>
    </row>
    <row r="63" spans="3:11" x14ac:dyDescent="0.3">
      <c r="C63" s="11">
        <v>45898</v>
      </c>
      <c r="D63" s="52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49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39</v>
      </c>
    </row>
    <row r="64" spans="3:11" x14ac:dyDescent="0.3">
      <c r="C64" s="11">
        <v>45898</v>
      </c>
      <c r="D64" s="52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49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39</v>
      </c>
    </row>
    <row r="65" spans="1:14" x14ac:dyDescent="0.3">
      <c r="C65" s="11">
        <v>45898</v>
      </c>
      <c r="D65" s="52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49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39</v>
      </c>
      <c r="M65" t="s">
        <v>80</v>
      </c>
      <c r="N65" s="11">
        <v>45966</v>
      </c>
    </row>
    <row r="66" spans="1:14" x14ac:dyDescent="0.3">
      <c r="C66" s="11">
        <v>45898</v>
      </c>
      <c r="D66" s="52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49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39</v>
      </c>
    </row>
    <row r="67" spans="1:14" ht="57.6" x14ac:dyDescent="0.3">
      <c r="C67" s="11">
        <v>45903</v>
      </c>
      <c r="D67" s="52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49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38</v>
      </c>
    </row>
    <row r="68" spans="1:14" ht="28.8" x14ac:dyDescent="0.3">
      <c r="A68" s="2" t="s">
        <v>31</v>
      </c>
      <c r="C68" s="11">
        <v>45910</v>
      </c>
      <c r="D68" s="52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49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1183</v>
      </c>
      <c r="L68" s="2" t="s">
        <v>23</v>
      </c>
    </row>
    <row r="69" spans="1:14" x14ac:dyDescent="0.3">
      <c r="C69" s="11">
        <v>45911</v>
      </c>
      <c r="D69" s="52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49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39</v>
      </c>
    </row>
    <row r="70" spans="1:14" x14ac:dyDescent="0.3">
      <c r="C70" s="11">
        <v>45917</v>
      </c>
      <c r="D70" s="52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39</v>
      </c>
    </row>
    <row r="71" spans="1:14" x14ac:dyDescent="0.3">
      <c r="C71" s="11">
        <v>45917</v>
      </c>
      <c r="D71" s="52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49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39</v>
      </c>
    </row>
    <row r="72" spans="1:14" x14ac:dyDescent="0.3">
      <c r="C72" s="11">
        <v>45917</v>
      </c>
      <c r="D72" s="5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49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39</v>
      </c>
    </row>
    <row r="73" spans="1:14" x14ac:dyDescent="0.3">
      <c r="C73" s="11">
        <v>45926</v>
      </c>
      <c r="D73" s="52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39</v>
      </c>
    </row>
    <row r="74" spans="1:14" x14ac:dyDescent="0.3">
      <c r="C74" s="11">
        <v>45941</v>
      </c>
      <c r="D74" s="52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51</v>
      </c>
      <c r="N74" s="11"/>
    </row>
    <row r="75" spans="1:14" x14ac:dyDescent="0.3">
      <c r="C75" s="11">
        <v>45945</v>
      </c>
      <c r="D75" s="52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49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39</v>
      </c>
    </row>
    <row r="76" spans="1:14" x14ac:dyDescent="0.3">
      <c r="C76" s="11">
        <v>45950</v>
      </c>
      <c r="D76" s="52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49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28.8" x14ac:dyDescent="0.3">
      <c r="C77" s="11">
        <v>45954</v>
      </c>
      <c r="D77" s="52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49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1182</v>
      </c>
      <c r="N77" s="11"/>
    </row>
    <row r="78" spans="1:14" x14ac:dyDescent="0.3">
      <c r="C78" s="11">
        <v>45966</v>
      </c>
      <c r="D78" s="52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74</v>
      </c>
      <c r="N78" s="11"/>
    </row>
    <row r="79" spans="1:14" x14ac:dyDescent="0.3">
      <c r="C79" s="11">
        <v>45966</v>
      </c>
      <c r="D79" s="52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74</v>
      </c>
      <c r="N79" s="11"/>
    </row>
    <row r="80" spans="1:14" x14ac:dyDescent="0.3">
      <c r="C80" s="11">
        <v>45966</v>
      </c>
      <c r="D80" s="52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49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74</v>
      </c>
      <c r="N80" s="11"/>
    </row>
    <row r="81" spans="3:17" x14ac:dyDescent="0.3">
      <c r="C81" s="11">
        <v>45966</v>
      </c>
      <c r="D81" s="52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49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74</v>
      </c>
      <c r="N81" s="11"/>
    </row>
    <row r="82" spans="3:17" x14ac:dyDescent="0.3">
      <c r="C82" s="11">
        <v>45966</v>
      </c>
      <c r="D82" s="5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49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74</v>
      </c>
      <c r="N82" s="11"/>
    </row>
    <row r="83" spans="3:17" x14ac:dyDescent="0.3">
      <c r="C83" s="11">
        <v>45966</v>
      </c>
      <c r="D83" s="52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49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74</v>
      </c>
      <c r="N83" s="11"/>
    </row>
    <row r="84" spans="3:17" x14ac:dyDescent="0.3">
      <c r="C84" s="11">
        <v>45966</v>
      </c>
      <c r="D84" s="52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49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74</v>
      </c>
      <c r="N84" s="11"/>
    </row>
    <row r="85" spans="3:17" x14ac:dyDescent="0.3">
      <c r="C85" s="11">
        <v>45966</v>
      </c>
      <c r="D85" s="52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49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74</v>
      </c>
      <c r="N85" s="11"/>
    </row>
    <row r="86" spans="3:17" x14ac:dyDescent="0.3">
      <c r="C86" s="11">
        <v>45966</v>
      </c>
      <c r="D86" s="52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49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138</v>
      </c>
      <c r="L86" s="2" t="s">
        <v>23</v>
      </c>
      <c r="M86" t="s">
        <v>198</v>
      </c>
      <c r="N86" s="11">
        <v>45966</v>
      </c>
      <c r="O86" t="s">
        <v>65</v>
      </c>
      <c r="P86" t="s">
        <v>202</v>
      </c>
      <c r="Q86" t="s">
        <v>53</v>
      </c>
    </row>
    <row r="87" spans="3:17" x14ac:dyDescent="0.3">
      <c r="C87" s="11">
        <v>45966</v>
      </c>
      <c r="D87" s="52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49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138</v>
      </c>
      <c r="L87" s="2" t="s">
        <v>38</v>
      </c>
      <c r="M87" t="s">
        <v>198</v>
      </c>
      <c r="N87" s="11">
        <v>45966</v>
      </c>
      <c r="O87" t="s">
        <v>65</v>
      </c>
      <c r="P87" t="s">
        <v>204</v>
      </c>
    </row>
    <row r="88" spans="3:17" x14ac:dyDescent="0.3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49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4:D1048576 D7:D92 D1:D5">
    <cfRule type="duplicateValues" dxfId="28" priority="587"/>
  </conditionalFormatting>
  <conditionalFormatting sqref="Q1:Q1048576">
    <cfRule type="containsText" dxfId="27" priority="46" operator="containsText" text="zeer slecht">
      <formula>NOT(ISERROR(SEARCH("zeer slecht",Q1)))</formula>
    </cfRule>
    <cfRule type="containsText" dxfId="26" priority="47" operator="containsText" text="slecht">
      <formula>NOT(ISERROR(SEARCH("slecht",Q1)))</formula>
    </cfRule>
    <cfRule type="containsText" dxfId="25" priority="48" operator="containsText" text="onvoldoende">
      <formula>NOT(ISERROR(SEARCH("onvoldoende",Q1)))</formula>
    </cfRule>
    <cfRule type="containsText" dxfId="24" priority="49" operator="containsText" text="voldoende">
      <formula>NOT(ISERROR(SEARCH("voldoende",Q1)))</formula>
    </cfRule>
    <cfRule type="containsText" dxfId="23" priority="50" operator="containsText" text="goed">
      <formula>NOT(ISERROR(SEARCH("goed",Q1)))</formula>
    </cfRule>
    <cfRule type="containsText" dxfId="2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0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2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2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2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2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O216" t="s">
        <v>84</v>
      </c>
      <c r="P216" t="s">
        <v>54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48</v>
      </c>
      <c r="J217" s="8" t="s">
        <v>79</v>
      </c>
      <c r="K217" s="30" t="s">
        <v>80</v>
      </c>
      <c r="L217" s="37">
        <v>45966</v>
      </c>
      <c r="M217" s="30" t="s">
        <v>65</v>
      </c>
      <c r="O217" t="s">
        <v>84</v>
      </c>
      <c r="P217" t="s">
        <v>54</v>
      </c>
    </row>
    <row r="218" spans="1:18" x14ac:dyDescent="0.3">
      <c r="A218" s="52"/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138</v>
      </c>
      <c r="J218" s="8" t="s">
        <v>38</v>
      </c>
      <c r="K218" s="30" t="s">
        <v>198</v>
      </c>
      <c r="L218" s="43">
        <v>45965</v>
      </c>
      <c r="M218" s="30" t="s">
        <v>65</v>
      </c>
      <c r="N218" t="s">
        <v>202</v>
      </c>
      <c r="O218" t="s">
        <v>53</v>
      </c>
      <c r="P218" t="s">
        <v>54</v>
      </c>
    </row>
    <row r="219" spans="1:18" x14ac:dyDescent="0.3">
      <c r="A219" s="52"/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138</v>
      </c>
      <c r="J219" s="8" t="s">
        <v>23</v>
      </c>
      <c r="K219" s="30" t="s">
        <v>198</v>
      </c>
      <c r="L219" s="43">
        <v>45965</v>
      </c>
      <c r="M219" s="44" t="s">
        <v>56</v>
      </c>
      <c r="O219" t="s">
        <v>36</v>
      </c>
      <c r="P219" t="s">
        <v>31</v>
      </c>
    </row>
    <row r="220" spans="1:18" x14ac:dyDescent="0.3">
      <c r="A220" s="52"/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138</v>
      </c>
      <c r="J220" s="8" t="s">
        <v>23</v>
      </c>
      <c r="K220" s="30" t="s">
        <v>198</v>
      </c>
      <c r="L220" s="43">
        <v>45965</v>
      </c>
      <c r="M220" s="44" t="s">
        <v>56</v>
      </c>
      <c r="O220" t="s">
        <v>149</v>
      </c>
    </row>
    <row r="221" spans="1:18" x14ac:dyDescent="0.3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138</v>
      </c>
      <c r="J221" s="8" t="s">
        <v>38</v>
      </c>
      <c r="K221" t="s">
        <v>198</v>
      </c>
      <c r="L221" s="43">
        <v>45965</v>
      </c>
      <c r="M221" s="44" t="s">
        <v>65</v>
      </c>
      <c r="N221" t="s">
        <v>202</v>
      </c>
      <c r="O221" t="s">
        <v>61</v>
      </c>
    </row>
    <row r="222" spans="1:18" x14ac:dyDescent="0.3">
      <c r="A222" s="52"/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 x14ac:dyDescent="0.3">
      <c r="A223" s="52"/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 x14ac:dyDescent="0.3">
      <c r="A224" s="52"/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 x14ac:dyDescent="0.3">
      <c r="A225" s="52"/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 x14ac:dyDescent="0.3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 x14ac:dyDescent="0.3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 x14ac:dyDescent="0.3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 x14ac:dyDescent="0.3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 x14ac:dyDescent="0.3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 x14ac:dyDescent="0.3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x14ac:dyDescent="0.3">
      <c r="A234" s="39"/>
      <c r="B234" s="43"/>
      <c r="E234" s="30"/>
      <c r="F234" s="30"/>
      <c r="K234" s="30"/>
      <c r="M234" s="44"/>
    </row>
    <row r="235" spans="1:16" x14ac:dyDescent="0.3">
      <c r="A235" s="45"/>
      <c r="B235" s="43"/>
      <c r="E235" s="30"/>
      <c r="F235" s="30"/>
      <c r="K235" s="30"/>
      <c r="M235" s="44"/>
    </row>
    <row r="236" spans="1:16" x14ac:dyDescent="0.3">
      <c r="A236" s="11"/>
      <c r="B236" s="43"/>
      <c r="M236" s="44"/>
    </row>
    <row r="238" spans="1:16" x14ac:dyDescent="0.3">
      <c r="A238" s="53" t="s">
        <v>172</v>
      </c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</row>
    <row r="239" spans="1:16" x14ac:dyDescent="0.3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</row>
    <row r="240" spans="1:16" x14ac:dyDescent="0.3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</row>
    <row r="241" spans="1:16" x14ac:dyDescent="0.3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</row>
    <row r="242" spans="1:16" x14ac:dyDescent="0.3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</sheetData>
  <mergeCells count="1">
    <mergeCell ref="A238:P242"/>
  </mergeCells>
  <phoneticPr fontId="3" type="noConversion"/>
  <conditionalFormatting sqref="A243:A1048576 A1:A238">
    <cfRule type="cellIs" dxfId="21" priority="345" operator="equal">
      <formula>"ja"</formula>
    </cfRule>
  </conditionalFormatting>
  <conditionalFormatting sqref="N208:N211 O204:O237">
    <cfRule type="cellIs" dxfId="20" priority="3" operator="equal">
      <formula>"zeer goed"</formula>
    </cfRule>
    <cfRule type="cellIs" dxfId="19" priority="4" operator="equal">
      <formula>"Goed"</formula>
    </cfRule>
    <cfRule type="cellIs" dxfId="18" priority="5" operator="equal">
      <formula>"onvoldoende"</formula>
    </cfRule>
    <cfRule type="cellIs" dxfId="17" priority="6" operator="equal">
      <formula>"slecht"</formula>
    </cfRule>
    <cfRule type="cellIs" dxfId="16" priority="7" operator="equal">
      <formula>"zeer slecht"</formula>
    </cfRule>
  </conditionalFormatting>
  <conditionalFormatting sqref="N208:N217">
    <cfRule type="duplicateValues" dxfId="15" priority="8"/>
  </conditionalFormatting>
  <conditionalFormatting sqref="N212:N217 O1:O197 O243:O1048576">
    <cfRule type="cellIs" dxfId="14" priority="724" operator="equal">
      <formula>"zeer goed"</formula>
    </cfRule>
    <cfRule type="cellIs" dxfId="13" priority="725" operator="equal">
      <formula>"Goed"</formula>
    </cfRule>
    <cfRule type="cellIs" dxfId="12" priority="726" operator="equal">
      <formula>"onvoldoende"</formula>
    </cfRule>
    <cfRule type="cellIs" dxfId="11" priority="727" operator="equal">
      <formula>"slecht"</formula>
    </cfRule>
    <cfRule type="cellIs" dxfId="10" priority="728" operator="equal">
      <formula>"zeer slecht"</formula>
    </cfRule>
  </conditionalFormatting>
  <conditionalFormatting sqref="O1:O52">
    <cfRule type="cellIs" dxfId="9" priority="348" operator="equal">
      <formula>"voldoende"</formula>
    </cfRule>
  </conditionalFormatting>
  <conditionalFormatting sqref="O198:O203">
    <cfRule type="containsText" dxfId="8" priority="16" operator="containsText" text="zeer slecht">
      <formula>NOT(ISERROR(SEARCH("zeer slecht",O198)))</formula>
    </cfRule>
    <cfRule type="containsText" dxfId="7" priority="17" operator="containsText" text="slecht">
      <formula>NOT(ISERROR(SEARCH("slecht",O198)))</formula>
    </cfRule>
    <cfRule type="containsText" dxfId="6" priority="18" operator="containsText" text="onvoldoende">
      <formula>NOT(ISERROR(SEARCH("onvoldoende",O198)))</formula>
    </cfRule>
    <cfRule type="containsText" dxfId="5" priority="19" operator="containsText" text="voldoende">
      <formula>NOT(ISERROR(SEARCH("voldoende",O198)))</formula>
    </cfRule>
    <cfRule type="containsText" dxfId="4" priority="20" operator="containsText" text="goed">
      <formula>NOT(ISERROR(SEARCH("goed",O198)))</formula>
    </cfRule>
    <cfRule type="containsText" dxfId="3" priority="21" operator="containsText" text="zeer goed">
      <formula>NOT(ISERROR(SEARCH("zeer goed",O198)))</formula>
    </cfRule>
  </conditionalFormatting>
  <conditionalFormatting sqref="O245:O1048576 O243 O1:O197 O204:O237">
    <cfRule type="duplicateValues" dxfId="2" priority="800"/>
  </conditionalFormatting>
  <conditionalFormatting sqref="P1:Q197 Q198:Q203 P234:P237 P243 N244 P245:P1048576 P204:Q233">
    <cfRule type="cellIs" dxfId="1" priority="344" operator="equal">
      <formula>"ja"</formula>
    </cfRule>
  </conditionalFormatting>
  <conditionalFormatting sqref="B219:B231">
    <cfRule type="duplicateValues" dxfId="0" priority="1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COUNTIF(Coaching!I1:I9940,Tabel1[[#This Row],[Teamcoach]])</f>
        <v>10</v>
      </c>
      <c r="B2" s="3" t="s">
        <v>176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17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13</v>
      </c>
      <c r="B4" s="3" t="s">
        <v>58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178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8</v>
      </c>
      <c r="B6" s="3" t="s">
        <v>179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2025-11-05T09:46:52Z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