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684" documentId="13_ncr:1_{51182797-F005-4DB1-88AE-A2BD37A2289A}" xr6:coauthVersionLast="47" xr6:coauthVersionMax="47" xr10:uidLastSave="{4E814B7E-2064-4E47-9491-5A58D401C37E}"/>
  <bookViews>
    <workbookView minimized="1" xWindow="1035" yWindow="1125" windowWidth="21600" windowHeight="11295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6" l="1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8" i="6" l="1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<sst xmlns="http://schemas.openxmlformats.org/spreadsheetml/2006/main" count="4487" uniqueCount="1185">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</sst>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zoomScale="90" zoomScaleNormal="90" workbookViewId="0">
      <selection activeCell="A24" sqref="A24:XFD24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2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2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25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ht="30" x14ac:dyDescent="0.25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25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25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 x14ac:dyDescent="0.25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25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25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25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25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25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25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25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25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25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25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25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25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25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25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25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25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25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25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25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25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25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25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25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25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25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25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25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25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25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25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25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25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25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4" x14ac:dyDescent="0.25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4" x14ac:dyDescent="0.25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4" x14ac:dyDescent="0.25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4" ht="60" x14ac:dyDescent="0.25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4" ht="45" x14ac:dyDescent="0.25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4" x14ac:dyDescent="0.25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4" x14ac:dyDescent="0.25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4" x14ac:dyDescent="0.25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4" x14ac:dyDescent="0.25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4" x14ac:dyDescent="0.25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4" x14ac:dyDescent="0.25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4" x14ac:dyDescent="0.25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4" x14ac:dyDescent="0.25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4" ht="30" x14ac:dyDescent="0.25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4" x14ac:dyDescent="0.25">
      <c r="D79" s="52"/>
      <c r="E79" t="e">
        <f>VLOOKUP(Tabel2[[#This Row],[P-nr]],'data Chauffeur'!A:F,2,FALSE)</f>
        <v>#N/A</v>
      </c>
      <c r="F79" t="e">
        <f>VLOOKUP(Tabel2[[#This Row],[P-nr]],'data Chauffeur'!A:F,3,FALSE)</f>
        <v>#N/A</v>
      </c>
      <c r="G79" t="e">
        <f>_xlfn.CONCAT(Tabel2[[#This Row],[P-nr]]," ",Tabel2[[#This Row],[Naam]]," ",Tabel2[[#This Row],[Voornaam]]," ",)</f>
        <v>#N/A</v>
      </c>
      <c r="H79" t="s">
        <v>49</v>
      </c>
      <c r="I79" t="e">
        <f>VLOOKUP(Tabel2[[#This Row],[P-nr]],'data Chauffeur'!A:F,4,FALSE)</f>
        <v>#N/A</v>
      </c>
      <c r="J79" t="e">
        <f>VLOOKUP(Tabel2[[#This Row],[P-nr]],'data Chauffeur'!A:F,5,FALSE)</f>
        <v>#N/A</v>
      </c>
      <c r="N79" s="11"/>
    </row>
    <row r="80" spans="1:14" x14ac:dyDescent="0.25">
      <c r="E80" t="e">
        <f>VLOOKUP(Tabel2[[#This Row],[P-nr]],'data Chauffeur'!A:F,2,FALSE)</f>
        <v>#N/A</v>
      </c>
      <c r="F80" t="e">
        <f>VLOOKUP(Tabel2[[#This Row],[P-nr]],'data Chauffeur'!A:F,3,FALSE)</f>
        <v>#N/A</v>
      </c>
      <c r="G80" t="e">
        <f>_xlfn.CONCAT(Tabel2[[#This Row],[P-nr]]," ",Tabel2[[#This Row],[Naam]]," ",Tabel2[[#This Row],[Voornaam]]," ",)</f>
        <v>#N/A</v>
      </c>
      <c r="H80" t="s">
        <v>49</v>
      </c>
      <c r="I80" t="e">
        <f>VLOOKUP(Tabel2[[#This Row],[P-nr]],'data Chauffeur'!A:F,4,FALSE)</f>
        <v>#N/A</v>
      </c>
      <c r="J80" t="e">
        <f>VLOOKUP(Tabel2[[#This Row],[P-nr]],'data Chauffeur'!A:F,5,FALSE)</f>
        <v>#N/A</v>
      </c>
      <c r="N80" s="11"/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54" zoomScale="86" zoomScaleNormal="86" workbookViewId="0">
      <selection activeCell="F222" sqref="A222:XFD22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25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75" x14ac:dyDescent="0.25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25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25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25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25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25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25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25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25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25">
      <c r="E221" s="30"/>
      <c r="F221" s="30"/>
      <c r="K221" s="30"/>
      <c r="L221" s="11"/>
    </row>
    <row r="222" spans="1:18" x14ac:dyDescent="0.25">
      <c r="E222" s="30"/>
      <c r="F222" s="30"/>
      <c r="K222" s="30"/>
      <c r="L222" s="11"/>
    </row>
    <row r="223" spans="1:18" x14ac:dyDescent="0.25">
      <c r="A223" s="39"/>
      <c r="B223" s="43"/>
      <c r="E223" s="30"/>
      <c r="F223" s="30"/>
      <c r="K223" s="30"/>
      <c r="M223" s="44"/>
    </row>
    <row r="224" spans="1:18" x14ac:dyDescent="0.25">
      <c r="A224" s="45"/>
      <c r="B224" s="43"/>
      <c r="E224" s="30"/>
      <c r="F224" s="30"/>
      <c r="K224" s="30"/>
      <c r="M224" s="44"/>
    </row>
    <row r="225" spans="1:16" x14ac:dyDescent="0.25">
      <c r="A225" s="11"/>
      <c r="B225" s="43"/>
      <c r="M225" s="44"/>
    </row>
    <row r="227" spans="1:16" x14ac:dyDescent="0.25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25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25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25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25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173</v>
      </c>
      <c r="B1" t="s">
        <v>8</v>
      </c>
      <c r="D1" t="s">
        <v>174</v>
      </c>
      <c r="E1" t="s">
        <v>175</v>
      </c>
    </row>
    <row r="2" spans="1:5" x14ac:dyDescent="0.25">
      <c r="A2" s="3">
        <f>COUNTIF(Coaching!I1:I9934,Tabel1[[#This Row],[Teamcoach]])</f>
        <v>8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25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25">
      <c r="A4" s="3">
        <f>COUNTIF(Coaching!I2:I9936,Tabel1[[#This Row],[Teamcoach]])</f>
        <v>13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25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25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25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25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25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25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25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25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25">
      <c r="E6" t="s">
        <v>198</v>
      </c>
      <c r="F6" t="s">
        <v>65</v>
      </c>
      <c r="G6" t="s">
        <v>35</v>
      </c>
      <c r="H6" t="s">
        <v>61</v>
      </c>
    </row>
    <row r="7" spans="1:9" x14ac:dyDescent="0.25">
      <c r="E7" t="s">
        <v>33</v>
      </c>
      <c r="G7" t="s">
        <v>171</v>
      </c>
      <c r="H7" t="s">
        <v>53</v>
      </c>
    </row>
    <row r="8" spans="1:9" x14ac:dyDescent="0.25">
      <c r="E8" t="s">
        <v>55</v>
      </c>
      <c r="G8" t="s">
        <v>199</v>
      </c>
    </row>
    <row r="9" spans="1:9" x14ac:dyDescent="0.25">
      <c r="E9" t="s">
        <v>52</v>
      </c>
      <c r="G9" t="s">
        <v>83</v>
      </c>
    </row>
    <row r="10" spans="1:9" x14ac:dyDescent="0.25">
      <c r="E10" t="s">
        <v>200</v>
      </c>
      <c r="G10" t="s">
        <v>148</v>
      </c>
    </row>
    <row r="11" spans="1:9" x14ac:dyDescent="0.25">
      <c r="E11" t="s">
        <v>101</v>
      </c>
      <c r="G11" t="s">
        <v>201</v>
      </c>
    </row>
    <row r="12" spans="1:9" x14ac:dyDescent="0.25">
      <c r="E12" t="s">
        <v>97</v>
      </c>
      <c r="G12" t="s">
        <v>202</v>
      </c>
    </row>
    <row r="13" spans="1:9" x14ac:dyDescent="0.25">
      <c r="E13" t="s">
        <v>203</v>
      </c>
      <c r="G13" t="s">
        <v>204</v>
      </c>
    </row>
    <row r="14" spans="1:9" x14ac:dyDescent="0.25">
      <c r="E14" t="s">
        <v>80</v>
      </c>
      <c r="G14" t="s">
        <v>205</v>
      </c>
    </row>
    <row r="15" spans="1:9" x14ac:dyDescent="0.25">
      <c r="E15" t="s">
        <v>90</v>
      </c>
      <c r="G15" t="s">
        <v>65</v>
      </c>
    </row>
    <row r="16" spans="1:9" x14ac:dyDescent="0.25">
      <c r="E16" t="s">
        <v>126</v>
      </c>
    </row>
    <row r="17" spans="5:5" x14ac:dyDescent="0.25">
      <c r="E17" t="s">
        <v>142</v>
      </c>
    </row>
    <row r="18" spans="5:5" x14ac:dyDescent="0.25">
      <c r="E18" t="s">
        <v>111</v>
      </c>
    </row>
    <row r="19" spans="5:5" x14ac:dyDescent="0.25">
      <c r="E19" t="s">
        <v>206</v>
      </c>
    </row>
    <row r="20" spans="5:5" x14ac:dyDescent="0.25">
      <c r="E20" t="s">
        <v>207</v>
      </c>
    </row>
    <row r="21" spans="5:5" x14ac:dyDescent="0.25">
      <c r="E21" t="s">
        <v>208</v>
      </c>
    </row>
    <row r="22" spans="5:5" x14ac:dyDescent="0.25">
      <c r="E22" t="s">
        <v>209</v>
      </c>
    </row>
    <row r="23" spans="5:5" x14ac:dyDescent="0.25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25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25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25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25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25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25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25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25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25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25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25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25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25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25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25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25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25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25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25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25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25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25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25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25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25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25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25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25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25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25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25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25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25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25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25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25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25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25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25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25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25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25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25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25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25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25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25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25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25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25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25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25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25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25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25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25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25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25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25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25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25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25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25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25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25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25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25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25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25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25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25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25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25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25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25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25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25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25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25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25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25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25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25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25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25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25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25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25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25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25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25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25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25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25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25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25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25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25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25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25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25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25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25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25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25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25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25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25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25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25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25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25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25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25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25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25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25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25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25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25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25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25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25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25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25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25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25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25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25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25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25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25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25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25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25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25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25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25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25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25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25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25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25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25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25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25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25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25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25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25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25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25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25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25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25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25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25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25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25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25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25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25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25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25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25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25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25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25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25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25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25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25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25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25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25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25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25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25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25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25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25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25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25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25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25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25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25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25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25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25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25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25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25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25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25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25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25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25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25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25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25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25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25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25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25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25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25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25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25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25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25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25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25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25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25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25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25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25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25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25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25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25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25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25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25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25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25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25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25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25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25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25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25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25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25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25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25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25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25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25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25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25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25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25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25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25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25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25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25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25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25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25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25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25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25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25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25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25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25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25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25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25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25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25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25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25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25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25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25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25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25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25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25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25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25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25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25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25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25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25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25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25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25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25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25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25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25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25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25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25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25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25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25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25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25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25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25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25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25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25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25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25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25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25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25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25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25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25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25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25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25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25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25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25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25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25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25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25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25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25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25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25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25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25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25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25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25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25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25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25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25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25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25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25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25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25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25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25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25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25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25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25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25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25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25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25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25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25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25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25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25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25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25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25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25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25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25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25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25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25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25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25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25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25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25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25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25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25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25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25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25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25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25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25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25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25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25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25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25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25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25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25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25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25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25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25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25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25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25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25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25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25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25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25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25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25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25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25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25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25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25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25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25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25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25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25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25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25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25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25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25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25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25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25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25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25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25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25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25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25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25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25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25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25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25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25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25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25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25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25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25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25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25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25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25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25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25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25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25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25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25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25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25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25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25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25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25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25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25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25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25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25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25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25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25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25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25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25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25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25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25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25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25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25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25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25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25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25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25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25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25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25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25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25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25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25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25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25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25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25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25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25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25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25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25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25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25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25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25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25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25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25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25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25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25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25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25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25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25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25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25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25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25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25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25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25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25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25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25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25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25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25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25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25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25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25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25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25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25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25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25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25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25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25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25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25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25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25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25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25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25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25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25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25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25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25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25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25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25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25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25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25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25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25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25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25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25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25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25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25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25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25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25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25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25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25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25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25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25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25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25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25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25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25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25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25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25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25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25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25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25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25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25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25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25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25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25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25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25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25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25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25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25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25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25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25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25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25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25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25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25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25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25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25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25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25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25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2025-11-03T10:39:43Z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