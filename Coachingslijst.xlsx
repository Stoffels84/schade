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01" documentId="13_ncr:1_{51182797-F005-4DB1-88AE-A2BD37A2289A}" xr6:coauthVersionLast="47" xr6:coauthVersionMax="47" xr10:uidLastSave="{C47CF5AB-A62B-45E0-963F-78E3339E2690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<sst xmlns="http://schemas.openxmlformats.org/spreadsheetml/2006/main" count="4755" uniqueCount="1193">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</sst>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G72" zoomScale="90" zoomScaleNormal="90" workbookViewId="0">
      <selection activeCell="Q81" sqref="Q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7">
      <c r="C81" s="54">
        <v>45996</v>
      </c>
      <c r="D81" s="56">
        <v>15726</v>
      </c>
      <c r="E81" s="57" t="s">
        <v>65</v>
      </c>
      <c r="F81" s="58" t="s">
        <v>66</v>
      </c>
      <c r="G81" s="58" t="str">
        <f>_xlfn.CONCAT(Tabel2[[#This Row],[P-nr]]," ",Tabel2[[#This Row],[Naam]]," ",Tabel2[[#This Row],[Voornaam]]," ",)</f>
        <v xml:space="preserve">15726 Van Wezemael Patrick </v>
      </c>
      <c r="H81" s="58" t="s">
        <v>45</v>
      </c>
      <c r="I81" s="58" t="s">
        <v>67</v>
      </c>
      <c r="J81" s="58"/>
      <c r="L81" s="2" t="s">
        <v>33</v>
      </c>
      <c r="M81" t="s">
        <v>68</v>
      </c>
      <c r="N81" s="11">
        <v>45996</v>
      </c>
      <c r="Q81" t="s">
        <v>64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191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192</v>
      </c>
      <c r="B2" s="53" t="s">
        <v>193</v>
      </c>
      <c r="I2"/>
      <c r="J2"/>
    </row>
    <row r="3" spans="1:10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>
      <c r="A4" s="30" t="s">
        <v>92</v>
      </c>
      <c r="B4">
        <v>1</v>
      </c>
      <c r="I4"/>
      <c r="J4">
        <v>1</v>
      </c>
    </row>
    <row r="5" spans="1:10">
      <c r="A5" s="30" t="s">
        <v>113</v>
      </c>
      <c r="B5">
        <v>8</v>
      </c>
      <c r="H5">
        <v>10</v>
      </c>
      <c r="I5"/>
      <c r="J5">
        <v>18</v>
      </c>
    </row>
    <row r="6" spans="1:10">
      <c r="A6" s="30" t="s">
        <v>123</v>
      </c>
      <c r="B6">
        <v>1</v>
      </c>
      <c r="E6">
        <v>1</v>
      </c>
      <c r="I6"/>
      <c r="J6">
        <v>2</v>
      </c>
    </row>
    <row r="7" spans="1:10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151</v>
      </c>
      <c r="G8">
        <v>1</v>
      </c>
      <c r="I8"/>
      <c r="J8">
        <v>1</v>
      </c>
    </row>
    <row r="9" spans="1:10">
      <c r="A9" s="30" t="s">
        <v>157</v>
      </c>
      <c r="E9">
        <v>1</v>
      </c>
      <c r="I9"/>
      <c r="J9">
        <v>1</v>
      </c>
    </row>
    <row r="10" spans="1:10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119</v>
      </c>
      <c r="B11">
        <v>2</v>
      </c>
      <c r="I11"/>
      <c r="J11">
        <v>2</v>
      </c>
    </row>
    <row r="12" spans="1:10">
      <c r="A12" s="30" t="s">
        <v>165</v>
      </c>
      <c r="B12">
        <v>1</v>
      </c>
      <c r="I12"/>
      <c r="J12">
        <v>1</v>
      </c>
    </row>
    <row r="13" spans="1:10">
      <c r="A13" s="30" t="s">
        <v>121</v>
      </c>
      <c r="G13">
        <v>1</v>
      </c>
      <c r="I13"/>
      <c r="J13">
        <v>1</v>
      </c>
    </row>
    <row r="14" spans="1:10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97</v>
      </c>
      <c r="B15">
        <v>1</v>
      </c>
      <c r="I15"/>
      <c r="J15">
        <v>1</v>
      </c>
    </row>
    <row r="16" spans="1:10">
      <c r="A16" s="30" t="s">
        <v>135</v>
      </c>
      <c r="H16">
        <v>1</v>
      </c>
      <c r="I16"/>
      <c r="J16">
        <v>1</v>
      </c>
    </row>
    <row r="17" spans="1:10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199</v>
      </c>
      <c r="B1" t="s">
        <v>8</v>
      </c>
      <c r="D1" t="s">
        <v>200</v>
      </c>
      <c r="E1" t="s">
        <v>201</v>
      </c>
    </row>
    <row r="2" spans="1:5">
      <c r="A2" s="3">
        <f>COUNTIF(Coaching!I1:I9921,Tabel1[[#This Row],[Teamcoach]])</f>
        <v>8</v>
      </c>
      <c r="B2" s="3" t="s">
        <v>202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204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>
      <c r="E6" t="s">
        <v>181</v>
      </c>
      <c r="F6" t="s">
        <v>113</v>
      </c>
      <c r="G6" t="s">
        <v>63</v>
      </c>
      <c r="H6" t="s">
        <v>54</v>
      </c>
    </row>
    <row r="7" spans="1:9">
      <c r="E7" t="s">
        <v>144</v>
      </c>
      <c r="G7" t="s">
        <v>170</v>
      </c>
      <c r="H7" t="s">
        <v>47</v>
      </c>
    </row>
    <row r="8" spans="1:9">
      <c r="E8" t="s">
        <v>46</v>
      </c>
      <c r="G8" t="s">
        <v>189</v>
      </c>
    </row>
    <row r="9" spans="1:9">
      <c r="E9" t="s">
        <v>146</v>
      </c>
      <c r="G9" t="s">
        <v>84</v>
      </c>
    </row>
    <row r="10" spans="1:9">
      <c r="E10" t="s">
        <v>222</v>
      </c>
      <c r="G10" t="s">
        <v>148</v>
      </c>
    </row>
    <row r="11" spans="1:9">
      <c r="E11" t="s">
        <v>102</v>
      </c>
      <c r="G11" t="s">
        <v>223</v>
      </c>
    </row>
    <row r="12" spans="1:9">
      <c r="E12" t="s">
        <v>98</v>
      </c>
      <c r="G12" t="s">
        <v>182</v>
      </c>
    </row>
    <row r="13" spans="1:9">
      <c r="E13" t="s">
        <v>224</v>
      </c>
      <c r="G13" t="s">
        <v>184</v>
      </c>
    </row>
    <row r="14" spans="1:9">
      <c r="E14" t="s">
        <v>51</v>
      </c>
      <c r="G14" t="s">
        <v>225</v>
      </c>
    </row>
    <row r="15" spans="1:9">
      <c r="E15" t="s">
        <v>91</v>
      </c>
      <c r="G15" t="s">
        <v>113</v>
      </c>
    </row>
    <row r="16" spans="1:9">
      <c r="E16" t="s">
        <v>126</v>
      </c>
    </row>
    <row r="17" spans="5:5">
      <c r="E17" t="s">
        <v>140</v>
      </c>
    </row>
    <row r="18" spans="5:5">
      <c r="E18" t="s">
        <v>111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