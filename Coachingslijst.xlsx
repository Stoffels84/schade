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16" documentId="13_ncr:1_{51182797-F005-4DB1-88AE-A2BD37A2289A}" xr6:coauthVersionLast="47" xr6:coauthVersionMax="47" xr10:uidLastSave="{87090174-38DF-40A9-840C-B712A8FECA17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6" l="1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<sst xmlns="http://schemas.openxmlformats.org/spreadsheetml/2006/main" count="4508" uniqueCount="1186">
  <si>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</si>
  <si>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</si>
  <si>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</si>
  <si>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</si>
  <si>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</si>
  <si>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</si>
  <si>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</si>
  <si>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</si>
  <si>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</si>
  <si>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</si>
  <si>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</si>
  <si>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</si>
  <si>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</si>
  <si>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</si>
  <si>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</si>
  <si>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</si>
  <si>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</si>
  <si>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</si>
  <si>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</si>
  <si>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</si>
  <si>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</si>
  <si>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</si>
  <si>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</si>
  <si>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</si>
  <si>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</si>
  <si>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</si>
  <si>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</si>
  <si>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</si>
  <si>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</si>
  <si>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</si>
  <si>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</si>
  <si>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</si>
  <si>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</si>
  <si>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</si>
  <si>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</si>
  <si>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</si>
  <si>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</si>
  <si>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</si>
  <si>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</si>
  <si>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</si>
  <si>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</si>
  <si>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</si>
  <si>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</si>
  <si>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</si>
  <si>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</si>
  <si>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</si>
  <si>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</si>
  <si>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</si>
  <si>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</si>
  <si>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</si>
  <si>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</si>
  <si>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</si>
  <si>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</si>
  <si>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</si>
  <si>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</si>
  <si>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</si>
  <si>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</si>
  <si>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</si>
  <si>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</si>
  <si>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</si>
  <si>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</si>
  <si>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</si>
  <si>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</si>
  <si>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</si>
  <si>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</si>
  <si>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</si>
  <si>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</si>
  <si>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</si>
  <si>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</si>
  <si>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</si>
  <si>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</si>
  <si>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</si>
  <si>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</si>
  <si>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</si>
  <si>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</si>
  <si>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</si>
  <si>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</si>
  <si>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</si>
  <si>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</si>
  <si>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</si>
  <si>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</si>
  <si>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</si>
  <si>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</si>
  <si>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</si>
  <si>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</si>
  <si>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</si>
  <si>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</si>
  <si>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</si>
  <si>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</si>
  <si>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</si>
  <si>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</si>
  <si>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</si>
  <si>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</si>
  <si>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</si>
  <si>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</si>
  <si>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</si>
  <si>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</si>
  <si>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</si>
  <si>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</si>
  <si>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</si>
  <si>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</si>
  <si>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</si>
  <si>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</si>
  <si>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</si>
  <si>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</si>
  <si>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</si>
  <si>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</si>
  <si>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</si>
  <si>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</si>
  <si>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</si>
  <si>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</si>
  <si>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</si>
  <si>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</si>
  <si>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</si>
  <si>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</si>
  <si>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</si>
  <si>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</si>
  <si>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</si>
  <si>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</si>
  <si>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</si>
  <si>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</si>
  <si>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</si>
  <si>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</si>
  <si>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</si>
  <si>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</si>
  <si>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</si>
  <si>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</si>
  <si>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</si>
  <si>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</si>
  <si>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</si>
  <si>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</si>
  <si>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</si>
  <si>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</si>
  <si>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</si>
  <si>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</si>
  <si>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</si>
  <si>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</si>
  <si>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</si>
  <si>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</si>
  <si>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</si>
  <si>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</si>
  <si>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</si>
  <si>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</si>
  <si>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</si>
  <si>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</si>
  <si>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</si>
  <si>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</si>
  <si>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</si>
  <si>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</si>
  <si>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</si>
  <si>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</si>
  <si>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</si>
  <si>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</si>
  <si>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</si>
  <si>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</si>
  <si>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</si>
  <si>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</si>
  <si>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</si>
  <si>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</si>
  <si>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</si>
  <si>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</si>
  <si>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</si>
  <si>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</si>
  <si>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</si>
  <si>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</si>
  <si>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</si>
  <si>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</si>
  <si>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</si>
  <si>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</si>
  <si>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</si>
  <si>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</si>
  <si>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</si>
  <si>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</si>
  <si>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</si>
  <si>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</si>
  <si>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</si>
  <si>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</si>
  <si>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</si>
  <si>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</si>
  <si>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</si>
  <si>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</si>
  <si>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</si>
  <si>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</si>
  <si>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</si>
  <si>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</si>
  <si>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</si>
  <si>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</si>
  <si>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</si>
  <si>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</si>
  <si>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</si>
  <si>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</si>
  <si>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</si>
  <si>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</si>
  <si>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</si>
  <si>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</si>
  <si>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</si>
  <si>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</si>
  <si>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</si>
  <si>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</si>
  <si>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</si>
  <si>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</si>
  <si>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</si>
  <si>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</si>
  <si>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</si>
  <si>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</si>
  <si>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</si>
  <si>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</si>
  <si>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</si>
  <si>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</si>
  <si>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</si>
  <si>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</si>
  <si>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</si>
  <si>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</si>
  <si>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</si>
  <si>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</si>
  <si>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</si>
  <si>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</si>
  <si>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</si>
  <si>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</si>
  <si>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</si>
  <si>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</si>
  <si>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</si>
  <si>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</si>
  <si>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</si>
  <si>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</si>
  <si>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</si>
  <si>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</si>
  <si>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</si>
  <si>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</si>
  <si>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</si>
  <si>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</si>
  <si>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</si>
  <si>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</si>
  <si>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</si>
  <si>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</si>
  <si>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</si>
  <si>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</si>
  <si>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</si>
  <si>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</si>
  <si>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</si>
  <si>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</si>
  <si>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</si>
  <si>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</si>
  <si>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</si>
  <si>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</si>
  <si>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</si>
  <si>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</si>
  <si>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</si>
  <si>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</si>
  <si>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</si>
  <si>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</si>
  <si>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</si>
  <si>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</si>
  <si>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</si>
  <si>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</si>
  <si>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</si>
  <si>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</si>
  <si>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</si>
  <si>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</si>
  <si>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</si>
  <si>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</si>
  <si>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</si>
  <si>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</si>
  <si>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</si>
  <si>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</si>
  <si>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</si>
  <si>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</si>
  <si>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</si>
  <si>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</si>
  <si>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</si>
  <si>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</si>
  <si>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</si>
  <si>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</si>
  <si>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</si>
  <si>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</si>
  <si>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</si>
  <si>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</si>
  <si>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</si>
  <si>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</si>
  <si>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</si>
  <si>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</si>
  <si>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</si>
  <si>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</si>
  <si>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</si>
  <si>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</si>
  <si>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</si>
  <si>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</si>
  <si>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</si>
  <si>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</si>
  <si>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</si>
  <si>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</si>
  <si>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</si>
  <si>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</si>
  <si>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</si>
  <si>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</si>
  <si>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</si>
  <si>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</si>
  <si>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</si>
  <si>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</si>
  <si>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</si>
  <si>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</si>
  <si>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</si>
  <si>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</si>
  <si>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</si>
  <si>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</si>
  <si>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</si>
  <si>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</si>
  <si>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</si>
  <si>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</si>
  <si>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</si>
  <si>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</si>
  <si>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</si>
  <si>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</si>
  <si>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</si>
  <si>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</si>
  <si>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</si>
  <si>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</si>
  <si>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</si>
  <si>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</si>
  <si>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</si>
  <si>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</si>
  <si>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</si>
  <si>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</si>
  <si>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</si>
  <si>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</si>
  <si>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</si>
  <si>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</si>
  <si>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</si>
  <si>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</si>
  <si>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</si>
  <si>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</si>
  <si>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</si>
  <si>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</si>
  <si>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</si>
  <si>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</si>
  <si>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</si>
  <si>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</si>
  <si>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</si>
  <si>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</si>
  <si>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</si>
  <si>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</si>
  <si>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</si>
  <si>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</si>
  <si>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</si>
  <si>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</si>
  <si>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</si>
  <si>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</si>
  <si>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</si>
  <si>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</si>
  <si>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</si>
  <si>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</si>
  <si>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</si>
  <si>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</si>
  <si>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</si>
  <si>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</si>
  <si>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</si>
  <si>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</si>
  <si>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</si>
  <si>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</si>
  <si>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</si>
  <si>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</si>
  <si>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</si>
  <si>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</si>
  <si>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</si>
  <si>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</si>
  <si>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</si>
  <si>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</si>
  <si>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</si>
  <si>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</si>
  <si>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</si>
  <si>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</si>
  <si>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</si>
  <si>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</si>
  <si>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</si>
  <si>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</si>
  <si>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</si>
  <si>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</si>
  <si>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</si>
  <si>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</si>
  <si>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</si>
  <si>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</si>
  <si>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</si>
  <si>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</si>
  <si>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</si>
  <si>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</si>
  <si>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</si>
  <si>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</si>
  <si>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</si>
  <si>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</si>
  <si>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</si>
  <si>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</si>
  <si>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</si>
  <si>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</si>
  <si>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</si>
  <si>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</si>
  <si>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</si>
  <si>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</si>
  <si>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</si>
  <si>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</si>
  <si>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</si>
  <si>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</si>
  <si>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</si>
  <si>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</si>
  <si>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</si>
  <si>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</si>
  <si>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</si>
  <si>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</si>
  <si>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</si>
  <si>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</si>
  <si>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</si>
  <si>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</si>
  <si>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</si>
  <si>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</si>
  <si>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</si>
  <si>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</si>
  <si>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</si>
  <si>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</si>
  <si>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</si>
  <si>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</si>
  <si>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</si>
  <si>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</si>
  <si>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</si>
  <si>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</si>
  <si>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</si>
  <si>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</si>
  <si>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</si>
  <si>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</si>
  <si>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</si>
  <si>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</si>
  <si>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</si>
  <si>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</si>
  <si>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</si>
  <si>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</si>
  <si>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</si>
  <si>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</si>
  <si>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</si>
  <si>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</si>
  <si>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</si>
  <si>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</si>
  <si>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</si>
  <si>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</si>
  <si>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</si>
  <si>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</si>
  <si>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</si>
  <si>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</si>
  <si>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</si>
  <si>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</si>
  <si>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</si>
  <si>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</si>
  <si>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</si>
  <si>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</si>
  <si>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</si>
  <si>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</si>
  <si>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</si>
  <si>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</si>
  <si>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</si>
  <si>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</si>
  <si>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</si>
  <si>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</si>
  <si>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</si>
  <si>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</si>
  <si>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</si>
  <si>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</si>
  <si>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</si>
  <si>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</si>
  <si>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</si>
  <si>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</si>
  <si>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</si>
  <si>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</si>
  <si>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</si>
  <si>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</si>
  <si>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</si>
  <si>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</si>
  <si>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</si>
  <si>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</si>
  <si>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</si>
  <si>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</si>
  <si>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</si>
  <si>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</si>
  <si>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</si>
  <si>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</si>
  <si>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</si>
  <si>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</si>
  <si>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</si>
  <si>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</si>
  <si>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</si>
  <si>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</si>
  <si>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</si>
  <si>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</si>
  <si>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</si>
  <si>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</si>
  <si>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</si>
  <si>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</si>
  <si>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</si>
  <si>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</si>
  <si>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</si>
  <si>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</si>
  <si>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</si>
  <si>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</si>
  <si>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</si>
  <si>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</si>
  <si>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</si>
  <si>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</si>
  <si>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</si>
  <si>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</si>
  <si>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</si>
  <si>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</si>
  <si>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</si>
  <si>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</si>
  <si>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</si>
  <si>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</si>
  <si>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</si>
  <si>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</si>
  <si>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</si>
  <si>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</si>
  <si>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</si>
  <si>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</si>
  <si>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</si>
  <si>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</si>
  <si>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</si>
  <si>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</si>
  <si>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</si>
  <si>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</si>
  <si>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</si>
  <si>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</si>
  <si>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</si>
  <si>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</si>
  <si>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</si>
  <si>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</si>
  <si>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</si>
  <si>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</si>
  <si>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</si>
  <si>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</si>
  <si>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</si>
  <si>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</si>
  <si>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</si>
  <si>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</si>
  <si>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</si>
  <si>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</si>
  <si>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</si>
  <si>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</si>
  <si>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</si>
  <si>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</si>
  <si>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</si>
  <si>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</si>
  <si>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</si>
  <si>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</si>
  <si>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</si>
  <si>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</si>
  <si>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</si>
  <si>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</si>
  <si>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</si>
  <si>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</si>
  <si>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</si>
  <si>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</si>
  <si>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</si>
  <si>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</si>
  <si>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</si>
  <si>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</si>
  <si>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</si>
  <si>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</si>
  <si>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</si>
  <si>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</si>
  <si>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</si>
  <si>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</si>
  <si>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</si>
  <si>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</si>
  <si>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</si>
  <si>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</si>
  <si>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</si>
  <si>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</si>
  <si>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</si>
  <si>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</si>
  <si>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</si>
  <si>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</si>
  <si>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</si>
  <si>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</si>
  <si>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</si>
  <si>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</si>
  <si>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</si>
  <si>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</si>
  <si>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</si>
  <si>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</si>
  <si>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</si>
  <si>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</si>
  <si>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</si>
  <si>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</si>
  <si>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</si>
  <si>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</si>
  <si>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</si>
  <si>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</si>
  <si>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</si>
  <si>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</si>
  <si>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</si>
  <si>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</si>
  <si>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</si>
  <si>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</si>
  <si>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</si>
  <si>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</si>
  <si>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</si>
  <si>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</si>
  <si>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</si>
  <si>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</si>
  <si>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</si>
  <si>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</si>
  <si>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</si>
  <si>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</si>
  <si>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</si>
  <si>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</si>
  <si>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</si>
  <si>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</si>
  <si>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</si>
  <si>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</si>
  <si>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</si>
  <si>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</si>
  <si>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</si>
  <si>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</si>
  <si>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</si>
  <si>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</si>
  <si>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</si>
  <si>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</si>
  <si>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</si>
  <si>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</si>
  <si>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</si>
  <si>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</si>
  <si>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</si>
  <si>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</si>
  <si>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</si>
  <si>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</si>
  <si>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</si>
  <si>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</si>
  <si>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</si>
  <si>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</si>
  <si>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</si>
  <si>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</si>
  <si>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</si>
  <si>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</si>
  <si>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</si>
  <si>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</si>
  <si>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</si>
  <si>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</si>
  <si>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</si>
  <si>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</si>
  <si>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</si>
  <si>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</si>
  <si>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</si>
  <si>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</si>
  <si>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</si>
  <si>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</si>
  <si>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</si>
  <si>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</si>
  <si>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</si>
  <si>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</si>
  <si>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</si>
  <si>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</si>
  <si>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</si>
  <si>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</si>
  <si>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</si>
  <si>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</si>
  <si>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</si>
  <si>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</si>
  <si>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</si>
  <si>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</si>
  <si>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</si>
  <si>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</si>
  <si>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</si>
  <si>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</si>
  <si>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</si>
  <si>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</si>
  <si>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</si>
  <si>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</si>
  <si>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</si>
  <si>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</si>
  <si>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</si>
  <si>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</si>
  <si>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</si>
  <si>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</si>
  <si>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</si>
  <si>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</si>
  <si>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</si>
  <si>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</si>
  <si>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</si>
  <si>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</si>
  <si>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</si>
  <si>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</si>
  <si>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</si>
  <si>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</si>
  <si>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</si>
  <si>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</si>
  <si>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</si>
  <si>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</si>
  <si>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</si>
  <si>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</si>
  <si>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</si>
  <si>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</si>
  <si>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</si>
  <si>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</si>
  <si>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</si>
  <si>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</si>
  <si>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</si>
  <si>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</si>
  <si>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</si>
  <si>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</si>
  <si>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</si>
  <si>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</si>
  <si>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</si>
  <si>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</si>
  <si>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</si>
  <si>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</si>
  <si>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</si>
  <si>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</si>
  <si>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</si>
  <si>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</si>
  <si>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</si>
  <si>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</si>
  <si>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</si>
  <si>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</si>
  <si>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</si>
  <si>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</si>
  <si>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</si>
  <si>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</si>
  <si>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</si>
  <si>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</si>
  <si>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</si>
  <si>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</si>
  <si>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</si>
  <si>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</si>
  <si>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</si>
  <si>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</si>
  <si>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</si>
  <si>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</si>
  <si>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</si>
  <si>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</si>
  <si>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</si>
  <si>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</si>
  <si>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</si>
  <si>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</si>
  <si>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</si>
  <si>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</si>
  <si>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</si>
  <si>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</si>
  <si>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</si>
  <si>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</si>
  <si>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</si>
  <si>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</si>
  <si>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</si>
  <si>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</si>
  <si>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</si>
  <si>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</si>
  <si>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</si>
  <si>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</si>
  <si>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</si>
  <si>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</si>
  <si>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</si>
  <si>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</si>
  <si>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</si>
  <si>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</si>
  <si>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</si>
  <si>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</si>
  <si>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</si>
  <si>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</si>
  <si>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</si>
  <si>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</si>
  <si>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</si>
  <si>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</si>
  <si>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</si>
  <si>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</si>
  <si>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</si>
  <si>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</si>
  <si>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</si>
  <si>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</si>
  <si>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</si>
  <si>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</si>
  <si>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</si>
  <si>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</si>
  <si>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</si>
  <si>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</si>
  <si>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</si>
  <si>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</si>
  <si>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</si>
  <si>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</si>
  <si>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</si>
  <si>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</si>
  <si>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</si>
  <si>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</si>
  <si>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</si>
  <si>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</si>
  <si>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</si>
  <si>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</si>
  <si>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</si>
  <si>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</si>
  <si>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</si>
  <si>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</si>
  <si>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</si>
  <si>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</si>
  <si>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</si>
  <si>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</si>
  <si>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</si>
  <si>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</si>
  <si>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</si>
  <si>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</si>
  <si>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</si>
  <si>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</si>
  <si>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</si>
  <si>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</si>
  <si>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</si>
  <si>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</si>
  <si>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</si>
  <si>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</si>
  <si>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</si>
  <si>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</si>
  <si>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</si>
  <si>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</si>
  <si>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</si>
  <si>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</si>
  <si>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</si>
  <si>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</si>
  <si>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</si>
  <si>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</si>
  <si>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</si>
  <si>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</si>
  <si>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</si>
  <si>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</si>
  <si>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</si>
  <si>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</si>
  <si>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</si>
  <si>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</si>
  <si>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</si>
  <si>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</si>
  <si>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</si>
  <si>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</si>
  <si>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</si>
  <si>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</si>
  <si>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</si>
  <si>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</si>
  <si>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</si>
  <si>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</si>
  <si>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</si>
  <si>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</si>
  <si>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</si>
  <si>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</si>
  <si>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</si>
  <si>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</si>
  <si>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</si>
  <si>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</si>
  <si>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</si>
  <si>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</si>
  <si>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</si>
  <si>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</si>
  <si>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</si>
  <si>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</si>
  <si>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</si>
  <si>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</si>
  <si>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</si>
  <si>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</si>
  <si>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</si>
  <si>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</si>
  <si>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</si>
  <si>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</si>
  <si>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</si>
  <si>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</si>
  <si>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</si>
  <si>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</si>
  <si>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</si>
  <si>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</si>
  <si>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</si>
  <si>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</si>
  <si>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</si>
  <si>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</si>
  <si>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</si>
  <si>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</si>
  <si>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</si>
  <si>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</si>
  <si>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</si>
  <si>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</si>
  <si>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</si>
  <si>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</si>
  <si>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</si>
  <si>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</si>
  <si>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</si>
  <si>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</si>
  <si>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</si>
  <si>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</si>
  <si>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</si>
  <si>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</si>
  <si>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</si>
  <si>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</si>
  <si>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</si>
  <si>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</si>
  <si>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</si>
  <si>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</si>
  <si>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</si>
  <si>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</si>
  <si>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</si>
  <si>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</si>
  <si>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</si>
  <si>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</si>
  <si>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</si>
  <si>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</si>
  <si>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</si>
  <si>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</si>
  <si>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</si>
  <si>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</si>
  <si>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</si>
  <si>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</si>
  <si>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</si>
  <si>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</si>
  <si>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</si>
  <si>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</si>
  <si>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</si>
  <si>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</si>
  <si>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</si>
  <si>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</si>
  <si>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</si>
  <si>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</si>
  <si>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</si>
  <si>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</si>
  <si>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</si>
  <si>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</si>
  <si>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</si>
  <si>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</si>
  <si>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</si>
  <si>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</si>
  <si>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</si>
  <si>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</si>
  <si>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</si>
  <si>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</si>
  <si>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</si>
  <si>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</si>
  <si>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</si>
  <si>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</si>
  <si>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</si>
  <si>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</si>
  <si>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</si>
  <si>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</si>
  <si>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</si>
  <si>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</si>
  <si>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</si>
  <si>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</si>
  <si>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</si>
  <si>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</si>
  <si>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</si>
  <si>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</si>
  <si>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</si>
  <si>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</si>
  <si>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</si>
  <si>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</si>
  <si>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</si>
  <si>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</si>
  <si>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</si>
  <si>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</si>
  <si>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</si>
  <si>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</si>
  <si>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</si>
  <si>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</si>
  <si>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</si>
  <si>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</si>
  <si>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</si>
  <si>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</si>
  <si>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</si>
  <si>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</si>
  <si>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</si>
  <si>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</si>
  <si>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</si>
  <si>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</si>
  <si>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</si>
  <si>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</si>
  <si>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</si>
  <si>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</si>
  <si>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</si>
  <si>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</si>
  <si>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</si>
  <si>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</si>
  <si>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</si>
  <si>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</si>
  <si>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</si>
  <si>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</si>
  <si>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</si>
  <si>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</si>
  <si>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</si>
  <si>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</si>
  <si>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</si>
  <si>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</si>
  <si>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</si>
  <si>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</si>
  <si>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</si>
  <si>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</si>
  <si>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</si>
  <si>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</si>
  <si>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</si>
  <si>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</si>
  <si>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</si>
  <si>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</si>
  <si>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</si>
  <si>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</si>
  <si>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</si>
  <si>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</si>
  <si>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</si>
  <si>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</si>
  <si>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</si>
  <si>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</si>
  <si>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</si>
  <si>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</si>
  <si>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</si>
  <si>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</si>
  <si>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</si>
  <si>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</si>
  <si>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</si>
  <si>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</si>
  <si>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</si>
  <si>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</si>
  <si>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</si>
  <si>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</si>
  <si>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</si>
  <si>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</si>
  <si>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</si>
  <si>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</si>
  <si>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</si>
  <si>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</si>
  <si>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</si>
  <si>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</si>
  <si>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</si>
  <si>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</si>
  <si>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</si>
  <si>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</si>
  <si>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</si>
  <si>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</si>
  <si>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</si>
  <si>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</si>
  <si>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</si>
  <si>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</si>
  <si>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</si>
  <si>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</si>
  <si>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</si>
  <si>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</si>
  <si>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</si>
  <si>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</si>
  <si>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</si>
  <si>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</si>
  <si>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</si>
  <si>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</si>
  <si>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</si>
  <si>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</si>
  <si>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</si>
  <si>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</si>
  <si>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</si>
  <si>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</si>
  <si>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</si>
  <si>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</si>
  <si>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</si>
  <si>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</si>
  <si>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</si>
  <si>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</si>
  <si>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</si>
  <si>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</si>
  <si>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</si>
  <si>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</si>
  <si>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</si>
  <si>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</si>
  <si>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</si>
  <si>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</si>
  <si>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</si>
  <si>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</si>
  <si>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</si>
  <si>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</si>
  <si>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</si>
  <si>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</si>
  <si>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</si>
  <si>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</si>
  <si>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</si>
  <si>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</si>
  <si>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</si>
  <si>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</si>
  <si>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</si>
  <si>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</si>
  <si>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</si>
  <si>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</si>
  <si>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</si>
  <si>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</si>
  <si>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</si>
  <si>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</si>
  <si>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</si>
  <si>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</si>
  <si>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</si>
  <si>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</si>
  <si>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</si>
  <si>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</si>
  <si>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</si>
  <si>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</si>
  <si>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</si>
  <si>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</si>
  <si>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</si>
  <si>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</si>
  <si>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</si>
  <si>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</si>
  <si>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</si>
  <si>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</si>
  <si>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</si>
  <si>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</si>
  <si>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</si>
  <si>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</si>
  <si>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</si>
  <si>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</si>
  <si>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</si>
  <si>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</si>
  <si>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</si>
  <si>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</si>
  <si>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</si>
  <si>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</si>
  <si>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</si>
  <si>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</si>
  <si>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</si>
  <si>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</si>
  <si>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</si>
  <si>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</si>
  <si>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</si>
  <si>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</si>
  <si>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</si>
  <si>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</si>
  <si>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</si>
  <si>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</si>
  <si>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</si>
  <si>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</si>
  <si>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</si>
  <si>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</si>
  <si>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</si>
  <si>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</si>
  <si>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</si>
  <si>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</si>
  <si>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</si>
  <si>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</si>
  <si>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</si>
  <si>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</si>
  <si>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</si>
  <si>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</si>
  <si>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</si>
  <si>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</si>
  <si>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</si>
  <si>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</si>
  <si>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</si>
  <si>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</si>
  <si>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</si>
  <si>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</si>
  <si>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</si>
  <si>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</si>
  <si>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</si>
  <si>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</si>
  <si>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</si>
  <si>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</si>
  <si>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</si>
  <si>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</si>
  <si>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</si>
  <si>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</si>
  <si>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</si>
  <si>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</si>
  <si>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</si>
  <si>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</si>
  <si>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</si>
  <si>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</si>
  <si>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</si>
  <si>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</si>
  <si>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</si>
  <si>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</si>
  <si>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</si>
  <si>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</si>
  <si>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</si>
  <si>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</si>
  <si>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</si>
  <si>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</si>
  <si>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</si>
  <si>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</si>
  <si>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</si>
  <si>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</si>
  <si>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</si>
  <si>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</si>
  <si>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</si>
  <si>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</si>
  <si>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</si>
  <si>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</si>
  <si>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</si>
  <si>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</si>
  <si>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</si>
  <si>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</si>
  <si>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</si>
  <si>
    <t>g</t>
  </si>
  <si>
    <t>Gok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</si>
</sst>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applyFill="1"/>
    <xf numFmtId="0" fontId="7" fillId="8" borderId="0" xfId="0" applyFont="1" applyFill="1" applyAlignment="1">
      <alignment horizontal="center" vertical="center"/>
    </xf>
    <xf numFmtId="0" fontId="0" fillId="0" borderId="0" xfId="0" applyNumberFormat="1"/>
  </cellXfs>
  <cellStyles count="1">
    <cellStyle name="Standaard" xfId="0" builtinId="0"/>
  </cellStyles>
  <dxfs count="62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49" tableBorderDxfId="4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7"/>
    <tableColumn id="3" xr3:uid="{52A951B9-B59E-44E6-8A45-E1DDDAE59F2B}" name="P-nr" dataDxfId="46"/>
    <tableColumn id="4" xr3:uid="{BD9BF6D0-9641-488E-9B97-616DB79C04E7}" name="Naam" dataDxfId="45">
      <calculatedColumnFormula>VLOOKUP(Tabel3[[#This Row],[P-nr]],'data Chauffeur'!A:F,2,FALSE)</calculatedColumnFormula>
    </tableColumn>
    <tableColumn id="5" xr3:uid="{73FB442E-689C-47F2-A972-8C747CA4D1FE}" name="Voornaam" dataDxfId="44">
      <calculatedColumnFormula>VLOOKUP(Tabel3[[#This Row],[P-nr]],'data Chauffeur'!A:F,3,FALSE)</calculatedColumnFormula>
    </tableColumn>
    <tableColumn id="19" xr3:uid="{0E7C4C2C-8FAF-4AF8-B74A-A795E82D70BF}" name="volledige naam" dataDxfId="4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2">
      <calculatedColumnFormula>VLOOKUP(Tabel3[[#This Row],[P-nr]],'data Chauffeur'!A:F,6)</calculatedColumnFormula>
    </tableColumn>
    <tableColumn id="7" xr3:uid="{2B5863C0-7E79-493F-9444-D5813C7509BD}" name="Teamcoach" dataDxfId="4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0"/>
    <tableColumn id="10" xr3:uid="{FD8BD468-4F49-4A26-BDC9-C5D447E8B706}" name="Bus/Tram" dataDxfId="39"/>
    <tableColumn id="11" xr3:uid="{765E0419-27CF-4DAE-B015-F02637B854A5}" name="Instructeur" dataDxfId="38"/>
    <tableColumn id="12" xr3:uid="{7EA98E72-E042-4EC4-B413-6AE982845CBC}" name="Datum coaching" dataDxfId="37"/>
    <tableColumn id="13" xr3:uid="{E8F2DBEE-8058-4D04-9096-2337D0AACDE1}" name="Werkpunten 1" dataDxfId="3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5" tableBorderDxfId="34">
  <autoFilter ref="A1:B9" xr:uid="{5069B2ED-DA4E-49BE-95FC-145C55EFE18A}"/>
  <tableColumns count="2">
    <tableColumn id="1" xr3:uid="{E1CCD3C9-4705-4AD5-BC57-858AF9DED01A}" name="Ingepland" dataDxfId="33">
      <calculatedColumnFormula>COUNTIF(Coaching!#REF!,B2)</calculatedColumnFormula>
    </tableColumn>
    <tableColumn id="2" xr3:uid="{7123B93F-DC90-4741-9407-C3AA2A7BE734}" name="Teamcoach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1">
      <calculatedColumnFormula>COUNTIF('Voltooide coachings'!G:G,Tabel1[[#This Row],[Teamcoach]])</calculatedColumnFormula>
    </tableColumn>
    <tableColumn id="2" xr3:uid="{E5C53CA5-6DE4-400B-937E-6E61F5467E68}" name="teamcoach" dataDxfId="3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F70" zoomScale="112" zoomScaleNormal="112" workbookViewId="0">
      <selection activeCell="L82" sqref="L82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4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4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4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4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4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4" x14ac:dyDescent="0.3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48</v>
      </c>
      <c r="L41" s="2" t="s">
        <v>38</v>
      </c>
      <c r="N41" s="11"/>
    </row>
    <row r="42" spans="1:14" x14ac:dyDescent="0.3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 x14ac:dyDescent="0.3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39</v>
      </c>
      <c r="N43" s="11"/>
    </row>
    <row r="44" spans="1:14" x14ac:dyDescent="0.3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39</v>
      </c>
      <c r="N44" s="11"/>
    </row>
    <row r="45" spans="1:14" x14ac:dyDescent="0.3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43</v>
      </c>
      <c r="L45" s="2" t="s">
        <v>38</v>
      </c>
    </row>
    <row r="46" spans="1:14" x14ac:dyDescent="0.3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49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39</v>
      </c>
    </row>
    <row r="47" spans="1:14" x14ac:dyDescent="0.3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39</v>
      </c>
      <c r="L47" s="2" t="s">
        <v>11</v>
      </c>
    </row>
    <row r="48" spans="1:14" x14ac:dyDescent="0.3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39</v>
      </c>
    </row>
    <row r="49" spans="3:14" x14ac:dyDescent="0.3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49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39</v>
      </c>
      <c r="N49" s="11"/>
    </row>
    <row r="50" spans="3:14" x14ac:dyDescent="0.3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39</v>
      </c>
    </row>
    <row r="51" spans="3:14" x14ac:dyDescent="0.3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39</v>
      </c>
    </row>
    <row r="52" spans="3:14" x14ac:dyDescent="0.3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39</v>
      </c>
    </row>
    <row r="53" spans="3:14" x14ac:dyDescent="0.3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39</v>
      </c>
    </row>
    <row r="54" spans="3:14" x14ac:dyDescent="0.3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39</v>
      </c>
    </row>
    <row r="55" spans="3:14" x14ac:dyDescent="0.3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39</v>
      </c>
    </row>
    <row r="56" spans="3:14" x14ac:dyDescent="0.3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39</v>
      </c>
    </row>
    <row r="57" spans="3:14" x14ac:dyDescent="0.3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39</v>
      </c>
    </row>
    <row r="58" spans="3:14" x14ac:dyDescent="0.3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49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39</v>
      </c>
    </row>
    <row r="59" spans="3:14" x14ac:dyDescent="0.3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4" x14ac:dyDescent="0.3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49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39</v>
      </c>
    </row>
    <row r="61" spans="3:14" x14ac:dyDescent="0.3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49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39</v>
      </c>
    </row>
    <row r="62" spans="3:14" x14ac:dyDescent="0.3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49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39</v>
      </c>
    </row>
    <row r="63" spans="3:14" x14ac:dyDescent="0.3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39</v>
      </c>
    </row>
    <row r="64" spans="3:14" x14ac:dyDescent="0.3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49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39</v>
      </c>
    </row>
    <row r="65" spans="1:18" x14ac:dyDescent="0.3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49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39</v>
      </c>
    </row>
    <row r="66" spans="1:18" x14ac:dyDescent="0.3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49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39</v>
      </c>
    </row>
    <row r="67" spans="1:18" x14ac:dyDescent="0.3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49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39</v>
      </c>
    </row>
    <row r="68" spans="1:18" ht="57.6" x14ac:dyDescent="0.3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49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50</v>
      </c>
      <c r="L68" s="2" t="s">
        <v>38</v>
      </c>
    </row>
    <row r="69" spans="1:18" ht="28.8" x14ac:dyDescent="0.3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49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1183</v>
      </c>
      <c r="L69" s="2" t="s">
        <v>23</v>
      </c>
    </row>
    <row r="70" spans="1:18" x14ac:dyDescent="0.3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39</v>
      </c>
    </row>
    <row r="71" spans="1:18" x14ac:dyDescent="0.3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49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39</v>
      </c>
    </row>
    <row r="72" spans="1:18" x14ac:dyDescent="0.3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49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39</v>
      </c>
    </row>
    <row r="73" spans="1:18" x14ac:dyDescent="0.3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39</v>
      </c>
    </row>
    <row r="74" spans="1:18" x14ac:dyDescent="0.3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49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39</v>
      </c>
    </row>
    <row r="75" spans="1:18" x14ac:dyDescent="0.3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51</v>
      </c>
      <c r="N75" s="11"/>
    </row>
    <row r="76" spans="1:18" x14ac:dyDescent="0.3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49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 x14ac:dyDescent="0.3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49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8" x14ac:dyDescent="0.3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1182</v>
      </c>
      <c r="N78" s="11"/>
    </row>
    <row r="79" spans="1:18" x14ac:dyDescent="0.3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49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138</v>
      </c>
      <c r="L79" s="2" t="s">
        <v>38</v>
      </c>
      <c r="M79" t="s">
        <v>198</v>
      </c>
      <c r="N79" s="11">
        <v>45965</v>
      </c>
      <c r="O79" t="s">
        <v>65</v>
      </c>
      <c r="P79" t="s">
        <v>202</v>
      </c>
      <c r="Q79" t="s">
        <v>53</v>
      </c>
      <c r="R79" t="s">
        <v>54</v>
      </c>
    </row>
    <row r="80" spans="1:18" x14ac:dyDescent="0.3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49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138</v>
      </c>
      <c r="L80" s="2" t="s">
        <v>23</v>
      </c>
      <c r="M80" t="s">
        <v>198</v>
      </c>
      <c r="N80" s="11">
        <v>45965</v>
      </c>
      <c r="O80" t="s">
        <v>56</v>
      </c>
      <c r="Q80" t="s">
        <v>36</v>
      </c>
      <c r="R80" t="s">
        <v>31</v>
      </c>
    </row>
    <row r="81" spans="4:17" x14ac:dyDescent="0.3">
      <c r="D81" s="53">
        <v>24472</v>
      </c>
      <c r="E81" s="55" t="s">
        <v>616</v>
      </c>
      <c r="F81" s="55" t="s">
        <v>1185</v>
      </c>
      <c r="G81" s="55" t="str">
        <f>_xlfn.CONCAT(Tabel2[[#This Row],[P-nr]]," ",Tabel2[[#This Row],[Naam]]," ",Tabel2[[#This Row],[Voornaam]]," ",)</f>
        <v xml:space="preserve">24472 Davut Gok </v>
      </c>
      <c r="H81" s="55" t="s">
        <v>49</v>
      </c>
      <c r="I81" s="55"/>
      <c r="J81" s="55"/>
      <c r="K81" s="8" t="s">
        <v>138</v>
      </c>
      <c r="L81" s="2" t="s">
        <v>23</v>
      </c>
      <c r="M81" t="s">
        <v>198</v>
      </c>
      <c r="N81" s="11">
        <v>45965</v>
      </c>
      <c r="O81" t="s">
        <v>56</v>
      </c>
      <c r="Q81" t="s">
        <v>149</v>
      </c>
    </row>
  </sheetData>
  <phoneticPr fontId="3" type="noConversion"/>
  <conditionalFormatting sqref="A1:B1048576">
    <cfRule type="containsText" dxfId="29" priority="45" operator="containsText" text="ja">
      <formula>NOT(ISERROR(SEARCH("ja",A1)))</formula>
    </cfRule>
  </conditionalFormatting>
  <conditionalFormatting sqref="D6">
    <cfRule type="containsText" dxfId="28" priority="3" operator="containsText" text="ja">
      <formula>NOT(ISERROR(SEARCH("ja",D6)))</formula>
    </cfRule>
  </conditionalFormatting>
  <conditionalFormatting sqref="D80:D1048576 D7:D78 D1:D5">
    <cfRule type="duplicateValues" dxfId="27" priority="587"/>
  </conditionalFormatting>
  <conditionalFormatting sqref="Q1:Q1048576">
    <cfRule type="containsText" dxfId="26" priority="46" operator="containsText" text="zeer slecht">
      <formula>NOT(ISERROR(SEARCH("zeer slecht",Q1)))</formula>
    </cfRule>
    <cfRule type="containsText" dxfId="25" priority="47" operator="containsText" text="slecht">
      <formula>NOT(ISERROR(SEARCH("slecht",Q1)))</formula>
    </cfRule>
    <cfRule type="containsText" dxfId="24" priority="48" operator="containsText" text="onvoldoende">
      <formula>NOT(ISERROR(SEARCH("onvoldoende",Q1)))</formula>
    </cfRule>
    <cfRule type="containsText" dxfId="23" priority="49" operator="containsText" text="voldoende">
      <formula>NOT(ISERROR(SEARCH("voldoende",Q1)))</formula>
    </cfRule>
    <cfRule type="containsText" dxfId="22" priority="50" operator="containsText" text="goed">
      <formula>NOT(ISERROR(SEARCH("goed",Q1)))</formula>
    </cfRule>
    <cfRule type="containsText" dxfId="2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3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3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3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3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6" x14ac:dyDescent="0.3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3">
      <c r="A213" s="53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3">
      <c r="A214" s="53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3">
      <c r="A215" s="53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3">
      <c r="A216" s="53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N216" t="s">
        <v>1184</v>
      </c>
      <c r="O216" t="s">
        <v>84</v>
      </c>
      <c r="P216" t="s">
        <v>54</v>
      </c>
    </row>
    <row r="217" spans="1:18" x14ac:dyDescent="0.3">
      <c r="A217" s="53"/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 x14ac:dyDescent="0.3">
      <c r="A218" s="53"/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 x14ac:dyDescent="0.3">
      <c r="A219" s="53"/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 x14ac:dyDescent="0.3">
      <c r="A220" s="53"/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 x14ac:dyDescent="0.3">
      <c r="E221" s="30"/>
      <c r="F221" s="30"/>
      <c r="K221" s="30"/>
      <c r="L221" s="11"/>
    </row>
    <row r="222" spans="1:18" x14ac:dyDescent="0.3">
      <c r="E222" s="30"/>
      <c r="F222" s="30"/>
      <c r="K222" s="30"/>
      <c r="L222" s="11"/>
    </row>
    <row r="223" spans="1:18" x14ac:dyDescent="0.3">
      <c r="A223" s="39"/>
      <c r="B223" s="43"/>
      <c r="E223" s="30"/>
      <c r="F223" s="30"/>
      <c r="K223" s="30"/>
      <c r="M223" s="44"/>
    </row>
    <row r="224" spans="1:18" x14ac:dyDescent="0.3">
      <c r="A224" s="45"/>
      <c r="B224" s="43"/>
      <c r="E224" s="30"/>
      <c r="F224" s="30"/>
      <c r="K224" s="30"/>
      <c r="M224" s="44"/>
    </row>
    <row r="225" spans="1:16" x14ac:dyDescent="0.3">
      <c r="A225" s="11"/>
      <c r="B225" s="43"/>
      <c r="M225" s="44"/>
    </row>
    <row r="227" spans="1:16" x14ac:dyDescent="0.3">
      <c r="A227" s="54" t="s">
        <v>172</v>
      </c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</row>
    <row r="228" spans="1:16" x14ac:dyDescent="0.3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</row>
    <row r="229" spans="1:16" x14ac:dyDescent="0.3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</row>
    <row r="230" spans="1:16" x14ac:dyDescent="0.3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</row>
    <row r="231" spans="1:16" x14ac:dyDescent="0.3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</row>
  </sheetData>
  <mergeCells count="1">
    <mergeCell ref="A227:P231"/>
  </mergeCells>
  <phoneticPr fontId="3" type="noConversion"/>
  <conditionalFormatting sqref="A1:A227 A232:A1048576">
    <cfRule type="cellIs" dxfId="20" priority="344" operator="equal">
      <formula>"ja"</formula>
    </cfRule>
  </conditionalFormatting>
  <conditionalFormatting sqref="N208:N211">
    <cfRule type="cellIs" dxfId="19" priority="2" operator="equal">
      <formula>"zeer goed"</formula>
    </cfRule>
    <cfRule type="cellIs" dxfId="18" priority="3" operator="equal">
      <formula>"Goed"</formula>
    </cfRule>
    <cfRule type="cellIs" dxfId="17" priority="4" operator="equal">
      <formula>"onvoldoende"</formula>
    </cfRule>
    <cfRule type="cellIs" dxfId="16" priority="5" operator="equal">
      <formula>"slecht"</formula>
    </cfRule>
    <cfRule type="cellIs" dxfId="15" priority="6" operator="equal">
      <formula>"zeer slecht"</formula>
    </cfRule>
  </conditionalFormatting>
  <conditionalFormatting sqref="N208:N220">
    <cfRule type="duplicateValues" dxfId="14" priority="7"/>
  </conditionalFormatting>
  <conditionalFormatting sqref="N212:N220 O1:O197 O204:O226 O232:O1048576">
    <cfRule type="cellIs" dxfId="13" priority="723" operator="equal">
      <formula>"zeer goed"</formula>
    </cfRule>
    <cfRule type="cellIs" dxfId="12" priority="724" operator="equal">
      <formula>"Goed"</formula>
    </cfRule>
    <cfRule type="cellIs" dxfId="11" priority="725" operator="equal">
      <formula>"onvoldoende"</formula>
    </cfRule>
    <cfRule type="cellIs" dxfId="10" priority="726" operator="equal">
      <formula>"slecht"</formula>
    </cfRule>
    <cfRule type="cellIs" dxfId="9" priority="727" operator="equal">
      <formula>"zeer slecht"</formula>
    </cfRule>
  </conditionalFormatting>
  <conditionalFormatting sqref="O1:O52">
    <cfRule type="cellIs" dxfId="8" priority="347" operator="equal">
      <formula>"voldoende"</formula>
    </cfRule>
  </conditionalFormatting>
  <conditionalFormatting sqref="O198:O203">
    <cfRule type="containsText" dxfId="7" priority="15" operator="containsText" text="zeer slecht">
      <formula>NOT(ISERROR(SEARCH("zeer slecht",O198)))</formula>
    </cfRule>
    <cfRule type="containsText" dxfId="6" priority="16" operator="containsText" text="slecht">
      <formula>NOT(ISERROR(SEARCH("slecht",O198)))</formula>
    </cfRule>
    <cfRule type="containsText" dxfId="5" priority="17" operator="containsText" text="onvoldoende">
      <formula>NOT(ISERROR(SEARCH("onvoldoende",O198)))</formula>
    </cfRule>
    <cfRule type="containsText" dxfId="4" priority="18" operator="containsText" text="voldoende">
      <formula>NOT(ISERROR(SEARCH("voldoende",O198)))</formula>
    </cfRule>
    <cfRule type="containsText" dxfId="3" priority="19" operator="containsText" text="goed">
      <formula>NOT(ISERROR(SEARCH("goed",O198)))</formula>
    </cfRule>
    <cfRule type="containsText" dxfId="2" priority="20" operator="containsText" text="zeer goed">
      <formula>NOT(ISERROR(SEARCH("zeer goed",O198)))</formula>
    </cfRule>
  </conditionalFormatting>
  <conditionalFormatting sqref="O234:O1048576 O232 O1:O197 O204:O226">
    <cfRule type="duplicateValues" dxfId="1" priority="799"/>
  </conditionalFormatting>
  <conditionalFormatting sqref="P1:Q197 Q198:Q203 P204:Q222 P223:P226 P232 N233 P234:P1048576">
    <cfRule type="cellIs" dxfId="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173</v>
      </c>
      <c r="B1" t="s">
        <v>8</v>
      </c>
      <c r="D1" t="s">
        <v>174</v>
      </c>
      <c r="E1" t="s">
        <v>175</v>
      </c>
    </row>
    <row r="2" spans="1:5" x14ac:dyDescent="0.3">
      <c r="A2" s="3">
        <f>COUNTIF(Coaching!I1:I9934,Tabel1[[#This Row],[Teamcoach]])</f>
        <v>9</v>
      </c>
      <c r="B2" s="3" t="s">
        <v>176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 x14ac:dyDescent="0.3">
      <c r="A3" s="3">
        <f>COUNTIF(Coaching!I2:I9935,Tabel1[[#This Row],[Teamcoach]])</f>
        <v>13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3">
      <c r="A4" s="3">
        <f>COUNTIF(Coaching!I2:I9936,Tabel1[[#This Row],[Teamcoach]])</f>
        <v>14</v>
      </c>
      <c r="B4" s="3" t="s">
        <v>58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 x14ac:dyDescent="0.3">
      <c r="A5" s="3">
        <f>COUNTIF(Coaching!I2:I9937,Tabel1[[#This Row],[Teamcoach]])</f>
        <v>9</v>
      </c>
      <c r="B5" s="3" t="s">
        <v>178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 x14ac:dyDescent="0.3">
      <c r="A6" s="3">
        <f>COUNTIF(Coaching!I3:I9938,Tabel1[[#This Row],[Teamcoach]])</f>
        <v>8</v>
      </c>
      <c r="B6" s="3" t="s">
        <v>179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 x14ac:dyDescent="0.3">
      <c r="A7" s="3">
        <f>COUNTIF(Coaching!I4:I9939,Tabel1[[#This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3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COUNTIF(Coaching!I5:I9941,Tabel1[[#This Row],[Teamcoach]])</f>
        <v>8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3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3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3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3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3">
      <c r="E6" t="s">
        <v>198</v>
      </c>
      <c r="F6" t="s">
        <v>65</v>
      </c>
      <c r="G6" t="s">
        <v>35</v>
      </c>
      <c r="H6" t="s">
        <v>61</v>
      </c>
    </row>
    <row r="7" spans="1:9" x14ac:dyDescent="0.3">
      <c r="E7" t="s">
        <v>33</v>
      </c>
      <c r="G7" t="s">
        <v>171</v>
      </c>
      <c r="H7" t="s">
        <v>53</v>
      </c>
    </row>
    <row r="8" spans="1:9" x14ac:dyDescent="0.3">
      <c r="E8" t="s">
        <v>55</v>
      </c>
      <c r="G8" t="s">
        <v>199</v>
      </c>
    </row>
    <row r="9" spans="1:9" x14ac:dyDescent="0.3">
      <c r="E9" t="s">
        <v>52</v>
      </c>
      <c r="G9" t="s">
        <v>83</v>
      </c>
    </row>
    <row r="10" spans="1:9" x14ac:dyDescent="0.3">
      <c r="E10" t="s">
        <v>200</v>
      </c>
      <c r="G10" t="s">
        <v>148</v>
      </c>
    </row>
    <row r="11" spans="1:9" x14ac:dyDescent="0.3">
      <c r="E11" t="s">
        <v>101</v>
      </c>
      <c r="G11" t="s">
        <v>201</v>
      </c>
    </row>
    <row r="12" spans="1:9" x14ac:dyDescent="0.3">
      <c r="E12" t="s">
        <v>97</v>
      </c>
      <c r="G12" t="s">
        <v>202</v>
      </c>
    </row>
    <row r="13" spans="1:9" x14ac:dyDescent="0.3">
      <c r="E13" t="s">
        <v>203</v>
      </c>
      <c r="G13" t="s">
        <v>204</v>
      </c>
    </row>
    <row r="14" spans="1:9" x14ac:dyDescent="0.3">
      <c r="E14" t="s">
        <v>80</v>
      </c>
      <c r="G14" t="s">
        <v>205</v>
      </c>
    </row>
    <row r="15" spans="1:9" x14ac:dyDescent="0.3">
      <c r="E15" t="s">
        <v>90</v>
      </c>
      <c r="G15" t="s">
        <v>65</v>
      </c>
    </row>
    <row r="16" spans="1:9" x14ac:dyDescent="0.3">
      <c r="E16" t="s">
        <v>126</v>
      </c>
    </row>
    <row r="17" spans="5:5" x14ac:dyDescent="0.3">
      <c r="E17" t="s">
        <v>142</v>
      </c>
    </row>
    <row r="18" spans="5:5" x14ac:dyDescent="0.3">
      <c r="E18" t="s">
        <v>111</v>
      </c>
    </row>
    <row r="19" spans="5:5" x14ac:dyDescent="0.3">
      <c r="E19" t="s">
        <v>206</v>
      </c>
    </row>
    <row r="20" spans="5:5" x14ac:dyDescent="0.3">
      <c r="E20" t="s">
        <v>207</v>
      </c>
    </row>
    <row r="21" spans="5:5" x14ac:dyDescent="0.3">
      <c r="E21" t="s">
        <v>208</v>
      </c>
    </row>
    <row r="22" spans="5:5" x14ac:dyDescent="0.3">
      <c r="E22" t="s">
        <v>209</v>
      </c>
    </row>
    <row r="23" spans="5:5" x14ac:dyDescent="0.3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3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3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3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3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3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3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3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3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3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3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3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3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3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3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3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3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3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3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3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3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3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3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3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3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3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3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3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3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3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3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3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3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3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3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3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3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3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3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3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3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3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3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3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3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3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3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3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3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3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3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3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3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3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3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3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3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3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3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3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3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3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3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3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3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3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3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3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3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3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3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3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3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3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3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3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3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3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3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3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3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3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3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3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3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3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3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3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3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3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3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3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3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3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3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3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3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3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3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3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3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3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3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3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3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3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3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3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3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3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3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3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3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3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3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3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3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3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3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3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3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3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3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3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3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3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3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3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3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3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3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3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3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3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3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3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3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3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3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3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3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3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3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3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3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3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3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3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3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3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3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3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3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3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3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3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3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3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3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3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3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3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3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3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3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3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3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3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3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3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3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3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3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3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3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3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3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3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3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3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3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3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3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3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3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3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3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3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3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3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3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3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3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3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3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3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3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3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3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3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3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3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3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3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3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3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3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3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3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3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3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3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3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3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3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3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3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3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3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3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3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3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3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3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3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3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3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3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3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3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3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3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3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3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3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3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3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3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3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3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3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3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3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3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3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3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3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3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3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3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3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3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3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3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3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3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3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3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3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3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3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3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3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3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3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3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3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3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3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3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3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3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3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3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3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3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3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3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3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3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3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3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3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3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3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3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3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3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3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3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3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3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3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3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3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3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3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3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3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3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3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3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3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3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3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3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3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3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3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3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3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3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3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3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3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3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3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3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3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3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3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3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3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3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3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3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3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3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3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3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3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3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3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3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3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3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3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3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3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3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3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3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3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3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3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3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3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3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3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3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3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3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3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3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3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3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3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3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3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3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3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3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3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3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3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3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3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3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3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3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3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3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3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3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3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3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3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3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3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3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3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3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3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3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3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3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3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3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3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3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3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3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3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3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3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3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3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3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3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3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3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3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3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3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3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3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3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3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3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3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3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3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3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3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3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3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3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3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3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3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3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3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3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3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3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3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3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3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3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3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3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3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3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3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3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3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3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3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3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3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3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3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3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3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3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3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3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3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3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3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3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3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3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3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3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3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3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3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3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3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3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3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3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3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3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3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3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3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3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3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3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3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3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3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3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3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3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3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3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3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3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3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3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3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3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3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3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3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3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3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3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3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3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3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3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3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3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3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3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3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3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3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3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3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3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3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3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3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3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3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3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3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3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3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3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3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3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3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3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3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3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3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3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3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3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3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3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3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3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3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3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3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3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3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3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3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3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3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3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3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3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3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3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3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3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3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3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3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3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3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3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3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3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3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3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3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3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3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3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3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3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3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3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3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3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3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3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3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3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3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3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3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3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3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3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3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3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3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3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3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3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3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3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3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3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3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3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3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3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3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3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3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3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3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3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3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3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3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2025-11-04T09:36:03Z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