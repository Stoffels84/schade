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36" documentId="13_ncr:1_{51182797-F005-4DB1-88AE-A2BD37A2289A}" xr6:coauthVersionLast="47" xr6:coauthVersionMax="47" xr10:uidLastSave="{49D291D9-6FAC-4F8A-977C-0AB268D2BF8D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" i="6" l="1"/>
  <c r="F80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<sst xmlns="http://schemas.openxmlformats.org/spreadsheetml/2006/main" count="4657" uniqueCount="1189">
  <si>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</si>
  <si>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</si>
  <si>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</si>
  <si>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</si>
  <si>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</si>
  <si>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</si>
  <si>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</si>
  <si>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</si>
  <si>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</si>
  <si>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</si>
  <si>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</si>
  <si>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</si>
  <si>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</si>
  <si>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</si>
  <si>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</si>
  <si>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</si>
  <si>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</si>
  <si>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</si>
  <si>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</si>
  <si>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</si>
  <si>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</si>
  <si>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</si>
  <si>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</si>
  <si>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</si>
  <si>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</si>
  <si>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</si>
  <si>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</si>
  <si>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</si>
  <si>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</si>
  <si>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</si>
  <si>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</si>
  <si>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</si>
  <si>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</si>
  <si>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</si>
  <si>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</si>
  <si>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</si>
  <si>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</si>
  <si>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</si>
  <si>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</si>
  <si>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</si>
  <si>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</si>
  <si>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</si>
  <si>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</si>
  <si>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</si>
  <si>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</si>
  <si>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</si>
  <si>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</si>
  <si>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</si>
  <si>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</si>
  <si>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</si>
  <si>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</si>
  <si>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</si>
  <si>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</si>
  <si>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</si>
  <si>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</si>
  <si>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</si>
  <si>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</si>
  <si>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</si>
  <si>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</si>
  <si>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</si>
  <si>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</si>
  <si>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</si>
  <si>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</si>
  <si>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</si>
  <si>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</si>
  <si>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</si>
  <si>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</si>
  <si>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</si>
  <si>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</si>
  <si>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</si>
  <si>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</si>
  <si>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</si>
  <si>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</si>
  <si>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</si>
  <si>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</si>
  <si>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</si>
  <si>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</si>
  <si>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</si>
  <si>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</si>
  <si>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</si>
  <si>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</si>
  <si>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</si>
  <si>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</si>
  <si>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</si>
  <si>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</si>
  <si>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</si>
  <si>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</si>
  <si>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</si>
  <si>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</si>
  <si>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</si>
  <si>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</si>
  <si>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</si>
  <si>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</si>
  <si>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</si>
  <si>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</si>
  <si>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</si>
  <si>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</si>
  <si>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</si>
  <si>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</si>
  <si>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</si>
  <si>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</si>
  <si>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</si>
  <si>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</si>
  <si>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</si>
  <si>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</si>
  <si>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</si>
  <si>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</si>
  <si>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</si>
  <si>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</si>
  <si>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</si>
  <si>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</si>
  <si>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</si>
  <si>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</si>
  <si>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</si>
  <si>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</si>
  <si>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</si>
  <si>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</si>
  <si>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</si>
  <si>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</si>
  <si>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</si>
  <si>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</si>
  <si>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</si>
  <si>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</si>
  <si>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</si>
  <si>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</si>
  <si>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</si>
  <si>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</si>
  <si>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</si>
  <si>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</si>
  <si>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</si>
  <si>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</si>
  <si>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</si>
  <si>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</si>
  <si>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</si>
  <si>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</si>
  <si>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</si>
  <si>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</si>
  <si>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</si>
  <si>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</si>
  <si>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</si>
  <si>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</si>
  <si>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</si>
  <si>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</si>
  <si>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</si>
  <si>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</si>
  <si>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</si>
  <si>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</si>
  <si>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</si>
  <si>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</si>
  <si>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</si>
  <si>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</si>
  <si>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</si>
  <si>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</si>
  <si>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</si>
  <si>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</si>
  <si>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</si>
  <si>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</si>
  <si>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</si>
  <si>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</si>
  <si>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</si>
  <si>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</si>
  <si>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</si>
  <si>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</si>
  <si>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</si>
  <si>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</si>
  <si>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</si>
  <si>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</si>
  <si>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</si>
  <si>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</si>
  <si>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</si>
  <si>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</si>
  <si>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</si>
  <si>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</si>
  <si>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</si>
  <si>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</si>
  <si>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</si>
  <si>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</si>
  <si>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</si>
  <si>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</si>
  <si>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</si>
  <si>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</si>
  <si>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</si>
  <si>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</si>
  <si>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</si>
  <si>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</si>
  <si>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</si>
  <si>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</si>
  <si>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</si>
  <si>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</si>
  <si>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</si>
  <si>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</si>
  <si>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</si>
  <si>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</si>
  <si>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</si>
  <si>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</si>
  <si>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</si>
  <si>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</si>
  <si>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</si>
  <si>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</si>
  <si>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</si>
  <si>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</si>
  <si>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</si>
  <si>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</si>
  <si>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</si>
  <si>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</si>
  <si>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</si>
  <si>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</si>
  <si>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</si>
  <si>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</si>
  <si>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</si>
  <si>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</si>
  <si>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</si>
  <si>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</si>
  <si>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</si>
  <si>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</si>
  <si>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</si>
  <si>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</si>
  <si>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</si>
  <si>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</si>
  <si>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</si>
  <si>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</si>
  <si>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</si>
  <si>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</si>
  <si>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</si>
  <si>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</si>
  <si>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</si>
  <si>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</si>
  <si>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</si>
  <si>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</si>
  <si>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</si>
  <si>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</si>
  <si>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</si>
  <si>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</si>
  <si>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</si>
  <si>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</si>
  <si>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</si>
  <si>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</si>
  <si>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</si>
  <si>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</si>
  <si>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</si>
  <si>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</si>
  <si>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</si>
  <si>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</si>
  <si>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</si>
  <si>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</si>
  <si>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</si>
  <si>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</si>
  <si>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</si>
  <si>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</si>
  <si>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</si>
  <si>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</si>
  <si>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</si>
  <si>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</si>
  <si>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</si>
  <si>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</si>
  <si>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</si>
  <si>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</si>
  <si>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</si>
  <si>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</si>
  <si>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</si>
  <si>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</si>
  <si>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</si>
  <si>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</si>
  <si>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</si>
  <si>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</si>
  <si>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</si>
  <si>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</si>
  <si>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</si>
  <si>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</si>
  <si>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</si>
  <si>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</si>
  <si>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</si>
  <si>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</si>
  <si>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</si>
  <si>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</si>
  <si>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</si>
  <si>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</si>
  <si>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</si>
  <si>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</si>
  <si>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</si>
  <si>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</si>
  <si>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</si>
  <si>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</si>
  <si>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</si>
  <si>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</si>
  <si>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</si>
  <si>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</si>
  <si>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</si>
  <si>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</si>
  <si>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</si>
  <si>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</si>
  <si>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</si>
  <si>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</si>
  <si>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</si>
  <si>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</si>
  <si>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</si>
  <si>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</si>
  <si>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</si>
  <si>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</si>
  <si>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</si>
  <si>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</si>
  <si>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</si>
  <si>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</si>
  <si>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</si>
  <si>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</si>
  <si>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</si>
  <si>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</si>
  <si>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</si>
  <si>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</si>
  <si>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</si>
  <si>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</si>
  <si>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</si>
  <si>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</si>
  <si>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</si>
  <si>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</si>
  <si>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</si>
  <si>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</si>
  <si>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</si>
  <si>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</si>
  <si>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</si>
  <si>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</si>
  <si>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</si>
  <si>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</si>
  <si>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</si>
  <si>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</si>
  <si>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</si>
  <si>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</si>
  <si>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</si>
  <si>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</si>
  <si>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</si>
  <si>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</si>
  <si>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</si>
  <si>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</si>
  <si>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</si>
  <si>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</si>
  <si>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</si>
  <si>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</si>
  <si>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</si>
  <si>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</si>
  <si>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</si>
  <si>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</si>
  <si>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</si>
  <si>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</si>
  <si>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</si>
  <si>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</si>
  <si>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</si>
  <si>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</si>
  <si>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</si>
  <si>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</si>
  <si>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</si>
  <si>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</si>
  <si>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</si>
  <si>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</si>
  <si>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</si>
  <si>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</si>
  <si>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</si>
  <si>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</si>
  <si>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</si>
  <si>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</si>
  <si>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</si>
  <si>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</si>
  <si>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</si>
  <si>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</si>
  <si>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</si>
  <si>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</si>
  <si>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</si>
  <si>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</si>
  <si>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</si>
  <si>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</si>
  <si>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</si>
  <si>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</si>
  <si>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</si>
  <si>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</si>
  <si>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</si>
  <si>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</si>
  <si>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</si>
  <si>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</si>
  <si>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</si>
  <si>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</si>
  <si>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</si>
  <si>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</si>
  <si>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</si>
  <si>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</si>
  <si>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</si>
  <si>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</si>
  <si>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</si>
  <si>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</si>
  <si>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</si>
  <si>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</si>
  <si>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</si>
  <si>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</si>
  <si>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</si>
  <si>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</si>
  <si>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</si>
  <si>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</si>
  <si>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</si>
  <si>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</si>
  <si>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</si>
  <si>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</si>
  <si>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</si>
  <si>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</si>
  <si>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</si>
  <si>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</si>
  <si>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</si>
  <si>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</si>
  <si>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</si>
  <si>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</si>
  <si>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</si>
  <si>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</si>
  <si>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</si>
  <si>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</si>
  <si>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</si>
  <si>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</si>
  <si>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</si>
  <si>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</si>
  <si>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</si>
  <si>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</si>
  <si>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</si>
  <si>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</si>
  <si>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</si>
  <si>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</si>
  <si>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</si>
  <si>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</si>
  <si>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</si>
  <si>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</si>
  <si>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</si>
  <si>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</si>
  <si>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</si>
  <si>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</si>
  <si>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</si>
  <si>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</si>
  <si>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</si>
  <si>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</si>
  <si>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</si>
  <si>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</si>
  <si>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</si>
  <si>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</si>
  <si>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</si>
  <si>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</si>
  <si>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</si>
  <si>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</si>
  <si>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</si>
  <si>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</si>
  <si>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</si>
  <si>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</si>
  <si>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</si>
  <si>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</si>
  <si>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</si>
  <si>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</si>
  <si>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</si>
  <si>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</si>
  <si>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</si>
  <si>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</si>
  <si>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</si>
  <si>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</si>
  <si>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</si>
  <si>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</si>
  <si>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</si>
  <si>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</si>
  <si>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</si>
  <si>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</si>
  <si>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</si>
  <si>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</si>
  <si>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</si>
  <si>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</si>
  <si>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</si>
  <si>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</si>
  <si>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</si>
  <si>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</si>
  <si>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</si>
  <si>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</si>
  <si>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</si>
  <si>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</si>
  <si>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</si>
  <si>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</si>
  <si>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</si>
  <si>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</si>
  <si>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</si>
  <si>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</si>
  <si>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</si>
  <si>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</si>
  <si>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</si>
  <si>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</si>
  <si>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</si>
  <si>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</si>
  <si>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</si>
  <si>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</si>
  <si>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</si>
  <si>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</si>
  <si>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</si>
  <si>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</si>
  <si>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</si>
  <si>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</si>
  <si>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</si>
  <si>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</si>
  <si>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</si>
  <si>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</si>
  <si>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</si>
  <si>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</si>
  <si>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</si>
  <si>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</si>
  <si>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</si>
  <si>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</si>
  <si>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</si>
  <si>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</si>
  <si>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</si>
  <si>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</si>
  <si>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</si>
  <si>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</si>
  <si>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</si>
  <si>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</si>
  <si>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</si>
  <si>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</si>
  <si>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</si>
  <si>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</si>
  <si>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</si>
  <si>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</si>
  <si>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</si>
  <si>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</si>
  <si>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</si>
  <si>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</si>
  <si>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</si>
  <si>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</si>
  <si>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</si>
  <si>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</si>
  <si>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</si>
  <si>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</si>
  <si>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</si>
  <si>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</si>
  <si>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</si>
  <si>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</si>
  <si>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</si>
  <si>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</si>
  <si>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</si>
  <si>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</si>
  <si>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</si>
  <si>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</si>
  <si>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</si>
  <si>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</si>
  <si>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</si>
  <si>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</si>
  <si>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</si>
  <si>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</si>
  <si>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</si>
  <si>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</si>
  <si>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</si>
  <si>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</si>
  <si>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</si>
  <si>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</si>
  <si>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</si>
  <si>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</si>
  <si>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</si>
  <si>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</si>
  <si>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</si>
  <si>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</si>
  <si>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</si>
  <si>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</si>
  <si>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</si>
  <si>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</si>
  <si>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</si>
  <si>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</si>
  <si>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</si>
  <si>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</si>
  <si>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</si>
  <si>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</si>
  <si>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</si>
  <si>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</si>
  <si>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</si>
  <si>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</si>
  <si>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</si>
  <si>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</si>
  <si>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</si>
  <si>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</si>
  <si>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</si>
  <si>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</si>
  <si>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</si>
  <si>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</si>
  <si>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</si>
  <si>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</si>
  <si>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</si>
  <si>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</si>
  <si>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</si>
  <si>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</si>
  <si>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</si>
  <si>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</si>
  <si>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</si>
  <si>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</si>
  <si>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</si>
  <si>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</si>
  <si>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</si>
  <si>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</si>
  <si>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</si>
  <si>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</si>
  <si>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</si>
  <si>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</si>
  <si>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</si>
  <si>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</si>
  <si>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</si>
  <si>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</si>
  <si>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</si>
  <si>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</si>
  <si>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</si>
  <si>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</si>
  <si>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</si>
  <si>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</si>
  <si>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</si>
  <si>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</si>
  <si>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</si>
  <si>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</si>
  <si>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</si>
  <si>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</si>
  <si>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</si>
  <si>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</si>
  <si>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</si>
  <si>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</si>
  <si>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</si>
  <si>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</si>
  <si>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</si>
  <si>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</si>
  <si>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</si>
  <si>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</si>
  <si>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</si>
  <si>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</si>
  <si>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</si>
  <si>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</si>
  <si>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</si>
  <si>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</si>
  <si>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</si>
  <si>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</si>
  <si>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</si>
  <si>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</si>
  <si>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</si>
  <si>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</si>
  <si>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</si>
  <si>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</si>
  <si>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</si>
  <si>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</si>
  <si>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</si>
  <si>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</si>
  <si>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</si>
  <si>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</si>
  <si>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</si>
  <si>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</si>
  <si>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</si>
  <si>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</si>
  <si>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</si>
  <si>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</si>
  <si>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</si>
  <si>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</si>
  <si>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</si>
  <si>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</si>
  <si>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</si>
  <si>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</si>
  <si>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</si>
  <si>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</si>
  <si>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</si>
  <si>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</si>
  <si>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</si>
  <si>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</si>
  <si>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</si>
  <si>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</si>
  <si>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</si>
  <si>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</si>
  <si>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</si>
  <si>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</si>
  <si>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</si>
  <si>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</si>
  <si>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</si>
  <si>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</si>
  <si>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</si>
  <si>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</si>
  <si>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</si>
  <si>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</si>
  <si>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</si>
  <si>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</si>
  <si>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</si>
  <si>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</si>
  <si>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</si>
  <si>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</si>
  <si>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</si>
  <si>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</si>
  <si>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</si>
  <si>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</si>
  <si>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</si>
  <si>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</si>
  <si>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</si>
  <si>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</si>
  <si>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</si>
  <si>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</si>
  <si>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</si>
  <si>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</si>
  <si>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</si>
  <si>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</si>
  <si>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</si>
  <si>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</si>
  <si>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</si>
  <si>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</si>
  <si>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</si>
  <si>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</si>
  <si>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</si>
  <si>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</si>
  <si>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</si>
  <si>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</si>
  <si>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</si>
  <si>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</si>
  <si>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</si>
  <si>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</si>
  <si>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</si>
  <si>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</si>
  <si>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</si>
  <si>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</si>
  <si>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</si>
  <si>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</si>
  <si>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</si>
  <si>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</si>
  <si>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</si>
  <si>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</si>
  <si>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</si>
  <si>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</si>
  <si>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</si>
  <si>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</si>
  <si>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</si>
  <si>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</si>
  <si>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</si>
  <si>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</si>
  <si>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</si>
  <si>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</si>
  <si>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</si>
  <si>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</si>
  <si>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</si>
  <si>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</si>
  <si>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</si>
  <si>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</si>
  <si>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</si>
  <si>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</si>
  <si>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</si>
  <si>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</si>
  <si>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</si>
  <si>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</si>
  <si>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</si>
  <si>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</si>
  <si>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</si>
  <si>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</si>
  <si>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</si>
  <si>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</si>
  <si>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</si>
  <si>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</si>
  <si>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</si>
  <si>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</si>
  <si>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</si>
  <si>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</si>
  <si>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</si>
  <si>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</si>
  <si>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</si>
  <si>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</si>
  <si>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</si>
  <si>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</si>
  <si>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</si>
  <si>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</si>
  <si>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</si>
  <si>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</si>
  <si>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</si>
  <si>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</si>
  <si>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</si>
  <si>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</si>
  <si>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</si>
  <si>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</si>
  <si>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</si>
  <si>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</si>
  <si>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</si>
  <si>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</si>
  <si>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</si>
  <si>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</si>
  <si>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</si>
  <si>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</si>
  <si>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</si>
  <si>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</si>
  <si>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</si>
  <si>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</si>
  <si>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</si>
  <si>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</si>
  <si>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</si>
  <si>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</si>
  <si>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</si>
  <si>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</si>
  <si>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</si>
  <si>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</si>
  <si>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</si>
  <si>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</si>
  <si>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</si>
  <si>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</si>
  <si>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</si>
  <si>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</si>
  <si>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</si>
  <si>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</si>
  <si>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</si>
  <si>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</si>
  <si>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</si>
  <si>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</si>
  <si>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</si>
  <si>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</si>
  <si>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</si>
  <si>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</si>
  <si>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</si>
  <si>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</si>
  <si>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</si>
  <si>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</si>
  <si>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</si>
  <si>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</si>
  <si>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</si>
  <si>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</si>
  <si>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</si>
  <si>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</si>
  <si>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</si>
  <si>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</si>
  <si>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</si>
  <si>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</si>
  <si>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</si>
  <si>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</si>
  <si>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</si>
  <si>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</si>
  <si>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</si>
  <si>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</si>
  <si>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</si>
  <si>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</si>
  <si>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</si>
  <si>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</si>
  <si>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</si>
  <si>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</si>
  <si>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</si>
  <si>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</si>
  <si>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</si>
  <si>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</si>
  <si>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</si>
  <si>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</si>
  <si>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</si>
  <si>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</si>
  <si>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</si>
  <si>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</si>
  <si>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</si>
  <si>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</si>
  <si>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</si>
  <si>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</si>
  <si>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</si>
  <si>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</si>
  <si>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</si>
  <si>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</si>
  <si>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</si>
  <si>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</si>
  <si>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</si>
  <si>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</si>
  <si>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</si>
  <si>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</si>
  <si>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</si>
  <si>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</si>
  <si>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</si>
  <si>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</si>
  <si>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</si>
  <si>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</si>
  <si>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</si>
  <si>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</si>
  <si>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</si>
  <si>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</si>
  <si>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</si>
  <si>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</si>
  <si>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</si>
  <si>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</si>
  <si>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</si>
  <si>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</si>
  <si>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</si>
  <si>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</si>
  <si>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</si>
  <si>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</si>
  <si>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</si>
  <si>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</si>
  <si>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</si>
  <si>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</si>
  <si>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</si>
  <si>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</si>
  <si>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</si>
  <si>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</si>
  <si>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</si>
  <si>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</si>
  <si>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</si>
  <si>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</si>
  <si>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</si>
  <si>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</si>
  <si>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</si>
  <si>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</si>
  <si>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</si>
  <si>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</si>
  <si>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</si>
  <si>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</si>
  <si>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</si>
  <si>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</si>
  <si>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</si>
  <si>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</si>
  <si>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</si>
  <si>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</si>
  <si>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</si>
  <si>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</si>
  <si>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</si>
  <si>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</si>
  <si>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</si>
  <si>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</si>
  <si>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</si>
  <si>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</si>
  <si>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</si>
  <si>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</si>
  <si>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</si>
  <si>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</si>
  <si>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</si>
  <si>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</si>
  <si>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</si>
  <si>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</si>
  <si>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</si>
  <si>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</si>
  <si>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</si>
  <si>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</si>
  <si>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</si>
  <si>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</si>
  <si>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</si>
  <si>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</si>
  <si>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</si>
  <si>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</si>
  <si>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</si>
  <si>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</si>
  <si>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</si>
  <si>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</si>
  <si>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</si>
  <si>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</si>
  <si>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</si>
  <si>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</si>
  <si>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</si>
  <si>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</si>
  <si>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</si>
  <si>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</si>
  <si>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</si>
  <si>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</si>
  <si>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</si>
  <si>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</si>
  <si>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</si>
  <si>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</si>
  <si>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</si>
  <si>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</si>
  <si>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</si>
  <si>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</si>
  <si>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</si>
  <si>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</si>
  <si>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</si>
  <si>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</si>
  <si>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</si>
  <si>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</si>
  <si>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</si>
  <si>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</si>
  <si>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</si>
  <si>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</si>
  <si>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</si>
  <si>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</si>
  <si>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</si>
  <si>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</si>
  <si>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</si>
  <si>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</si>
  <si>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</si>
  <si>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</si>
  <si>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</si>
  <si>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</si>
  <si>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</si>
  <si>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</si>
  <si>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</si>
  <si>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</si>
  <si>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</si>
  <si>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</si>
  <si>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</si>
  <si>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</si>
  <si>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</si>
  <si>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</si>
  <si>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</si>
  <si>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</si>
  <si>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</si>
  <si>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</si>
  <si>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</si>
  <si>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</si>
  <si>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</si>
  <si>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</si>
  <si>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</si>
  <si>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</si>
  <si>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</si>
  <si>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</si>
  <si>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</si>
  <si>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</si>
  <si>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</si>
  <si>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</si>
  <si>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</si>
  <si>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</si>
  <si>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</si>
  <si>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</si>
  <si>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</si>
  <si>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</si>
  <si>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</si>
  <si>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</si>
  <si>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</si>
  <si>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</si>
  <si>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</si>
  <si>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</si>
  <si>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</si>
  <si>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</si>
  <si>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</si>
  <si>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</si>
  <si>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</si>
  <si>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</si>
  <si>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</si>
  <si>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</si>
  <si>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</si>
  <si>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</si>
  <si>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</si>
  <si>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</si>
  <si>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</si>
  <si>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</si>
  <si>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</si>
  <si>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</si>
  <si>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</si>
  <si>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</si>
  <si>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</si>
  <si>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</si>
  <si>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</si>
  <si>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</si>
  <si>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</si>
  <si>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</si>
  <si>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</si>
  <si>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</si>
  <si>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</si>
  <si>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</si>
  <si>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</si>
  <si>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</si>
  <si>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</si>
  <si>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</si>
  <si>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</si>
  <si>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</si>
  <si>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</si>
  <si>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</si>
  <si>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</si>
  <si>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</si>
  <si>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</si>
  <si>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</si>
  <si>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</si>
  <si>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</si>
  <si>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</si>
  <si>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</si>
  <si>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</si>
  <si>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</si>
  <si>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</si>
  <si>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</si>
  <si>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</si>
  <si>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</si>
  <si>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</si>
  <si>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</si>
  <si>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</si>
  <si>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</si>
  <si>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</si>
  <si>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</si>
  <si>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</si>
  <si>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</si>
  <si>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</si>
  <si>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</si>
  <si>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</si>
  <si>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</si>
  <si>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</si>
  <si>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</si>
  <si>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</si>
  <si>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</si>
  <si>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</si>
  <si>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</si>
  <si>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</si>
  <si>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</si>
  <si>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</si>
  <si>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</si>
  <si>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</si>
  <si>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</si>
  <si>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</si>
  <si>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</si>
  <si>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</si>
  <si>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</si>
  <si>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</si>
  <si>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</si>
  <si>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</si>
  <si>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</si>
  <si>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</si>
  <si>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</si>
  <si>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</si>
  <si>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</si>
  <si>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</si>
  <si>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</si>
  <si>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</si>
  <si>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</si>
  <si>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</si>
  <si>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</si>
  <si>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</si>
  <si>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</si>
  <si>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</si>
  <si>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</si>
  <si>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</si>
  <si>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</si>
  <si>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</si>
  <si>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</si>
  <si>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</si>
  <si>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</si>
  <si>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</si>
  <si>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</si>
  <si>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</si>
  <si>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</si>
  <si>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</si>
  <si>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</si>
  <si>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</si>
  <si>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</si>
  <si>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</si>
  <si>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</si>
  <si>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</si>
  <si>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</si>
  <si>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</si>
  <si>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</si>
  <si>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</si>
  <si>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</si>
  <si>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</si>
  <si>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</si>
  <si>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</si>
  <si>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</si>
  <si>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</si>
  <si>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</si>
  <si>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</si>
  <si>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</si>
  <si>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</si>
  <si>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</si>
  <si>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</si>
  <si>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</si>
  <si>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</si>
  <si>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</si>
  <si>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</si>
  <si>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</si>
  <si>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</si>
  <si>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</si>
  <si>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</si>
  <si>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</si>
  <si>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</si>
  <si>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</si>
  <si>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</si>
  <si>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</si>
  <si>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</si>
  <si>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</si>
  <si>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</si>
  <si>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</si>
  <si>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</si>
  <si>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</si>
  <si>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</si>
  <si>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</si>
  <si>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</si>
  <si>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</si>
  <si>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</si>
  <si>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</si>
  <si>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</si>
  <si>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</si>
  <si>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</si>
  <si>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</si>
  <si>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</si>
  <si>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</si>
  <si>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</si>
  <si>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</si>
  <si>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</si>
  <si>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</si>
  <si>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</si>
  <si>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</si>
  <si>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</si>
  <si>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</si>
  <si>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</si>
  <si>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</si>
  <si>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</si>
  <si>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</si>
  <si>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</si>
  <si>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</si>
  <si>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</si>
  <si>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</si>
  <si>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</si>
  <si>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</si>
  <si>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</si>
  <si>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</si>
  <si>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</si>
  <si>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</si>
  <si>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</si>
  <si>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10324, 11120, 11236, 11866, 12684, 15220, 15412, 16895, 17931, 18051, 19917, 21382, 21424, 21509, 21581, 23790, 23918, 25487, 26960, 27607, 27711, 28737, 29478, 30901, 30967, 31668, 32002, 32951, 33085, 33757, 33965, 33986, 34325, 34328, 34351, 34445, 34890, 35246, 35397, 35450, 35491, 35495, 35588, 35645, 36228, 36289, 36354, 36358, 36428, 36543, 36569, 36624, 36625, 36627, 36663, 37132, 37313, 37496, 37509, 37600, 37662, 37794, 37936, 38475, 38529, 38633, 38648, 38688, 38931, 39267, 39358, 39532, 39651, 39673, 39779, 39831, 39859, 39929, 40362, 40591, 40856, 40859, 41032, 41064, 41384, 41619, 41874, 4419, 5718, 9065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</si>
</sst>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applyFill="1"/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4"/>
  <sheetViews>
    <sheetView tabSelected="1" topLeftCell="A38" zoomScale="90" zoomScaleNormal="90" workbookViewId="0">
      <selection activeCell="E79" sqref="E79:F8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  <row r="80" spans="3:14" x14ac:dyDescent="0.3">
      <c r="D80" s="54">
        <v>10324</v>
      </c>
      <c r="E80" t="str">
        <f>VLOOKUP(Tabel2[[#This Row],[P-nr]],'data Chauffeur'!A:F,2,FALSE)</f>
        <v>Eggermont</v>
      </c>
      <c r="F80" t="str">
        <f>VLOOKUP(Tabel2[[#This Row],[P-nr]],'data Chauffeur'!A:F,3,FALSE)</f>
        <v>Wim</v>
      </c>
      <c r="G80" s="53" t="str">
        <f>_xlfn.CONCAT(Tabel2[[#This Row],[P-nr]]," ",Tabel2[[#This Row],[Naam]]," ",Tabel2[[#This Row],[Voornaam]]," ",)</f>
        <v xml:space="preserve">10324 Eggermont Wim </v>
      </c>
      <c r="H80" s="53"/>
      <c r="I80" s="53"/>
      <c r="J80" s="53"/>
    </row>
    <row r="84" spans="4:4" x14ac:dyDescent="0.3">
      <c r="D84" t="s">
        <v>1188</v>
      </c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zoomScale="86" zoomScaleNormal="86" workbookViewId="0">
      <selection activeCell="M32" sqref="M32:M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2025-11-29T17:47:58Z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