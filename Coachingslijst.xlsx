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36" documentId="13_ncr:1_{51182797-F005-4DB1-88AE-A2BD37A2289A}" xr6:coauthVersionLast="47" xr6:coauthVersionMax="47" xr10:uidLastSave="{02D357B5-E98B-4639-B473-ACB7305D979D}"/>
  <bookViews>
    <workbookView xWindow="16380" yWindow="-13620" windowWidth="21600" windowHeight="11295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G78" i="6" s="1"/>
  <c r="F78" i="6"/>
  <c r="I78" i="6"/>
  <c r="J78" i="6"/>
  <c r="E79" i="6"/>
  <c r="F79" i="6"/>
  <c r="G79" i="6"/>
  <c r="I79" i="6"/>
  <c r="J79" i="6"/>
  <c r="E80" i="6"/>
  <c r="G80" i="6" s="1"/>
  <c r="F80" i="6"/>
  <c r="I80" i="6"/>
  <c r="J80" i="6"/>
  <c r="E81" i="6"/>
  <c r="G81" i="6" s="1"/>
  <c r="F81" i="6"/>
  <c r="I81" i="6"/>
  <c r="J81" i="6"/>
  <c r="E77" i="6"/>
  <c r="G77" i="6" s="1"/>
  <c r="F77" i="6"/>
  <c r="I77" i="6"/>
  <c r="J77" i="6"/>
  <c r="C253" i="4"/>
  <c r="E253" i="4" s="1"/>
  <c r="D253" i="4"/>
  <c r="F253" i="4"/>
  <c r="G253" i="4"/>
  <c r="H253" i="4"/>
  <c r="C254" i="4"/>
  <c r="D254" i="4"/>
  <c r="E254" i="4" s="1"/>
  <c r="F254" i="4"/>
  <c r="G254" i="4"/>
  <c r="H254" i="4"/>
  <c r="C252" i="4"/>
  <c r="E252" i="4" s="1"/>
  <c r="D252" i="4"/>
  <c r="F252" i="4"/>
  <c r="G252" i="4"/>
  <c r="H252" i="4"/>
  <c r="C257" i="4"/>
  <c r="E257" i="4" s="1"/>
  <c r="D257" i="4"/>
  <c r="F257" i="4"/>
  <c r="G257" i="4"/>
  <c r="H257" i="4"/>
  <c r="C256" i="4"/>
  <c r="E256" i="4" s="1"/>
  <c r="D256" i="4"/>
  <c r="F256" i="4"/>
  <c r="G256" i="4"/>
  <c r="H256" i="4"/>
  <c r="C255" i="4"/>
  <c r="D255" i="4"/>
  <c r="F255" i="4"/>
  <c r="G255" i="4"/>
  <c r="H255" i="4"/>
  <c r="C250" i="4"/>
  <c r="D250" i="4"/>
  <c r="F250" i="4"/>
  <c r="G250" i="4"/>
  <c r="H250" i="4"/>
  <c r="C251" i="4"/>
  <c r="D251" i="4"/>
  <c r="F251" i="4"/>
  <c r="G251" i="4"/>
  <c r="H251" i="4"/>
  <c r="C249" i="4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H246" i="4"/>
  <c r="G246" i="4"/>
  <c r="F246" i="4"/>
  <c r="D246" i="4"/>
  <c r="C246" i="4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0" i="6"/>
  <c r="F70" i="6"/>
  <c r="I70" i="6"/>
  <c r="J70" i="6"/>
  <c r="E71" i="6"/>
  <c r="F71" i="6"/>
  <c r="I71" i="6"/>
  <c r="J71" i="6"/>
  <c r="E72" i="6"/>
  <c r="F72" i="6"/>
  <c r="I72" i="6"/>
  <c r="J72" i="6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69" i="6"/>
  <c r="F69" i="6"/>
  <c r="I69" i="6"/>
  <c r="J69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55" i="4" l="1"/>
  <c r="E247" i="4"/>
  <c r="E250" i="4"/>
  <c r="E251" i="4"/>
  <c r="E249" i="4"/>
  <c r="E246" i="4"/>
  <c r="E248" i="4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3" i="6"/>
  <c r="E226" i="4"/>
  <c r="G76" i="6"/>
  <c r="G75" i="6"/>
  <c r="G74" i="6"/>
  <c r="G72" i="6"/>
  <c r="G71" i="6"/>
  <c r="E222" i="4"/>
  <c r="E223" i="4"/>
  <c r="G69" i="6"/>
  <c r="G15" i="6"/>
  <c r="G70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68" i="6"/>
  <c r="J68" i="6"/>
  <c r="E68" i="6"/>
  <c r="F68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68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6" i="6"/>
  <c r="F66" i="6"/>
  <c r="I66" i="6"/>
  <c r="J66" i="6"/>
  <c r="E64" i="6"/>
  <c r="F64" i="6"/>
  <c r="I64" i="6"/>
  <c r="J64" i="6"/>
  <c r="E65" i="6"/>
  <c r="F65" i="6"/>
  <c r="I65" i="6"/>
  <c r="J65" i="6"/>
  <c r="E63" i="6"/>
  <c r="F63" i="6"/>
  <c r="I63" i="6"/>
  <c r="J63" i="6"/>
  <c r="C141" i="4"/>
  <c r="D141" i="4"/>
  <c r="F141" i="4"/>
  <c r="G141" i="4"/>
  <c r="H141" i="4"/>
  <c r="E61" i="6"/>
  <c r="F61" i="6"/>
  <c r="I61" i="6"/>
  <c r="J61" i="6"/>
  <c r="E62" i="6"/>
  <c r="F62" i="6"/>
  <c r="I62" i="6"/>
  <c r="J62" i="6"/>
  <c r="C140" i="4"/>
  <c r="D140" i="4"/>
  <c r="F140" i="4"/>
  <c r="G140" i="4"/>
  <c r="H140" i="4"/>
  <c r="E60" i="6"/>
  <c r="F60" i="6"/>
  <c r="I60" i="6"/>
  <c r="J60" i="6"/>
  <c r="E149" i="4" l="1"/>
  <c r="E150" i="4"/>
  <c r="E142" i="4"/>
  <c r="E146" i="4"/>
  <c r="E144" i="4"/>
  <c r="E143" i="4"/>
  <c r="E148" i="4"/>
  <c r="E147" i="4"/>
  <c r="G64" i="6"/>
  <c r="G63" i="6"/>
  <c r="G65" i="6"/>
  <c r="G66" i="6"/>
  <c r="E141" i="4"/>
  <c r="E140" i="4"/>
  <c r="G62" i="6"/>
  <c r="G61" i="6"/>
  <c r="G60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G58" i="6" l="1"/>
  <c r="G57" i="6"/>
  <c r="G55" i="6"/>
  <c r="G53" i="6"/>
  <c r="G59" i="6"/>
  <c r="G56" i="6"/>
  <c r="G54" i="6"/>
  <c r="E44" i="6" l="1"/>
  <c r="F44" i="6"/>
  <c r="I44" i="6"/>
  <c r="J44" i="6"/>
  <c r="E45" i="6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7" i="6" l="1"/>
  <c r="G50" i="6"/>
  <c r="G48" i="6"/>
  <c r="G44" i="6"/>
  <c r="G45" i="6"/>
  <c r="G49" i="6"/>
  <c r="G51" i="6"/>
  <c r="E137" i="4"/>
  <c r="E139" i="4"/>
  <c r="E138" i="4"/>
  <c r="G52" i="6"/>
  <c r="G46" i="6"/>
  <c r="E136" i="4"/>
  <c r="E135" i="4"/>
  <c r="E134" i="4"/>
  <c r="E131" i="4"/>
  <c r="E132" i="4"/>
  <c r="E133" i="4"/>
  <c r="E130" i="4"/>
  <c r="F43" i="6"/>
  <c r="I43" i="6"/>
  <c r="J43" i="6"/>
  <c r="E42" i="6"/>
  <c r="F42" i="6"/>
  <c r="I42" i="6"/>
  <c r="J42" i="6"/>
  <c r="E43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3" i="6"/>
  <c r="G42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7" i="6"/>
  <c r="F67" i="6"/>
  <c r="H67" i="6"/>
  <c r="I67" i="6"/>
  <c r="J67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7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<sst xmlns="http://schemas.openxmlformats.org/spreadsheetml/2006/main" count="4752" uniqueCount="1193">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</sst>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/>
    <xf numFmtId="0" fontId="0" fillId="0" borderId="0" xfId="0" applyFill="1"/>
    <xf numFmtId="0" fontId="0" fillId="0" borderId="0" xfId="0" applyFill="1" applyAlignment="1">
      <alignment vertical="top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6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6">
    <sortCondition ref="N1:N76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57" totalsRowShown="0" headerRowDxfId="73" tableBorderDxfId="72">
  <autoFilter ref="A1:R257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A65" zoomScale="90" zoomScaleNormal="90" workbookViewId="0">
      <selection activeCell="H65" sqref="H65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45881</v>
      </c>
      <c r="D42">
        <v>21382</v>
      </c>
      <c r="E42" t="str">
        <f>VLOOKUP(Tabel2[[#This Row],[P-nr]],'data Chauffeur'!A:F,2,FALSE)</f>
        <v>De Volder</v>
      </c>
      <c r="F42" t="str">
        <f>VLOOKUP(Tabel2[[#This Row],[P-nr]],'data Chauffeur'!A:F,3,FALSE)</f>
        <v>Marc</v>
      </c>
      <c r="G42" t="str">
        <f>_xlfn.CONCAT(Tabel2[[#This Row],[P-nr]]," ",Tabel2[[#This Row],[Naam]]," ",Tabel2[[#This Row],[Voornaam]]," ",)</f>
        <v xml:space="preserve">21382 De Volder Marc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TW24</v>
      </c>
      <c r="K42" s="8" t="s">
        <v>34</v>
      </c>
    </row>
    <row r="43" spans="1:14" x14ac:dyDescent="0.25">
      <c r="C43" s="11">
        <v>45883</v>
      </c>
      <c r="D43">
        <v>39929</v>
      </c>
      <c r="E43" t="str">
        <f>VLOOKUP(Tabel2[[#This Row],[P-nr]],'data Chauffeur'!A:F,2,FALSE)</f>
        <v>Staneva</v>
      </c>
      <c r="F43" t="str">
        <f>VLOOKUP(Tabel2[[#This Row],[P-nr]],'data Chauffeur'!A:F,3,FALSE)</f>
        <v>Mariyana</v>
      </c>
      <c r="G43" t="str">
        <f>_xlfn.CONCAT(Tabel2[[#This Row],[P-nr]]," ",Tabel2[[#This Row],[Naam]]," ",Tabel2[[#This Row],[Voornaam]]," ",)</f>
        <v xml:space="preserve">39929 Staneva Mariyana </v>
      </c>
      <c r="H43" t="s">
        <v>45</v>
      </c>
      <c r="I43" t="str">
        <f>VLOOKUP(Tabel2[[#This Row],[P-nr]],'data Chauffeur'!A:F,4,FALSE)</f>
        <v>Christoff Rotty</v>
      </c>
      <c r="J43" t="str">
        <f>VLOOKUP(Tabel2[[#This Row],[P-nr]],'data Chauffeur'!A:F,5,FALSE)</f>
        <v>RESF</v>
      </c>
      <c r="K43" s="8" t="s">
        <v>34</v>
      </c>
      <c r="N43" s="11"/>
    </row>
    <row r="44" spans="1:14" x14ac:dyDescent="0.25">
      <c r="C44" s="11">
        <v>45898</v>
      </c>
      <c r="D44">
        <v>17931</v>
      </c>
      <c r="E44" t="str">
        <f>VLOOKUP(Tabel2[[#This Row],[P-nr]],'data Chauffeur'!A:F,2,FALSE)</f>
        <v>Idrisi</v>
      </c>
      <c r="F44" t="str">
        <f>VLOOKUP(Tabel2[[#This Row],[P-nr]],'data Chauffeur'!A:F,3,FALSE)</f>
        <v>Hasana</v>
      </c>
      <c r="G44" t="str">
        <f>_xlfn.CONCAT(Tabel2[[#This Row],[P-nr]]," ",Tabel2[[#This Row],[Naam]]," ",Tabel2[[#This Row],[Voornaam]]," ",)</f>
        <v xml:space="preserve">17931 Idrisi Hasana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34</v>
      </c>
    </row>
    <row r="45" spans="1:14" x14ac:dyDescent="0.25">
      <c r="C45" s="11">
        <v>45898</v>
      </c>
      <c r="D45">
        <v>21424</v>
      </c>
      <c r="E45" t="str">
        <f>VLOOKUP(Tabel2[[#This Row],[P-nr]],'data Chauffeur'!A:F,2,FALSE)</f>
        <v>Verstichel</v>
      </c>
      <c r="F45" t="str">
        <f>VLOOKUP(Tabel2[[#This Row],[P-nr]],'data Chauffeur'!A:F,3,FALSE)</f>
        <v>Jethro</v>
      </c>
      <c r="G45" t="str">
        <f>_xlfn.CONCAT(Tabel2[[#This Row],[P-nr]]," ",Tabel2[[#This Row],[Naam]]," ",Tabel2[[#This Row],[Voornaam]]," ",)</f>
        <v xml:space="preserve">21424 Verstichel Jethro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MV12</v>
      </c>
      <c r="K45" s="8" t="s">
        <v>34</v>
      </c>
    </row>
    <row r="46" spans="1:14" x14ac:dyDescent="0.25">
      <c r="C46" s="11">
        <v>45898</v>
      </c>
      <c r="D46">
        <v>29478</v>
      </c>
      <c r="E46" t="str">
        <f>VLOOKUP(Tabel2[[#This Row],[P-nr]],'data Chauffeur'!A:F,2,FALSE)</f>
        <v>Priwall</v>
      </c>
      <c r="F46" t="str">
        <f>VLOOKUP(Tabel2[[#This Row],[P-nr]],'data Chauffeur'!A:F,3,FALSE)</f>
        <v>Heike</v>
      </c>
      <c r="G46" t="str">
        <f>_xlfn.CONCAT(Tabel2[[#This Row],[P-nr]]," ",Tabel2[[#This Row],[Naam]]," ",Tabel2[[#This Row],[Voornaam]]," ",)</f>
        <v xml:space="preserve">29478 Priwall Heike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RESV</v>
      </c>
      <c r="K46" s="8" t="s">
        <v>34</v>
      </c>
    </row>
    <row r="47" spans="1:14" x14ac:dyDescent="0.25">
      <c r="C47" s="11">
        <v>45898</v>
      </c>
      <c r="D47">
        <v>35450</v>
      </c>
      <c r="E47" t="str">
        <f>VLOOKUP(Tabel2[[#This Row],[P-nr]],'data Chauffeur'!A:F,2,FALSE)</f>
        <v>Roos</v>
      </c>
      <c r="F47" t="str">
        <f>VLOOKUP(Tabel2[[#This Row],[P-nr]],'data Chauffeur'!A:F,3,FALSE)</f>
        <v>Hugo</v>
      </c>
      <c r="G47" t="str">
        <f>_xlfn.CONCAT(Tabel2[[#This Row],[P-nr]]," ",Tabel2[[#This Row],[Naam]]," ",Tabel2[[#This Row],[Voornaam]]," ",)</f>
        <v xml:space="preserve">35450 Roos Hugo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BR15</v>
      </c>
      <c r="K47" s="8" t="s">
        <v>34</v>
      </c>
    </row>
    <row r="48" spans="1:14" x14ac:dyDescent="0.25">
      <c r="C48" s="11">
        <v>45898</v>
      </c>
      <c r="D48">
        <v>36358</v>
      </c>
      <c r="E48" t="str">
        <f>VLOOKUP(Tabel2[[#This Row],[P-nr]],'data Chauffeur'!A:F,2,FALSE)</f>
        <v>De Nys</v>
      </c>
      <c r="F48" t="str">
        <f>VLOOKUP(Tabel2[[#This Row],[P-nr]],'data Chauffeur'!A:F,3,FALSE)</f>
        <v>Elise</v>
      </c>
      <c r="G48" t="str">
        <f>_xlfn.CONCAT(Tabel2[[#This Row],[P-nr]]," ",Tabel2[[#This Row],[Naam]]," ",Tabel2[[#This Row],[Voornaam]]," ",)</f>
        <v xml:space="preserve">36358 De Nys Elise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RESF</v>
      </c>
      <c r="K48" s="8" t="s">
        <v>34</v>
      </c>
    </row>
    <row r="49" spans="1:12" x14ac:dyDescent="0.25">
      <c r="C49" s="11">
        <v>45898</v>
      </c>
      <c r="D49">
        <v>36627</v>
      </c>
      <c r="E49" t="str">
        <f>VLOOKUP(Tabel2[[#This Row],[P-nr]],'data Chauffeur'!A:F,2,FALSE)</f>
        <v>Dobbelaere</v>
      </c>
      <c r="F49" t="str">
        <f>VLOOKUP(Tabel2[[#This Row],[P-nr]],'data Chauffeur'!A:F,3,FALSE)</f>
        <v>David</v>
      </c>
      <c r="G49" t="str">
        <f>_xlfn.CONCAT(Tabel2[[#This Row],[P-nr]]," ",Tabel2[[#This Row],[Naam]]," ",Tabel2[[#This Row],[Voornaam]]," ",)</f>
        <v xml:space="preserve">36627 Dobbelaere David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B24</v>
      </c>
      <c r="K49" s="8" t="s">
        <v>34</v>
      </c>
    </row>
    <row r="50" spans="1:12" x14ac:dyDescent="0.25">
      <c r="C50" s="11">
        <v>45898</v>
      </c>
      <c r="D50">
        <v>38475</v>
      </c>
      <c r="E50" t="str">
        <f>VLOOKUP(Tabel2[[#This Row],[P-nr]],'data Chauffeur'!A:F,2,FALSE)</f>
        <v>Verschraegen</v>
      </c>
      <c r="F50" t="str">
        <f>VLOOKUP(Tabel2[[#This Row],[P-nr]],'data Chauffeur'!A:F,3,FALSE)</f>
        <v>Katleen</v>
      </c>
      <c r="G50" t="str">
        <f>_xlfn.CONCAT(Tabel2[[#This Row],[P-nr]]," ",Tabel2[[#This Row],[Naam]]," ",Tabel2[[#This Row],[Voornaam]]," ",)</f>
        <v xml:space="preserve">38475 Verschraegen Katleen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BR15</v>
      </c>
      <c r="K50" s="8" t="s">
        <v>34</v>
      </c>
    </row>
    <row r="51" spans="1:12" x14ac:dyDescent="0.25">
      <c r="C51" s="11">
        <v>45898</v>
      </c>
      <c r="D51">
        <v>38529</v>
      </c>
      <c r="E51" t="str">
        <f>VLOOKUP(Tabel2[[#This Row],[P-nr]],'data Chauffeur'!A:F,2,FALSE)</f>
        <v>Huyghe</v>
      </c>
      <c r="F51" t="str">
        <f>VLOOKUP(Tabel2[[#This Row],[P-nr]],'data Chauffeur'!A:F,3,FALSE)</f>
        <v>Jan</v>
      </c>
      <c r="G51" t="str">
        <f>_xlfn.CONCAT(Tabel2[[#This Row],[P-nr]]," ",Tabel2[[#This Row],[Naam]]," ",Tabel2[[#This Row],[Voornaam]]," ",)</f>
        <v xml:space="preserve">38529 Huyghe Jan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34</v>
      </c>
    </row>
    <row r="52" spans="1:12" x14ac:dyDescent="0.25">
      <c r="C52" s="11">
        <v>45898</v>
      </c>
      <c r="D52">
        <v>38688</v>
      </c>
      <c r="E52" t="str">
        <f>VLOOKUP(Tabel2[[#This Row],[P-nr]],'data Chauffeur'!A:F,2,FALSE)</f>
        <v>Basgurboga</v>
      </c>
      <c r="F52" t="str">
        <f>VLOOKUP(Tabel2[[#This Row],[P-nr]],'data Chauffeur'!A:F,3,FALSE)</f>
        <v>Selahattin</v>
      </c>
      <c r="G52" t="str">
        <f>_xlfn.CONCAT(Tabel2[[#This Row],[P-nr]]," ",Tabel2[[#This Row],[Naam]]," ",Tabel2[[#This Row],[Voornaam]]," ",)</f>
        <v xml:space="preserve">38688 Basgurboga Selahattin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BN24</v>
      </c>
      <c r="K52" s="8" t="s">
        <v>34</v>
      </c>
    </row>
    <row r="53" spans="1:12" x14ac:dyDescent="0.25">
      <c r="C53" s="11">
        <v>45898</v>
      </c>
      <c r="D53">
        <v>40856</v>
      </c>
      <c r="E53" t="str">
        <f>VLOOKUP(Tabel2[[#This Row],[P-nr]],'data Chauffeur'!A:F,2,FALSE)</f>
        <v>Neissi</v>
      </c>
      <c r="F53" t="str">
        <f>VLOOKUP(Tabel2[[#This Row],[P-nr]],'data Chauffeur'!A:F,3,FALSE)</f>
        <v>Sadegh</v>
      </c>
      <c r="G53" t="str">
        <f>_xlfn.CONCAT(Tabel2[[#This Row],[P-nr]]," ",Tabel2[[#This Row],[Naam]]," ",Tabel2[[#This Row],[Voornaam]]," ",)</f>
        <v xml:space="preserve">40856 Neissi Sadegh </v>
      </c>
      <c r="H53" t="s">
        <v>45</v>
      </c>
      <c r="I53" t="str">
        <f>VLOOKUP(Tabel2[[#This Row],[P-nr]],'data Chauffeur'!A:F,4,FALSE)</f>
        <v>Kenneth De Rick</v>
      </c>
      <c r="J53" t="str">
        <f>VLOOKUP(Tabel2[[#This Row],[P-nr]],'data Chauffeur'!A:F,5,FALSE)</f>
        <v>RESF</v>
      </c>
      <c r="K53" s="8" t="s">
        <v>34</v>
      </c>
    </row>
    <row r="54" spans="1:12" x14ac:dyDescent="0.25">
      <c r="C54" s="11">
        <v>45898</v>
      </c>
      <c r="D54">
        <v>39651</v>
      </c>
      <c r="E54" t="str">
        <f>VLOOKUP(Tabel2[[#This Row],[P-nr]],'data Chauffeur'!A:F,2,FALSE)</f>
        <v>Kallenbach</v>
      </c>
      <c r="F54" t="str">
        <f>VLOOKUP(Tabel2[[#This Row],[P-nr]],'data Chauffeur'!A:F,3,FALSE)</f>
        <v>Sunny</v>
      </c>
      <c r="G54" t="str">
        <f>_xlfn.CONCAT(Tabel2[[#This Row],[P-nr]]," ",Tabel2[[#This Row],[Naam]]," ",Tabel2[[#This Row],[Voornaam]]," ",)</f>
        <v xml:space="preserve">39651 Kallenbach Sunny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40591</v>
      </c>
      <c r="E55" t="str">
        <f>VLOOKUP(Tabel2[[#This Row],[P-nr]],'data Chauffeur'!A:F,2,FALSE)</f>
        <v>Hiloui</v>
      </c>
      <c r="F55" t="str">
        <f>VLOOKUP(Tabel2[[#This Row],[P-nr]],'data Chauffeur'!A:F,3,FALSE)</f>
        <v>Mahmoud</v>
      </c>
      <c r="G55" t="str">
        <f>_xlfn.CONCAT(Tabel2[[#This Row],[P-nr]]," ",Tabel2[[#This Row],[Naam]]," ",Tabel2[[#This Row],[Voornaam]]," ",)</f>
        <v xml:space="preserve">40591 Hiloui Mahmoud </v>
      </c>
      <c r="H55" t="s">
        <v>45</v>
      </c>
      <c r="I55" t="str">
        <f>VLOOKUP(Tabel2[[#This Row],[P-nr]],'data Chauffeur'!A:F,4,FALSE)</f>
        <v>Dominique De Clercq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23918</v>
      </c>
      <c r="E56" t="str">
        <f>VLOOKUP(Tabel2[[#This Row],[P-nr]],'data Chauffeur'!A:F,2,FALSE)</f>
        <v>D'Haeyere</v>
      </c>
      <c r="F56" t="str">
        <f>VLOOKUP(Tabel2[[#This Row],[P-nr]],'data Chauffeur'!A:F,3,FALSE)</f>
        <v>Bernard</v>
      </c>
      <c r="G56" t="str">
        <f>_xlfn.CONCAT(Tabel2[[#This Row],[P-nr]]," ",Tabel2[[#This Row],[Naam]]," ",Tabel2[[#This Row],[Voornaam]]," ",)</f>
        <v xml:space="preserve">23918 D'Haeyere Bernard </v>
      </c>
      <c r="H56" t="s">
        <v>45</v>
      </c>
      <c r="I56" t="str">
        <f>VLOOKUP(Tabel2[[#This Row],[P-nr]],'data Chauffeur'!A:F,4,FALSE)</f>
        <v>Els Vanhoe</v>
      </c>
      <c r="J56" t="str">
        <f>VLOOKUP(Tabel2[[#This Row],[P-nr]],'data Chauffeur'!A:F,5,FALSE)</f>
        <v>SW05</v>
      </c>
      <c r="K56" s="8" t="s">
        <v>34</v>
      </c>
    </row>
    <row r="57" spans="1:12" x14ac:dyDescent="0.25">
      <c r="C57" s="11">
        <v>45898</v>
      </c>
      <c r="D57">
        <v>41619</v>
      </c>
      <c r="E57" t="str">
        <f>VLOOKUP(Tabel2[[#This Row],[P-nr]],'data Chauffeur'!A:F,2,FALSE)</f>
        <v>Bachiri</v>
      </c>
      <c r="F57" t="str">
        <f>VLOOKUP(Tabel2[[#This Row],[P-nr]],'data Chauffeur'!A:F,3,FALSE)</f>
        <v>Ousama</v>
      </c>
      <c r="G57" t="str">
        <f>_xlfn.CONCAT(Tabel2[[#This Row],[P-nr]]," ",Tabel2[[#This Row],[Naam]]," ",Tabel2[[#This Row],[Voornaam]]," ",)</f>
        <v xml:space="preserve">41619 Bachiri Ousama </v>
      </c>
      <c r="H57" t="s">
        <v>45</v>
      </c>
      <c r="I57" t="str">
        <f>VLOOKUP(Tabel2[[#This Row],[P-nr]],'data Chauffeur'!A:F,4,FALSE)</f>
        <v>Bart Van Der Beken</v>
      </c>
      <c r="J57" t="str">
        <f>VLOOKUP(Tabel2[[#This Row],[P-nr]],'data Chauffeur'!A:F,5,FALSE)</f>
        <v>RESF</v>
      </c>
      <c r="K57" s="8" t="s">
        <v>34</v>
      </c>
    </row>
    <row r="58" spans="1:12" x14ac:dyDescent="0.25">
      <c r="C58" s="11">
        <v>45898</v>
      </c>
      <c r="D58">
        <v>35397</v>
      </c>
      <c r="E58" t="str">
        <f>VLOOKUP(Tabel2[[#This Row],[P-nr]],'data Chauffeur'!A:F,2,FALSE)</f>
        <v>Minbari</v>
      </c>
      <c r="F58" t="str">
        <f>VLOOKUP(Tabel2[[#This Row],[P-nr]],'data Chauffeur'!A:F,3,FALSE)</f>
        <v>Ako</v>
      </c>
      <c r="G58" t="str">
        <f>_xlfn.CONCAT(Tabel2[[#This Row],[P-nr]]," ",Tabel2[[#This Row],[Naam]]," ",Tabel2[[#This Row],[Voornaam]]," ",)</f>
        <v xml:space="preserve">35397 Minbari Ako </v>
      </c>
      <c r="H58" t="s">
        <v>45</v>
      </c>
      <c r="I58" t="str">
        <f>VLOOKUP(Tabel2[[#This Row],[P-nr]],'data Chauffeur'!A:F,4,FALSE)</f>
        <v>Lucie Vande Velde</v>
      </c>
      <c r="J58" t="str">
        <f>VLOOKUP(Tabel2[[#This Row],[P-nr]],'data Chauffeur'!A:F,5,FALSE)</f>
        <v>MN24</v>
      </c>
      <c r="K58" s="8" t="s">
        <v>34</v>
      </c>
    </row>
    <row r="59" spans="1:12" x14ac:dyDescent="0.25">
      <c r="C59" s="11">
        <v>45898</v>
      </c>
      <c r="D59">
        <v>15412</v>
      </c>
      <c r="E59" t="str">
        <f>VLOOKUP(Tabel2[[#This Row],[P-nr]],'data Chauffeur'!A:F,2,FALSE)</f>
        <v>Dhondt</v>
      </c>
      <c r="F59" t="str">
        <f>VLOOKUP(Tabel2[[#This Row],[P-nr]],'data Chauffeur'!A:F,3,FALSE)</f>
        <v>Frank</v>
      </c>
      <c r="G59" t="str">
        <f>_xlfn.CONCAT(Tabel2[[#This Row],[P-nr]]," ",Tabel2[[#This Row],[Naam]]," ",Tabel2[[#This Row],[Voornaam]]," ",)</f>
        <v xml:space="preserve">15412 Dhondt Frank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G09</v>
      </c>
      <c r="K59" s="8" t="s">
        <v>34</v>
      </c>
    </row>
    <row r="60" spans="1:12" x14ac:dyDescent="0.25">
      <c r="C60" s="11">
        <v>45898</v>
      </c>
      <c r="D60">
        <v>11236</v>
      </c>
      <c r="E60" t="str">
        <f>VLOOKUP(Tabel2[[#This Row],[P-nr]],'data Chauffeur'!A:F,2,FALSE)</f>
        <v>Baert</v>
      </c>
      <c r="F60" t="str">
        <f>VLOOKUP(Tabel2[[#This Row],[P-nr]],'data Chauffeur'!A:F,3,FALSE)</f>
        <v>Freddy</v>
      </c>
      <c r="G60" t="str">
        <f>_xlfn.CONCAT(Tabel2[[#This Row],[P-nr]]," ",Tabel2[[#This Row],[Naam]]," ",Tabel2[[#This Row],[Voornaam]]," ",)</f>
        <v xml:space="preserve">11236 Baert Freddy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ht="60" x14ac:dyDescent="0.25">
      <c r="C61" s="11">
        <v>45903</v>
      </c>
      <c r="D61">
        <v>39831</v>
      </c>
      <c r="E61" t="str">
        <f>VLOOKUP(Tabel2[[#This Row],[P-nr]],'data Chauffeur'!A:F,2,FALSE)</f>
        <v>Dolgiev</v>
      </c>
      <c r="F61" t="str">
        <f>VLOOKUP(Tabel2[[#This Row],[P-nr]],'data Chauffeur'!A:F,3,FALSE)</f>
        <v>Mukhamed</v>
      </c>
      <c r="G61" t="str">
        <f>_xlfn.CONCAT(Tabel2[[#This Row],[P-nr]]," ",Tabel2[[#This Row],[Naam]]," ",Tabel2[[#This Row],[Voornaam]]," ",)</f>
        <v xml:space="preserve">39831 Dolgiev Mukhamed </v>
      </c>
      <c r="H61" t="s">
        <v>45</v>
      </c>
      <c r="I61" t="str">
        <f>VLOOKUP(Tabel2[[#This Row],[P-nr]],'data Chauffeur'!A:F,4,FALSE)</f>
        <v>Els Dewulf</v>
      </c>
      <c r="J61" t="str">
        <f>VLOOKUP(Tabel2[[#This Row],[P-nr]],'data Chauffeur'!A:F,5,FALSE)</f>
        <v>RESF</v>
      </c>
      <c r="K61" s="8" t="s">
        <v>49</v>
      </c>
      <c r="L61" s="2" t="s">
        <v>33</v>
      </c>
    </row>
    <row r="62" spans="1:12" ht="45" x14ac:dyDescent="0.25">
      <c r="A62" s="2" t="s">
        <v>25</v>
      </c>
      <c r="C62" s="11">
        <v>45910</v>
      </c>
      <c r="D62">
        <v>16895</v>
      </c>
      <c r="E62" t="str">
        <f>VLOOKUP(Tabel2[[#This Row],[P-nr]],'data Chauffeur'!A:F,2,FALSE)</f>
        <v>Van Lauwe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16895 Van Lauwe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TW24</v>
      </c>
      <c r="K62" s="8" t="s">
        <v>50</v>
      </c>
      <c r="L62" s="2" t="s">
        <v>23</v>
      </c>
    </row>
    <row r="63" spans="1:12" x14ac:dyDescent="0.25">
      <c r="C63" s="11">
        <v>45911</v>
      </c>
      <c r="D63">
        <v>37132</v>
      </c>
      <c r="E63" t="str">
        <f>VLOOKUP(Tabel2[[#This Row],[P-nr]],'data Chauffeur'!A:F,2,FALSE)</f>
        <v>Dacic</v>
      </c>
      <c r="F63" t="str">
        <f>VLOOKUP(Tabel2[[#This Row],[P-nr]],'data Chauffeur'!A:F,3,FALSE)</f>
        <v>Esmir</v>
      </c>
      <c r="G63" t="str">
        <f>_xlfn.CONCAT(Tabel2[[#This Row],[P-nr]]," ",Tabel2[[#This Row],[Naam]]," ",Tabel2[[#This Row],[Voornaam]]," ",)</f>
        <v xml:space="preserve">37132 Dacic Esmir </v>
      </c>
      <c r="H63" t="s">
        <v>45</v>
      </c>
      <c r="I63" t="str">
        <f>VLOOKUP(Tabel2[[#This Row],[P-nr]],'data Chauffeur'!A:F,4,FALSE)</f>
        <v>Dominique De Clercq</v>
      </c>
      <c r="J63" t="str">
        <f>VLOOKUP(Tabel2[[#This Row],[P-nr]],'data Chauffeur'!A:F,5,FALSE)</f>
        <v>RESF</v>
      </c>
      <c r="K63" s="8" t="s">
        <v>34</v>
      </c>
    </row>
    <row r="64" spans="1:12" x14ac:dyDescent="0.25">
      <c r="C64" s="11">
        <v>45917</v>
      </c>
      <c r="D64">
        <v>21509</v>
      </c>
      <c r="E64" t="str">
        <f>VLOOKUP(Tabel2[[#This Row],[P-nr]],'data Chauffeur'!A:F,2,FALSE)</f>
        <v>De Craemer</v>
      </c>
      <c r="F64" t="str">
        <f>VLOOKUP(Tabel2[[#This Row],[P-nr]],'data Chauffeur'!A:F,3,FALSE)</f>
        <v>Kris</v>
      </c>
      <c r="G64" t="str">
        <f>_xlfn.CONCAT(Tabel2[[#This Row],[P-nr]]," ",Tabel2[[#This Row],[Naam]]," ",Tabel2[[#This Row],[Voornaam]]," ",)</f>
        <v xml:space="preserve">21509 De Craemer Kris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TL12</v>
      </c>
      <c r="K64" s="8" t="s">
        <v>34</v>
      </c>
    </row>
    <row r="65" spans="3:14" x14ac:dyDescent="0.25">
      <c r="C65" s="11">
        <v>45917</v>
      </c>
      <c r="D65">
        <v>32002</v>
      </c>
      <c r="E65" t="str">
        <f>VLOOKUP(Tabel2[[#This Row],[P-nr]],'data Chauffeur'!A:F,2,FALSE)</f>
        <v>Hasni</v>
      </c>
      <c r="F65" t="str">
        <f>VLOOKUP(Tabel2[[#This Row],[P-nr]],'data Chauffeur'!A:F,3,FALSE)</f>
        <v>Helmi</v>
      </c>
      <c r="G65" t="str">
        <f>_xlfn.CONCAT(Tabel2[[#This Row],[P-nr]]," ",Tabel2[[#This Row],[Naam]]," ",Tabel2[[#This Row],[Voornaam]]," ",)</f>
        <v xml:space="preserve">32002 Hasni Helmi </v>
      </c>
      <c r="H65" t="s">
        <v>45</v>
      </c>
      <c r="I65" t="str">
        <f>VLOOKUP(Tabel2[[#This Row],[P-nr]],'data Chauffeur'!A:F,4,FALSE)</f>
        <v>Steven Storm</v>
      </c>
      <c r="J65" t="str">
        <f>VLOOKUP(Tabel2[[#This Row],[P-nr]],'data Chauffeur'!A:F,5,FALSE)</f>
        <v>TN24</v>
      </c>
      <c r="K65" s="8" t="s">
        <v>34</v>
      </c>
    </row>
    <row r="66" spans="3:14" x14ac:dyDescent="0.25">
      <c r="C66" s="11">
        <v>45917</v>
      </c>
      <c r="D66">
        <v>41384</v>
      </c>
      <c r="E66" t="str">
        <f>VLOOKUP(Tabel2[[#This Row],[P-nr]],'data Chauffeur'!A:F,2,FALSE)</f>
        <v>Hillaert</v>
      </c>
      <c r="F66" t="str">
        <f>VLOOKUP(Tabel2[[#This Row],[P-nr]],'data Chauffeur'!A:F,3,FALSE)</f>
        <v>Thimo</v>
      </c>
      <c r="G66" t="str">
        <f>_xlfn.CONCAT(Tabel2[[#This Row],[P-nr]]," ",Tabel2[[#This Row],[Naam]]," ",Tabel2[[#This Row],[Voornaam]]," ",)</f>
        <v xml:space="preserve">41384 Hillaert Thimo </v>
      </c>
      <c r="H66" t="s">
        <v>45</v>
      </c>
      <c r="I66" t="str">
        <f>VLOOKUP(Tabel2[[#This Row],[P-nr]],'data Chauffeur'!A:F,4,FALSE)</f>
        <v>Christoff Rotty</v>
      </c>
      <c r="J66" t="str">
        <f>VLOOKUP(Tabel2[[#This Row],[P-nr]],'data Chauffeur'!A:F,5,FALSE)</f>
        <v>RESF</v>
      </c>
      <c r="K66" s="8" t="s">
        <v>34</v>
      </c>
    </row>
    <row r="67" spans="3:14" x14ac:dyDescent="0.25">
      <c r="C67" s="11">
        <v>45941</v>
      </c>
      <c r="D67">
        <v>41064</v>
      </c>
      <c r="E67" t="str">
        <f>VLOOKUP(Tabel2[[#This Row],[P-nr]],'data Chauffeur'!A:F,2,FALSE)</f>
        <v>Ardic</v>
      </c>
      <c r="F67" t="str">
        <f>VLOOKUP(Tabel2[[#This Row],[P-nr]],'data Chauffeur'!A:F,3,FALSE)</f>
        <v>Atilla</v>
      </c>
      <c r="G67" t="str">
        <f>_xlfn.CONCAT(Tabel2[[#This Row],[P-nr]]," ",Tabel2[[#This Row],[Naam]]," ",Tabel2[[#This Row],[Voornaam]]," ",)</f>
        <v xml:space="preserve">41064 Ardic Atilla </v>
      </c>
      <c r="H67" t="str">
        <f>VLOOKUP(Tabel2[[#This Row],[P-nr]],'data Chauffeur'!A:F,6,FALSE)</f>
        <v>Gent stad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55</v>
      </c>
      <c r="N67" s="11"/>
    </row>
    <row r="68" spans="3:14" x14ac:dyDescent="0.25">
      <c r="C68" s="11">
        <v>45945</v>
      </c>
      <c r="D68">
        <v>40744</v>
      </c>
      <c r="E68" t="str">
        <f>VLOOKUP(Tabel2[[#This Row],[P-nr]],'data Chauffeur'!A:F,2,FALSE)</f>
        <v>Gözüküçük</v>
      </c>
      <c r="F68" t="str">
        <f>VLOOKUP(Tabel2[[#This Row],[P-nr]],'data Chauffeur'!A:F,3,FALSE)</f>
        <v>Ugur</v>
      </c>
      <c r="G68" t="str">
        <f>_xlfn.CONCAT(Tabel2[[#This Row],[P-nr]]," ",Tabel2[[#This Row],[Naam]]," ",Tabel2[[#This Row],[Voornaam]]," ",)</f>
        <v xml:space="preserve">40744 Gözüküçük Ugur </v>
      </c>
      <c r="H68" t="s">
        <v>45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RESF</v>
      </c>
      <c r="K68" s="8" t="s">
        <v>34</v>
      </c>
    </row>
    <row r="69" spans="3:14" x14ac:dyDescent="0.25">
      <c r="C69" s="11">
        <v>45950</v>
      </c>
      <c r="D69">
        <v>26524</v>
      </c>
      <c r="E69" t="str">
        <f>VLOOKUP(Tabel2[[#This Row],[P-nr]],'data Chauffeur'!A:F,2,FALSE)</f>
        <v>Bolle</v>
      </c>
      <c r="F69" t="str">
        <f>VLOOKUP(Tabel2[[#This Row],[P-nr]],'data Chauffeur'!A:F,3,FALSE)</f>
        <v>Cynthia</v>
      </c>
      <c r="G69" t="str">
        <f>_xlfn.CONCAT(Tabel2[[#This Row],[P-nr]]," ",Tabel2[[#This Row],[Naam]]," ",Tabel2[[#This Row],[Voornaam]]," ",)</f>
        <v xml:space="preserve">26524 Bolle Cynthia </v>
      </c>
      <c r="H69" t="s">
        <v>45</v>
      </c>
      <c r="I69" t="str">
        <f>VLOOKUP(Tabel2[[#This Row],[P-nr]],'data Chauffeur'!A:F,4,FALSE)</f>
        <v>Els Vanhoe</v>
      </c>
      <c r="J69" t="str">
        <f>VLOOKUP(Tabel2[[#This Row],[P-nr]],'data Chauffeur'!A:F,5,FALSE)</f>
        <v>RESV</v>
      </c>
      <c r="K69" s="8" t="s">
        <v>31</v>
      </c>
      <c r="L69" s="2" t="s">
        <v>23</v>
      </c>
    </row>
    <row r="70" spans="3:14" x14ac:dyDescent="0.25">
      <c r="C70" s="11">
        <v>45966</v>
      </c>
      <c r="D70">
        <v>20653</v>
      </c>
      <c r="E70" t="str">
        <f>VLOOKUP(Tabel2[[#This Row],[P-nr]],'data Chauffeur'!A:F,2,FALSE)</f>
        <v>Mestdag</v>
      </c>
      <c r="F70" t="str">
        <f>VLOOKUP(Tabel2[[#This Row],[P-nr]],'data Chauffeur'!A:F,3,FALSE)</f>
        <v>Marius</v>
      </c>
      <c r="G70" t="str">
        <f>_xlfn.CONCAT(Tabel2[[#This Row],[P-nr]]," ",Tabel2[[#This Row],[Naam]]," ",Tabel2[[#This Row],[Voornaam]]," ",)</f>
        <v xml:space="preserve">20653 Mestdag Marius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TW24</v>
      </c>
      <c r="K70" s="8" t="s">
        <v>57</v>
      </c>
      <c r="N70" s="11"/>
    </row>
    <row r="71" spans="3:14" x14ac:dyDescent="0.25">
      <c r="C71" s="11">
        <v>45966</v>
      </c>
      <c r="D71">
        <v>28910</v>
      </c>
      <c r="E71" t="str">
        <f>VLOOKUP(Tabel2[[#This Row],[P-nr]],'data Chauffeur'!A:F,2,FALSE)</f>
        <v>Gassa</v>
      </c>
      <c r="F71" t="str">
        <f>VLOOKUP(Tabel2[[#This Row],[P-nr]],'data Chauffeur'!A:F,3,FALSE)</f>
        <v>Osmane</v>
      </c>
      <c r="G71" t="str">
        <f>_xlfn.CONCAT(Tabel2[[#This Row],[P-nr]]," ",Tabel2[[#This Row],[Naam]]," ",Tabel2[[#This Row],[Voornaam]]," ",)</f>
        <v xml:space="preserve">28910 Gassa Osmane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BD12</v>
      </c>
      <c r="K71" s="8" t="s">
        <v>57</v>
      </c>
      <c r="N71" s="11"/>
    </row>
    <row r="72" spans="3:14" x14ac:dyDescent="0.25">
      <c r="C72" s="11">
        <v>45966</v>
      </c>
      <c r="D72">
        <v>32611</v>
      </c>
      <c r="E72" t="str">
        <f>VLOOKUP(Tabel2[[#This Row],[P-nr]],'data Chauffeur'!A:F,2,FALSE)</f>
        <v>Özer</v>
      </c>
      <c r="F72" t="str">
        <f>VLOOKUP(Tabel2[[#This Row],[P-nr]],'data Chauffeur'!A:F,3,FALSE)</f>
        <v>Özgur</v>
      </c>
      <c r="G72" t="str">
        <f>_xlfn.CONCAT(Tabel2[[#This Row],[P-nr]]," ",Tabel2[[#This Row],[Naam]]," ",Tabel2[[#This Row],[Voornaam]]," ",)</f>
        <v xml:space="preserve">32611 Özer Özgur </v>
      </c>
      <c r="H72" t="s">
        <v>45</v>
      </c>
      <c r="I72" t="str">
        <f>VLOOKUP(Tabel2[[#This Row],[P-nr]],'data Chauffeur'!A:F,4,FALSE)</f>
        <v>Kenneth De Rick</v>
      </c>
      <c r="J72" t="str">
        <f>VLOOKUP(Tabel2[[#This Row],[P-nr]],'data Chauffeur'!A:F,5,FALSE)</f>
        <v>ML12</v>
      </c>
      <c r="K72" s="8" t="s">
        <v>57</v>
      </c>
      <c r="N72" s="11"/>
    </row>
    <row r="73" spans="3:14" x14ac:dyDescent="0.25">
      <c r="C73" s="11">
        <v>45966</v>
      </c>
      <c r="D73">
        <v>37345</v>
      </c>
      <c r="E73" t="str">
        <f>VLOOKUP(Tabel2[[#This Row],[P-nr]],'data Chauffeur'!A:F,2,FALSE)</f>
        <v>Walleyn</v>
      </c>
      <c r="F73" t="str">
        <f>VLOOKUP(Tabel2[[#This Row],[P-nr]],'data Chauffeur'!A:F,3,FALSE)</f>
        <v>Renaat</v>
      </c>
      <c r="G73" t="str">
        <f>_xlfn.CONCAT(Tabel2[[#This Row],[P-nr]]," ",Tabel2[[#This Row],[Naam]]," ",Tabel2[[#This Row],[Voornaam]]," ",)</f>
        <v xml:space="preserve">37345 Walleyn Renaat </v>
      </c>
      <c r="H73" t="s">
        <v>45</v>
      </c>
      <c r="I73" t="str">
        <f>VLOOKUP(Tabel2[[#This Row],[P-nr]],'data Chauffeur'!A:F,4,FALSE)</f>
        <v>Lucie Vande Velde</v>
      </c>
      <c r="J73" t="str">
        <f>VLOOKUP(Tabel2[[#This Row],[P-nr]],'data Chauffeur'!A:F,5,FALSE)</f>
        <v>RESF</v>
      </c>
      <c r="K73" s="8" t="s">
        <v>57</v>
      </c>
      <c r="N73" s="11"/>
    </row>
    <row r="74" spans="3:14" x14ac:dyDescent="0.25">
      <c r="C74" s="11">
        <v>45966</v>
      </c>
      <c r="D74">
        <v>39856</v>
      </c>
      <c r="E74" t="str">
        <f>VLOOKUP(Tabel2[[#This Row],[P-nr]],'data Chauffeur'!A:F,2,FALSE)</f>
        <v>Curukcu</v>
      </c>
      <c r="F74" t="str">
        <f>VLOOKUP(Tabel2[[#This Row],[P-nr]],'data Chauffeur'!A:F,3,FALSE)</f>
        <v>Bayram</v>
      </c>
      <c r="G74" t="str">
        <f>_xlfn.CONCAT(Tabel2[[#This Row],[P-nr]]," ",Tabel2[[#This Row],[Naam]]," ",Tabel2[[#This Row],[Voornaam]]," ",)</f>
        <v xml:space="preserve">39856 Curukcu Bayram </v>
      </c>
      <c r="H74" t="s">
        <v>45</v>
      </c>
      <c r="I74" t="str">
        <f>VLOOKUP(Tabel2[[#This Row],[P-nr]],'data Chauffeur'!A:F,4,FALSE)</f>
        <v>Kenneth De Rick</v>
      </c>
      <c r="J74" t="str">
        <f>VLOOKUP(Tabel2[[#This Row],[P-nr]],'data Chauffeur'!A:F,5,FALSE)</f>
        <v>RESF</v>
      </c>
      <c r="K74" s="8" t="s">
        <v>57</v>
      </c>
      <c r="N74" s="11"/>
    </row>
    <row r="75" spans="3:14" x14ac:dyDescent="0.25">
      <c r="C75" s="11">
        <v>45966</v>
      </c>
      <c r="D75">
        <v>40058</v>
      </c>
      <c r="E75" t="str">
        <f>VLOOKUP(Tabel2[[#This Row],[P-nr]],'data Chauffeur'!A:F,2,FALSE)</f>
        <v>Sögüt</v>
      </c>
      <c r="F75" t="str">
        <f>VLOOKUP(Tabel2[[#This Row],[P-nr]],'data Chauffeur'!A:F,3,FALSE)</f>
        <v>Can</v>
      </c>
      <c r="G75" t="str">
        <f>_xlfn.CONCAT(Tabel2[[#This Row],[P-nr]]," ",Tabel2[[#This Row],[Naam]]," ",Tabel2[[#This Row],[Voornaam]]," ",)</f>
        <v xml:space="preserve">40058 Sögüt Can </v>
      </c>
      <c r="H75" t="s">
        <v>45</v>
      </c>
      <c r="I75" t="str">
        <f>VLOOKUP(Tabel2[[#This Row],[P-nr]],'data Chauffeur'!A:F,4,FALSE)</f>
        <v>Christoff Rotty</v>
      </c>
      <c r="J75" t="str">
        <f>VLOOKUP(Tabel2[[#This Row],[P-nr]],'data Chauffeur'!A:F,5,FALSE)</f>
        <v>RESF</v>
      </c>
      <c r="K75" s="8" t="s">
        <v>57</v>
      </c>
      <c r="N75" s="11"/>
    </row>
    <row r="76" spans="3:14" x14ac:dyDescent="0.25">
      <c r="C76" s="11">
        <v>45966</v>
      </c>
      <c r="D76">
        <v>41482</v>
      </c>
      <c r="E76" t="str">
        <f>VLOOKUP(Tabel2[[#This Row],[P-nr]],'data Chauffeur'!A:F,2,FALSE)</f>
        <v>Özdemir</v>
      </c>
      <c r="F76" t="str">
        <f>VLOOKUP(Tabel2[[#This Row],[P-nr]],'data Chauffeur'!A:F,3,FALSE)</f>
        <v>Osman</v>
      </c>
      <c r="G76" t="str">
        <f>_xlfn.CONCAT(Tabel2[[#This Row],[P-nr]]," ",Tabel2[[#This Row],[Naam]]," ",Tabel2[[#This Row],[Voornaam]]," ",)</f>
        <v xml:space="preserve">41482 Özdemir Osman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s">
        <v>57</v>
      </c>
      <c r="N76" s="11"/>
    </row>
    <row r="77" spans="3:14" x14ac:dyDescent="0.25">
      <c r="C77" s="54"/>
      <c r="E77" t="e">
        <f>VLOOKUP(Tabel2[[#This Row],[P-nr]],'data Chauffeur'!A:F,2,FALSE)</f>
        <v>#N/A</v>
      </c>
      <c r="F77" t="e">
        <f>VLOOKUP(Tabel2[[#This Row],[P-nr]],'data Chauffeur'!A:F,3,FALSE)</f>
        <v>#N/A</v>
      </c>
      <c r="G77" t="e">
        <f>_xlfn.CONCAT(Tabel2[[#This Row],[P-nr]]," ",Tabel2[[#This Row],[Naam]]," ",Tabel2[[#This Row],[Voornaam]]," ",)</f>
        <v>#N/A</v>
      </c>
      <c r="H77" t="s">
        <v>45</v>
      </c>
      <c r="I77" t="e">
        <f>VLOOKUP(Tabel2[[#This Row],[P-nr]],'data Chauffeur'!A:F,4,FALSE)</f>
        <v>#N/A</v>
      </c>
      <c r="J77" t="e">
        <f>VLOOKUP(Tabel2[[#This Row],[P-nr]],'data Chauffeur'!A:F,5,FALSE)</f>
        <v>#N/A</v>
      </c>
      <c r="N77" s="54"/>
    </row>
    <row r="78" spans="3:14" x14ac:dyDescent="0.25">
      <c r="C78" s="54"/>
      <c r="D78" s="55"/>
      <c r="E78" t="e">
        <f>VLOOKUP(Tabel2[[#This Row],[P-nr]],'data Chauffeur'!A:F,2,FALSE)</f>
        <v>#N/A</v>
      </c>
      <c r="F78" t="e">
        <f>VLOOKUP(Tabel2[[#This Row],[P-nr]],'data Chauffeur'!A:F,3,FALSE)</f>
        <v>#N/A</v>
      </c>
      <c r="G78" t="e">
        <f>_xlfn.CONCAT(Tabel2[[#This Row],[P-nr]]," ",Tabel2[[#This Row],[Naam]]," ",Tabel2[[#This Row],[Voornaam]]," ",)</f>
        <v>#N/A</v>
      </c>
      <c r="H78" t="s">
        <v>45</v>
      </c>
      <c r="I78" t="e">
        <f>VLOOKUP(Tabel2[[#This Row],[P-nr]],'data Chauffeur'!A:F,4,FALSE)</f>
        <v>#N/A</v>
      </c>
      <c r="J78" t="e">
        <f>VLOOKUP(Tabel2[[#This Row],[P-nr]],'data Chauffeur'!A:F,5,FALSE)</f>
        <v>#N/A</v>
      </c>
      <c r="N78" s="54"/>
    </row>
    <row r="79" spans="3:14" x14ac:dyDescent="0.25">
      <c r="C79" s="54"/>
      <c r="D79" s="55"/>
      <c r="E79" t="e">
        <f>VLOOKUP(Tabel2[[#This Row],[P-nr]],'data Chauffeur'!A:F,2,FALSE)</f>
        <v>#N/A</v>
      </c>
      <c r="F79" t="e">
        <f>VLOOKUP(Tabel2[[#This Row],[P-nr]],'data Chauffeur'!A:F,3,FALSE)</f>
        <v>#N/A</v>
      </c>
      <c r="G79" t="e">
        <f>_xlfn.CONCAT(Tabel2[[#This Row],[P-nr]]," ",Tabel2[[#This Row],[Naam]]," ",Tabel2[[#This Row],[Voornaam]]," ",)</f>
        <v>#N/A</v>
      </c>
      <c r="H79" t="s">
        <v>45</v>
      </c>
      <c r="I79" t="e">
        <f>VLOOKUP(Tabel2[[#This Row],[P-nr]],'data Chauffeur'!A:F,4,FALSE)</f>
        <v>#N/A</v>
      </c>
      <c r="J79" t="e">
        <f>VLOOKUP(Tabel2[[#This Row],[P-nr]],'data Chauffeur'!A:F,5,FALSE)</f>
        <v>#N/A</v>
      </c>
      <c r="N79" s="54"/>
    </row>
    <row r="80" spans="3:14" x14ac:dyDescent="0.25">
      <c r="C80" s="54"/>
      <c r="D80" s="55"/>
      <c r="E80" t="e">
        <f>VLOOKUP(Tabel2[[#This Row],[P-nr]],'data Chauffeur'!A:F,2,FALSE)</f>
        <v>#N/A</v>
      </c>
      <c r="F80" t="e">
        <f>VLOOKUP(Tabel2[[#This Row],[P-nr]],'data Chauffeur'!A:F,3,FALSE)</f>
        <v>#N/A</v>
      </c>
      <c r="G80" t="e">
        <f>_xlfn.CONCAT(Tabel2[[#This Row],[P-nr]]," ",Tabel2[[#This Row],[Naam]]," ",Tabel2[[#This Row],[Voornaam]]," ",)</f>
        <v>#N/A</v>
      </c>
      <c r="H80" t="s">
        <v>45</v>
      </c>
      <c r="I80" t="e">
        <f>VLOOKUP(Tabel2[[#This Row],[P-nr]],'data Chauffeur'!A:F,4,FALSE)</f>
        <v>#N/A</v>
      </c>
      <c r="J80" t="e">
        <f>VLOOKUP(Tabel2[[#This Row],[P-nr]],'data Chauffeur'!A:F,5,FALSE)</f>
        <v>#N/A</v>
      </c>
      <c r="N80" s="54"/>
    </row>
    <row r="81" spans="3:14" x14ac:dyDescent="0.25">
      <c r="C81" s="54"/>
      <c r="D81" s="55"/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54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8"/>
  <sheetViews>
    <sheetView topLeftCell="A222" zoomScale="86" zoomScaleNormal="86" workbookViewId="0">
      <selection activeCell="E258" sqref="E25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 x14ac:dyDescent="0.25">
      <c r="A250" s="55"/>
      <c r="B250">
        <v>30999</v>
      </c>
      <c r="C250" s="30" t="str">
        <f>VLOOKUP(Tabel3[[#This Row],[P-nr]],'data Chauffeur'!A:F,2,FALSE)</f>
        <v>Biesemans</v>
      </c>
      <c r="D250" s="30" t="str">
        <f>VLOOKUP(Tabel3[[#This Row],[P-nr]],'data Chauffeur'!A:F,3,FALSE)</f>
        <v>Jasper</v>
      </c>
      <c r="E250" s="30" t="str">
        <f>CONCATENATE(Tabel3[[#This Row],[P-nr]]," ",Tabel3[[#This Row],[Naam]]," ",Tabel3[[#This Row],[Voornaam]])</f>
        <v>30999 Biesemans Jasper</v>
      </c>
      <c r="F250" s="30" t="str">
        <f>VLOOKUP(Tabel3[[#This Row],[P-nr]],'data Chauffeur'!A:F,6)</f>
        <v>Gent stad</v>
      </c>
      <c r="G250" s="30" t="str">
        <f>VLOOKUP(Tabel3[[#This Row],[P-nr]],'data Chauffeur'!A:F,4,FALSE)</f>
        <v>Els Vanhoe</v>
      </c>
      <c r="H250" t="str">
        <f>VLOOKUP(Tabel3[[#This Row],[P-nr]],'data Chauffeur'!A:F,5,FALSE)</f>
        <v>B24</v>
      </c>
      <c r="I250" s="8" t="s">
        <v>61</v>
      </c>
      <c r="J250" s="2" t="s">
        <v>33</v>
      </c>
      <c r="K250" t="s">
        <v>51</v>
      </c>
      <c r="L250" s="54">
        <v>45995</v>
      </c>
      <c r="M250" t="s">
        <v>62</v>
      </c>
      <c r="N250" t="s">
        <v>63</v>
      </c>
      <c r="O250" t="s">
        <v>64</v>
      </c>
    </row>
    <row r="251" spans="1:16" x14ac:dyDescent="0.25">
      <c r="A251" s="55"/>
      <c r="B251" s="55">
        <v>15726</v>
      </c>
      <c r="C251" s="30" t="str">
        <f>VLOOKUP(Tabel3[[#This Row],[P-nr]],'data Chauffeur'!A:F,2,FALSE)</f>
        <v>Van Wezemael</v>
      </c>
      <c r="D251" s="30" t="str">
        <f>VLOOKUP(Tabel3[[#This Row],[P-nr]],'data Chauffeur'!A:F,3,FALSE)</f>
        <v>Patrick</v>
      </c>
      <c r="E251" s="30" t="str">
        <f>CONCATENATE(Tabel3[[#This Row],[P-nr]]," ",Tabel3[[#This Row],[Naam]]," ",Tabel3[[#This Row],[Voornaam]])</f>
        <v>15726 Van Wezemael Patrick</v>
      </c>
      <c r="F251" s="30" t="e">
        <f>VLOOKUP(Tabel3[[#This Row],[P-nr]],'data Chauffeur'!A:F,6)</f>
        <v>#N/A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GW09</v>
      </c>
      <c r="I251" s="8" t="s">
        <v>61</v>
      </c>
      <c r="J251" s="2" t="s">
        <v>33</v>
      </c>
      <c r="K251" t="s">
        <v>146</v>
      </c>
      <c r="L251" s="54">
        <v>45996</v>
      </c>
      <c r="M251" t="s">
        <v>62</v>
      </c>
      <c r="N251" t="s">
        <v>63</v>
      </c>
      <c r="O251" t="s">
        <v>64</v>
      </c>
    </row>
    <row r="252" spans="1:16" ht="30" x14ac:dyDescent="0.25">
      <c r="A252" s="55"/>
      <c r="B252">
        <v>39928</v>
      </c>
      <c r="C252" s="30" t="str">
        <f>VLOOKUP(Tabel3[[#This Row],[P-nr]],'data Chauffeur'!A:F,2,FALSE)</f>
        <v>Momand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39928 Momand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Bart Van Der Beken</v>
      </c>
      <c r="H252" t="str">
        <f>VLOOKUP(Tabel3[[#This Row],[P-nr]],'data Chauffeur'!A:F,5,FALSE)</f>
        <v>RESF2</v>
      </c>
      <c r="I252" s="8" t="s">
        <v>56</v>
      </c>
      <c r="J252" s="2" t="s">
        <v>33</v>
      </c>
      <c r="K252" t="s">
        <v>46</v>
      </c>
      <c r="L252" s="54">
        <v>45992</v>
      </c>
      <c r="M252"/>
      <c r="O252" t="s">
        <v>47</v>
      </c>
      <c r="P252" t="s">
        <v>48</v>
      </c>
    </row>
    <row r="253" spans="1:16" x14ac:dyDescent="0.25">
      <c r="A253" s="55"/>
      <c r="B253">
        <v>42252</v>
      </c>
      <c r="C253" s="30" t="str">
        <f>VLOOKUP(Tabel3[[#This Row],[P-nr]],'data Chauffeur'!A:F,2,FALSE)</f>
        <v>Sular</v>
      </c>
      <c r="D253" s="30" t="str">
        <f>VLOOKUP(Tabel3[[#This Row],[P-nr]],'data Chauffeur'!A:F,3,FALSE)</f>
        <v>Abdullah</v>
      </c>
      <c r="E253" s="30" t="str">
        <f>CONCATENATE(Tabel3[[#This Row],[P-nr]]," ",Tabel3[[#This Row],[Naam]]," ",Tabel3[[#This Row],[Voornaam]])</f>
        <v>42252 Sular Abdullah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Christoff Rotty</v>
      </c>
      <c r="H253" t="str">
        <f>VLOOKUP(Tabel3[[#This Row],[P-nr]],'data Chauffeur'!A:F,5,FALSE)</f>
        <v>RESF2</v>
      </c>
      <c r="I253" s="8" t="s">
        <v>34</v>
      </c>
      <c r="J253" s="2" t="s">
        <v>33</v>
      </c>
      <c r="K253" t="s">
        <v>51</v>
      </c>
      <c r="L253" s="54">
        <v>45995</v>
      </c>
      <c r="M253" t="s">
        <v>52</v>
      </c>
      <c r="N253" t="s">
        <v>53</v>
      </c>
      <c r="O253" t="s">
        <v>54</v>
      </c>
      <c r="P253" t="s">
        <v>48</v>
      </c>
    </row>
    <row r="254" spans="1:16" x14ac:dyDescent="0.25">
      <c r="A254" s="55"/>
      <c r="B254">
        <v>38633</v>
      </c>
      <c r="C254" s="30" t="str">
        <f>VLOOKUP(Tabel3[[#This Row],[P-nr]],'data Chauffeur'!A:F,2,FALSE)</f>
        <v>Stomphorst</v>
      </c>
      <c r="D254" s="30" t="str">
        <f>VLOOKUP(Tabel3[[#This Row],[P-nr]],'data Chauffeur'!A:F,3,FALSE)</f>
        <v>Mattanja</v>
      </c>
      <c r="E254" s="30" t="str">
        <f>CONCATENATE(Tabel3[[#This Row],[P-nr]]," ",Tabel3[[#This Row],[Naam]]," ",Tabel3[[#This Row],[Voornaam]])</f>
        <v>38633 Stomphorst Mattanja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Els Dewulf</v>
      </c>
      <c r="H254" t="str">
        <f>VLOOKUP(Tabel3[[#This Row],[P-nr]],'data Chauffeur'!A:F,5,FALSE)</f>
        <v>RESF</v>
      </c>
      <c r="I254" s="8" t="s">
        <v>34</v>
      </c>
      <c r="J254" s="2" t="s">
        <v>11</v>
      </c>
      <c r="K254" t="s">
        <v>46</v>
      </c>
      <c r="L254" s="54">
        <v>45992</v>
      </c>
      <c r="M254"/>
      <c r="O254" t="s">
        <v>47</v>
      </c>
      <c r="P254" t="s">
        <v>48</v>
      </c>
    </row>
    <row r="255" spans="1:16" x14ac:dyDescent="0.25">
      <c r="A255" s="55"/>
      <c r="B255" s="56"/>
      <c r="C255" s="30" t="e">
        <f>VLOOKUP(Tabel3[[#This Row],[P-nr]],'data Chauffeur'!A:F,2,FALSE)</f>
        <v>#N/A</v>
      </c>
      <c r="D255" s="30" t="e">
        <f>VLOOKUP(Tabel3[[#This Row],[P-nr]],'data Chauffeur'!A:F,3,FALSE)</f>
        <v>#N/A</v>
      </c>
      <c r="E255" s="30" t="e">
        <f>CONCATENATE(Tabel3[[#This Row],[P-nr]]," ",Tabel3[[#This Row],[Naam]]," ",Tabel3[[#This Row],[Voornaam]])</f>
        <v>#N/A</v>
      </c>
      <c r="F255" s="30" t="e">
        <f>VLOOKUP(Tabel3[[#This Row],[P-nr]],'data Chauffeur'!A:F,6)</f>
        <v>#N/A</v>
      </c>
      <c r="G255" s="30" t="e">
        <f>VLOOKUP(Tabel3[[#This Row],[P-nr]],'data Chauffeur'!A:F,4,FALSE)</f>
        <v>#N/A</v>
      </c>
      <c r="H255" t="e">
        <f>VLOOKUP(Tabel3[[#This Row],[P-nr]],'data Chauffeur'!A:F,5,FALSE)</f>
        <v>#N/A</v>
      </c>
      <c r="K255" s="30"/>
      <c r="L255" s="37"/>
    </row>
    <row r="256" spans="1:16" x14ac:dyDescent="0.25">
      <c r="A256" s="55"/>
      <c r="B256" s="56"/>
      <c r="C256" s="30" t="e">
        <f>VLOOKUP(Tabel3[[#This Row],[P-nr]],'data Chauffeur'!A:F,2,FALSE)</f>
        <v>#N/A</v>
      </c>
      <c r="D256" s="30" t="e">
        <f>VLOOKUP(Tabel3[[#This Row],[P-nr]],'data Chauffeur'!A:F,3,FALSE)</f>
        <v>#N/A</v>
      </c>
      <c r="E256" s="30" t="e">
        <f>CONCATENATE(Tabel3[[#This Row],[P-nr]]," ",Tabel3[[#This Row],[Naam]]," ",Tabel3[[#This Row],[Voornaam]])</f>
        <v>#N/A</v>
      </c>
      <c r="F256" s="30" t="e">
        <f>VLOOKUP(Tabel3[[#This Row],[P-nr]],'data Chauffeur'!A:F,6)</f>
        <v>#N/A</v>
      </c>
      <c r="G256" s="30" t="e">
        <f>VLOOKUP(Tabel3[[#This Row],[P-nr]],'data Chauffeur'!A:F,4,FALSE)</f>
        <v>#N/A</v>
      </c>
      <c r="H256" t="e">
        <f>VLOOKUP(Tabel3[[#This Row],[P-nr]],'data Chauffeur'!A:F,5,FALSE)</f>
        <v>#N/A</v>
      </c>
      <c r="K256" s="30"/>
      <c r="L256" s="37"/>
    </row>
    <row r="257" spans="1:16" x14ac:dyDescent="0.25">
      <c r="A257" s="55"/>
      <c r="B257" s="56"/>
      <c r="C257" s="30" t="e">
        <f>VLOOKUP(Tabel3[[#This Row],[P-nr]],'data Chauffeur'!A:F,2,FALSE)</f>
        <v>#N/A</v>
      </c>
      <c r="D257" s="30" t="e">
        <f>VLOOKUP(Tabel3[[#This Row],[P-nr]],'data Chauffeur'!A:F,3,FALSE)</f>
        <v>#N/A</v>
      </c>
      <c r="E257" s="30" t="e">
        <f>CONCATENATE(Tabel3[[#This Row],[P-nr]]," ",Tabel3[[#This Row],[Naam]]," ",Tabel3[[#This Row],[Voornaam]])</f>
        <v>#N/A</v>
      </c>
      <c r="F257" s="30" t="e">
        <f>VLOOKUP(Tabel3[[#This Row],[P-nr]],'data Chauffeur'!A:F,6)</f>
        <v>#N/A</v>
      </c>
      <c r="G257" s="30" t="e">
        <f>VLOOKUP(Tabel3[[#This Row],[P-nr]],'data Chauffeur'!A:F,4,FALSE)</f>
        <v>#N/A</v>
      </c>
      <c r="H257" t="e">
        <f>VLOOKUP(Tabel3[[#This Row],[P-nr]],'data Chauffeur'!A:F,5,FALSE)</f>
        <v>#N/A</v>
      </c>
      <c r="K257" s="30"/>
      <c r="L257" s="37"/>
    </row>
    <row r="258" spans="1:16" x14ac:dyDescent="0.25">
      <c r="A258" s="41"/>
      <c r="E258" s="30"/>
      <c r="F258" s="30"/>
      <c r="K258" s="30"/>
      <c r="L258" s="11"/>
    </row>
    <row r="259" spans="1:16" x14ac:dyDescent="0.25">
      <c r="A259" s="41"/>
      <c r="E259" s="30"/>
      <c r="F259" s="30"/>
      <c r="K259" s="30"/>
      <c r="L259" s="11"/>
    </row>
    <row r="260" spans="1:16" x14ac:dyDescent="0.25">
      <c r="A260" s="39"/>
      <c r="E260" s="30"/>
      <c r="F260" s="30"/>
      <c r="K260" s="30"/>
      <c r="M260" s="44"/>
    </row>
    <row r="261" spans="1:16" x14ac:dyDescent="0.25">
      <c r="A261" s="45"/>
      <c r="E261" s="30"/>
      <c r="F261" s="30"/>
      <c r="K261" s="30"/>
      <c r="M261" s="44"/>
    </row>
    <row r="262" spans="1:16" x14ac:dyDescent="0.25">
      <c r="A262" s="11"/>
      <c r="M262" s="44"/>
    </row>
    <row r="264" spans="1:16" x14ac:dyDescent="0.25">
      <c r="A264" s="57" t="s">
        <v>191</v>
      </c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</row>
    <row r="265" spans="1:16" x14ac:dyDescent="0.2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</row>
    <row r="266" spans="1:16" x14ac:dyDescent="0.25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</row>
    <row r="267" spans="1:16" x14ac:dyDescent="0.25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</row>
    <row r="268" spans="1:16" x14ac:dyDescent="0.25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</row>
  </sheetData>
  <mergeCells count="1">
    <mergeCell ref="A264:P268"/>
  </mergeCells>
  <phoneticPr fontId="3" type="noConversion"/>
  <conditionalFormatting sqref="A1:A264 A269:A1048576">
    <cfRule type="cellIs" dxfId="44" priority="423" operator="equal">
      <formula>"ja"</formula>
    </cfRule>
  </conditionalFormatting>
  <conditionalFormatting sqref="B219:B221 B230:B239">
    <cfRule type="duplicateValues" dxfId="43" priority="881"/>
  </conditionalFormatting>
  <conditionalFormatting sqref="B222 B225">
    <cfRule type="cellIs" dxfId="42" priority="78" operator="equal">
      <formula>"ja"</formula>
    </cfRule>
  </conditionalFormatting>
  <conditionalFormatting sqref="B223:B224">
    <cfRule type="duplicateValues" dxfId="41" priority="77"/>
  </conditionalFormatting>
  <conditionalFormatting sqref="B240:B242">
    <cfRule type="duplicateValues" dxfId="40" priority="63"/>
  </conditionalFormatting>
  <conditionalFormatting sqref="B243">
    <cfRule type="duplicateValues" dxfId="39" priority="56"/>
  </conditionalFormatting>
  <conditionalFormatting sqref="B244">
    <cfRule type="duplicateValues" dxfId="38" priority="49"/>
  </conditionalFormatting>
  <conditionalFormatting sqref="B248">
    <cfRule type="duplicateValues" dxfId="37" priority="42"/>
  </conditionalFormatting>
  <conditionalFormatting sqref="B249">
    <cfRule type="duplicateValues" dxfId="36" priority="35"/>
  </conditionalFormatting>
  <conditionalFormatting sqref="B250:B251 B255:B257">
    <cfRule type="duplicateValues" dxfId="35" priority="28"/>
  </conditionalFormatting>
  <conditionalFormatting sqref="B252">
    <cfRule type="duplicateValues" dxfId="34" priority="21"/>
  </conditionalFormatting>
  <conditionalFormatting sqref="B253">
    <cfRule type="duplicateValues" dxfId="33" priority="14"/>
  </conditionalFormatting>
  <conditionalFormatting sqref="B254">
    <cfRule type="duplicateValues" dxfId="32" priority="7"/>
  </conditionalFormatting>
  <conditionalFormatting sqref="N208:N217">
    <cfRule type="duplicateValues" dxfId="31" priority="86"/>
  </conditionalFormatting>
  <conditionalFormatting sqref="O2:O239">
    <cfRule type="cellIs" dxfId="30" priority="81" operator="equal">
      <formula>"zeer goed"</formula>
    </cfRule>
    <cfRule type="cellIs" dxfId="29" priority="82" operator="equal">
      <formula>"Goed"</formula>
    </cfRule>
    <cfRule type="cellIs" dxfId="28" priority="83" operator="equal">
      <formula>"onvoldoende"</formula>
    </cfRule>
    <cfRule type="cellIs" dxfId="27" priority="84" operator="equal">
      <formula>"slecht"</formula>
    </cfRule>
    <cfRule type="cellIs" dxfId="26" priority="85" operator="equal">
      <formula>"zeer slecht"</formula>
    </cfRule>
    <cfRule type="containsText" dxfId="25" priority="94" operator="containsText" text="zeer slecht">
      <formula>NOT(ISERROR(SEARCH("zeer slecht",O2)))</formula>
    </cfRule>
    <cfRule type="containsText" dxfId="24" priority="95" operator="containsText" text="slecht">
      <formula>NOT(ISERROR(SEARCH("slecht",O2)))</formula>
    </cfRule>
    <cfRule type="containsText" dxfId="23" priority="96" operator="containsText" text="onvoldoende">
      <formula>NOT(ISERROR(SEARCH("onvoldoende",O2)))</formula>
    </cfRule>
    <cfRule type="containsText" dxfId="22" priority="97" operator="containsText" text="voldoende">
      <formula>NOT(ISERROR(SEARCH("voldoende",O2)))</formula>
    </cfRule>
    <cfRule type="containsText" dxfId="21" priority="98" operator="containsText" text="goed">
      <formula>NOT(ISERROR(SEARCH("goed",O2)))</formula>
    </cfRule>
    <cfRule type="containsText" dxfId="20" priority="99" operator="containsText" text="zeer goed">
      <formula>NOT(ISERROR(SEARCH("zeer goed",O2)))</formula>
    </cfRule>
    <cfRule type="cellIs" dxfId="19" priority="426" operator="equal">
      <formula>"voldoende"</formula>
    </cfRule>
    <cfRule type="cellIs" dxfId="18" priority="802" operator="equal">
      <formula>"zeer goed"</formula>
    </cfRule>
    <cfRule type="cellIs" dxfId="17" priority="803" operator="equal">
      <formula>"Goed"</formula>
    </cfRule>
    <cfRule type="cellIs" dxfId="16" priority="804" operator="equal">
      <formula>"onvoldoende"</formula>
    </cfRule>
    <cfRule type="cellIs" dxfId="15" priority="805" operator="equal">
      <formula>"slecht"</formula>
    </cfRule>
    <cfRule type="cellIs" dxfId="14" priority="806" operator="equal">
      <formula>"zeer slecht"</formula>
    </cfRule>
    <cfRule type="duplicateValues" dxfId="13" priority="878"/>
  </conditionalFormatting>
  <conditionalFormatting sqref="O240:O257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6 P247:Q247 Q248:Q257 P258:Q259 P260:P263 P269 N270 P271:P1048576">
    <cfRule type="cellIs" dxfId="6" priority="422" operator="equal">
      <formula>"ja"</formula>
    </cfRule>
  </conditionalFormatting>
  <conditionalFormatting sqref="P222:P225">
    <cfRule type="cellIs" dxfId="5" priority="71" operator="equal">
      <formula>"zeer goed"</formula>
    </cfRule>
    <cfRule type="cellIs" dxfId="4" priority="72" operator="equal">
      <formula>"Goed"</formula>
    </cfRule>
    <cfRule type="cellIs" dxfId="3" priority="73" operator="equal">
      <formula>"onvoldoende"</formula>
    </cfRule>
    <cfRule type="cellIs" dxfId="2" priority="74" operator="equal">
      <formula>"slecht"</formula>
    </cfRule>
    <cfRule type="cellIs" dxfId="1" priority="75" operator="equal">
      <formula>"zeer slecht"</formula>
    </cfRule>
    <cfRule type="duplicateValues" dxfId="0" priority="76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P248:P257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N248:N257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M248:M257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O240:O257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K248:K257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192</v>
      </c>
      <c r="B2" s="53" t="s">
        <v>193</v>
      </c>
      <c r="I2"/>
      <c r="J2"/>
    </row>
    <row r="3" spans="1:10" x14ac:dyDescent="0.25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 x14ac:dyDescent="0.25">
      <c r="A4" s="30" t="s">
        <v>92</v>
      </c>
      <c r="B4">
        <v>1</v>
      </c>
      <c r="I4"/>
      <c r="J4">
        <v>1</v>
      </c>
    </row>
    <row r="5" spans="1:10" x14ac:dyDescent="0.25">
      <c r="A5" s="30" t="s">
        <v>113</v>
      </c>
      <c r="B5">
        <v>8</v>
      </c>
      <c r="H5">
        <v>10</v>
      </c>
      <c r="I5"/>
      <c r="J5">
        <v>18</v>
      </c>
    </row>
    <row r="6" spans="1:10" x14ac:dyDescent="0.25">
      <c r="A6" s="30" t="s">
        <v>123</v>
      </c>
      <c r="B6">
        <v>1</v>
      </c>
      <c r="E6">
        <v>1</v>
      </c>
      <c r="I6"/>
      <c r="J6">
        <v>2</v>
      </c>
    </row>
    <row r="7" spans="1:10" x14ac:dyDescent="0.25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151</v>
      </c>
      <c r="G8">
        <v>1</v>
      </c>
      <c r="I8"/>
      <c r="J8">
        <v>1</v>
      </c>
    </row>
    <row r="9" spans="1:10" x14ac:dyDescent="0.25">
      <c r="A9" s="30" t="s">
        <v>157</v>
      </c>
      <c r="E9">
        <v>1</v>
      </c>
      <c r="I9"/>
      <c r="J9">
        <v>1</v>
      </c>
    </row>
    <row r="10" spans="1:10" x14ac:dyDescent="0.25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119</v>
      </c>
      <c r="B11">
        <v>2</v>
      </c>
      <c r="I11"/>
      <c r="J11">
        <v>2</v>
      </c>
    </row>
    <row r="12" spans="1:10" x14ac:dyDescent="0.25">
      <c r="A12" s="30" t="s">
        <v>165</v>
      </c>
      <c r="B12">
        <v>1</v>
      </c>
      <c r="I12"/>
      <c r="J12">
        <v>1</v>
      </c>
    </row>
    <row r="13" spans="1:10" x14ac:dyDescent="0.25">
      <c r="A13" s="30" t="s">
        <v>121</v>
      </c>
      <c r="G13">
        <v>1</v>
      </c>
      <c r="I13"/>
      <c r="J13">
        <v>1</v>
      </c>
    </row>
    <row r="14" spans="1:10" x14ac:dyDescent="0.25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97</v>
      </c>
      <c r="B15">
        <v>1</v>
      </c>
      <c r="I15"/>
      <c r="J15">
        <v>1</v>
      </c>
    </row>
    <row r="16" spans="1:10" x14ac:dyDescent="0.25">
      <c r="A16" s="30" t="s">
        <v>135</v>
      </c>
      <c r="H16">
        <v>1</v>
      </c>
      <c r="I16"/>
      <c r="J16">
        <v>1</v>
      </c>
    </row>
    <row r="17" spans="1:10" x14ac:dyDescent="0.25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199</v>
      </c>
      <c r="B1" t="s">
        <v>8</v>
      </c>
      <c r="D1" t="s">
        <v>200</v>
      </c>
      <c r="E1" t="s">
        <v>201</v>
      </c>
    </row>
    <row r="2" spans="1:5" x14ac:dyDescent="0.25">
      <c r="A2" s="3">
        <f>COUNTIF(Coaching!I1:I9921,Tabel1[[#This Row],[Teamcoach]])</f>
        <v>7</v>
      </c>
      <c r="B2" s="3" t="s">
        <v>202</v>
      </c>
      <c r="D2">
        <f>COUNTIF('Voltooide coachings'!G:G,Tabel1[[#This Row],[Teamcoach]])</f>
        <v>38</v>
      </c>
      <c r="E2" t="str">
        <f>Tabel1[[#This Row],[Teamcoach]]</f>
        <v>Christoff Rotty</v>
      </c>
    </row>
    <row r="3" spans="1:5" x14ac:dyDescent="0.25">
      <c r="A3" s="3">
        <f>COUNTIF(Coaching!I2:I9922,Tabel1[[#This Row],[Teamcoach]])</f>
        <v>15</v>
      </c>
      <c r="B3" s="3" t="s">
        <v>203</v>
      </c>
      <c r="D3">
        <f>COUNTIF('Voltooide coachings'!G:G,Tabel1[[#This Row],[Teamcoach]])</f>
        <v>30</v>
      </c>
      <c r="E3" t="str">
        <f>Tabel1[[#This Row],[Teamcoach]]</f>
        <v>Bart Van der Beken</v>
      </c>
    </row>
    <row r="4" spans="1:5" x14ac:dyDescent="0.25">
      <c r="A4" s="3">
        <f>COUNTIF(Coaching!I2:I9923,Tabel1[[#This Row],[Teamcoach]])</f>
        <v>11</v>
      </c>
      <c r="B4" s="3" t="s">
        <v>204</v>
      </c>
      <c r="D4">
        <f>COUNTIF('Voltooide coachings'!G:G,Tabel1[[#This Row],[Teamcoach]])</f>
        <v>28</v>
      </c>
      <c r="E4" t="str">
        <f>Tabel1[[#This Row],[Teamcoach]]</f>
        <v>Els Dewulf</v>
      </c>
    </row>
    <row r="5" spans="1:5" x14ac:dyDescent="0.25">
      <c r="A5" s="3">
        <f>COUNTIF(Coaching!I2:I9924,Tabel1[[#This Row],[Teamcoach]])</f>
        <v>8</v>
      </c>
      <c r="B5" s="3" t="s">
        <v>60</v>
      </c>
      <c r="D5">
        <f>COUNTIF('Voltooide coachings'!G:G,Tabel1[[#This Row],[Teamcoach]])</f>
        <v>35</v>
      </c>
      <c r="E5" t="str">
        <f>Tabel1[[#This Row],[Teamcoach]]</f>
        <v>Els Vanhoe</v>
      </c>
    </row>
    <row r="6" spans="1:5" x14ac:dyDescent="0.25">
      <c r="A6" s="3">
        <f>COUNTIF(Coaching!I3:I9925,Tabel1[[#This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COUNTIF(Coaching!I4:I9926,Tabel1[[#This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COUNTIF(Coaching!I5:I9927,Tabel1[[#This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COUNTIF(Coaching!I5:I9928,Tabel1[[#This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 x14ac:dyDescent="0.25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 x14ac:dyDescent="0.25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 x14ac:dyDescent="0.25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 x14ac:dyDescent="0.25">
      <c r="E6" t="s">
        <v>181</v>
      </c>
      <c r="F6" t="s">
        <v>113</v>
      </c>
      <c r="G6" t="s">
        <v>63</v>
      </c>
      <c r="H6" t="s">
        <v>54</v>
      </c>
    </row>
    <row r="7" spans="1:9" x14ac:dyDescent="0.25">
      <c r="E7" t="s">
        <v>144</v>
      </c>
      <c r="G7" t="s">
        <v>170</v>
      </c>
      <c r="H7" t="s">
        <v>47</v>
      </c>
    </row>
    <row r="8" spans="1:9" x14ac:dyDescent="0.25">
      <c r="E8" t="s">
        <v>46</v>
      </c>
      <c r="G8" t="s">
        <v>189</v>
      </c>
    </row>
    <row r="9" spans="1:9" x14ac:dyDescent="0.25">
      <c r="E9" t="s">
        <v>146</v>
      </c>
      <c r="G9" t="s">
        <v>84</v>
      </c>
    </row>
    <row r="10" spans="1:9" x14ac:dyDescent="0.25">
      <c r="E10" t="s">
        <v>222</v>
      </c>
      <c r="G10" t="s">
        <v>148</v>
      </c>
    </row>
    <row r="11" spans="1:9" x14ac:dyDescent="0.25">
      <c r="E11" t="s">
        <v>102</v>
      </c>
      <c r="G11" t="s">
        <v>223</v>
      </c>
    </row>
    <row r="12" spans="1:9" x14ac:dyDescent="0.25">
      <c r="E12" t="s">
        <v>98</v>
      </c>
      <c r="G12" t="s">
        <v>182</v>
      </c>
    </row>
    <row r="13" spans="1:9" x14ac:dyDescent="0.25">
      <c r="E13" t="s">
        <v>224</v>
      </c>
      <c r="G13" t="s">
        <v>184</v>
      </c>
    </row>
    <row r="14" spans="1:9" x14ac:dyDescent="0.25">
      <c r="E14" t="s">
        <v>51</v>
      </c>
      <c r="G14" t="s">
        <v>225</v>
      </c>
    </row>
    <row r="15" spans="1:9" x14ac:dyDescent="0.25">
      <c r="E15" t="s">
        <v>91</v>
      </c>
      <c r="G15" t="s">
        <v>113</v>
      </c>
    </row>
    <row r="16" spans="1:9" x14ac:dyDescent="0.25">
      <c r="E16" t="s">
        <v>126</v>
      </c>
    </row>
    <row r="17" spans="5:5" x14ac:dyDescent="0.25">
      <c r="E17" t="s">
        <v>140</v>
      </c>
    </row>
    <row r="18" spans="5:5" x14ac:dyDescent="0.25">
      <c r="E18" t="s">
        <v>111</v>
      </c>
    </row>
    <row r="19" spans="5:5" x14ac:dyDescent="0.25">
      <c r="E19" t="s">
        <v>226</v>
      </c>
    </row>
    <row r="20" spans="5:5" x14ac:dyDescent="0.25">
      <c r="E20" t="s">
        <v>227</v>
      </c>
    </row>
    <row r="21" spans="5:5" x14ac:dyDescent="0.25">
      <c r="E21" t="s">
        <v>228</v>
      </c>
    </row>
    <row r="22" spans="5:5" x14ac:dyDescent="0.25">
      <c r="E22" t="s">
        <v>229</v>
      </c>
    </row>
    <row r="23" spans="5:5" x14ac:dyDescent="0.2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 x14ac:dyDescent="0.25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 x14ac:dyDescent="0.25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 x14ac:dyDescent="0.25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 x14ac:dyDescent="0.25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 x14ac:dyDescent="0.25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 x14ac:dyDescent="0.25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 x14ac:dyDescent="0.25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 x14ac:dyDescent="0.25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 x14ac:dyDescent="0.25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 x14ac:dyDescent="0.25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 x14ac:dyDescent="0.25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 x14ac:dyDescent="0.25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 x14ac:dyDescent="0.25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 x14ac:dyDescent="0.25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 x14ac:dyDescent="0.25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 x14ac:dyDescent="0.25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 x14ac:dyDescent="0.25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 x14ac:dyDescent="0.25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 x14ac:dyDescent="0.25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 x14ac:dyDescent="0.25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 x14ac:dyDescent="0.25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 x14ac:dyDescent="0.25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 x14ac:dyDescent="0.25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 x14ac:dyDescent="0.25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 x14ac:dyDescent="0.25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 x14ac:dyDescent="0.25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 x14ac:dyDescent="0.25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 x14ac:dyDescent="0.25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 x14ac:dyDescent="0.25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 x14ac:dyDescent="0.25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 x14ac:dyDescent="0.25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 x14ac:dyDescent="0.25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 x14ac:dyDescent="0.25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 x14ac:dyDescent="0.25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 x14ac:dyDescent="0.25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 x14ac:dyDescent="0.25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 x14ac:dyDescent="0.25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 x14ac:dyDescent="0.25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 x14ac:dyDescent="0.25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 x14ac:dyDescent="0.25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 x14ac:dyDescent="0.25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 x14ac:dyDescent="0.25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 x14ac:dyDescent="0.25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 x14ac:dyDescent="0.25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 x14ac:dyDescent="0.25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 x14ac:dyDescent="0.25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 x14ac:dyDescent="0.25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 x14ac:dyDescent="0.25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 x14ac:dyDescent="0.25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 x14ac:dyDescent="0.25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 x14ac:dyDescent="0.25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 x14ac:dyDescent="0.25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 x14ac:dyDescent="0.25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 x14ac:dyDescent="0.25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 x14ac:dyDescent="0.25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 x14ac:dyDescent="0.25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 x14ac:dyDescent="0.25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 x14ac:dyDescent="0.25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 x14ac:dyDescent="0.25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 x14ac:dyDescent="0.25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 x14ac:dyDescent="0.25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 x14ac:dyDescent="0.25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 x14ac:dyDescent="0.25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 x14ac:dyDescent="0.25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 x14ac:dyDescent="0.25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 x14ac:dyDescent="0.25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 x14ac:dyDescent="0.25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 x14ac:dyDescent="0.25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 x14ac:dyDescent="0.25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 x14ac:dyDescent="0.25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 x14ac:dyDescent="0.25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 x14ac:dyDescent="0.25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 x14ac:dyDescent="0.25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 x14ac:dyDescent="0.25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 x14ac:dyDescent="0.25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 x14ac:dyDescent="0.25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 x14ac:dyDescent="0.25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 x14ac:dyDescent="0.25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 x14ac:dyDescent="0.25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 x14ac:dyDescent="0.25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 x14ac:dyDescent="0.25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 x14ac:dyDescent="0.25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 x14ac:dyDescent="0.25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 x14ac:dyDescent="0.25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 x14ac:dyDescent="0.25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 x14ac:dyDescent="0.25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 x14ac:dyDescent="0.25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 x14ac:dyDescent="0.25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 x14ac:dyDescent="0.25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 x14ac:dyDescent="0.25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 x14ac:dyDescent="0.25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 x14ac:dyDescent="0.25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 x14ac:dyDescent="0.25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 x14ac:dyDescent="0.25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 x14ac:dyDescent="0.25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 x14ac:dyDescent="0.25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 x14ac:dyDescent="0.25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 x14ac:dyDescent="0.25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 x14ac:dyDescent="0.25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 x14ac:dyDescent="0.25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 x14ac:dyDescent="0.25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 x14ac:dyDescent="0.25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 x14ac:dyDescent="0.25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 x14ac:dyDescent="0.25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 x14ac:dyDescent="0.25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 x14ac:dyDescent="0.25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 x14ac:dyDescent="0.25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 x14ac:dyDescent="0.25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 x14ac:dyDescent="0.25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 x14ac:dyDescent="0.25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 x14ac:dyDescent="0.25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 x14ac:dyDescent="0.25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 x14ac:dyDescent="0.25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 x14ac:dyDescent="0.25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 x14ac:dyDescent="0.25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 x14ac:dyDescent="0.25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 x14ac:dyDescent="0.25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 x14ac:dyDescent="0.25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 x14ac:dyDescent="0.25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 x14ac:dyDescent="0.25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 x14ac:dyDescent="0.25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 x14ac:dyDescent="0.25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 x14ac:dyDescent="0.25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 x14ac:dyDescent="0.25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 x14ac:dyDescent="0.25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 x14ac:dyDescent="0.25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 x14ac:dyDescent="0.25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 x14ac:dyDescent="0.25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 x14ac:dyDescent="0.25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 x14ac:dyDescent="0.25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 x14ac:dyDescent="0.25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 x14ac:dyDescent="0.25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 x14ac:dyDescent="0.25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 x14ac:dyDescent="0.25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 x14ac:dyDescent="0.25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 x14ac:dyDescent="0.25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 x14ac:dyDescent="0.25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 x14ac:dyDescent="0.25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 x14ac:dyDescent="0.25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 x14ac:dyDescent="0.25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 x14ac:dyDescent="0.25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 x14ac:dyDescent="0.25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 x14ac:dyDescent="0.25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 x14ac:dyDescent="0.25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 x14ac:dyDescent="0.25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 x14ac:dyDescent="0.25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 x14ac:dyDescent="0.25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 x14ac:dyDescent="0.25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 x14ac:dyDescent="0.25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 x14ac:dyDescent="0.25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 x14ac:dyDescent="0.25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 x14ac:dyDescent="0.25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 x14ac:dyDescent="0.25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 x14ac:dyDescent="0.25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 x14ac:dyDescent="0.25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 x14ac:dyDescent="0.25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 x14ac:dyDescent="0.25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 x14ac:dyDescent="0.25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 x14ac:dyDescent="0.25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 x14ac:dyDescent="0.25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 x14ac:dyDescent="0.25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 x14ac:dyDescent="0.25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 x14ac:dyDescent="0.25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 x14ac:dyDescent="0.25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 x14ac:dyDescent="0.25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 x14ac:dyDescent="0.25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 x14ac:dyDescent="0.25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 x14ac:dyDescent="0.25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 x14ac:dyDescent="0.25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 x14ac:dyDescent="0.25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 x14ac:dyDescent="0.25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 x14ac:dyDescent="0.25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 x14ac:dyDescent="0.25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 x14ac:dyDescent="0.25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 x14ac:dyDescent="0.25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 x14ac:dyDescent="0.25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 x14ac:dyDescent="0.25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 x14ac:dyDescent="0.25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 x14ac:dyDescent="0.25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 x14ac:dyDescent="0.25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 x14ac:dyDescent="0.25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 x14ac:dyDescent="0.25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 x14ac:dyDescent="0.25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 x14ac:dyDescent="0.25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 x14ac:dyDescent="0.25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 x14ac:dyDescent="0.25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 x14ac:dyDescent="0.25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 x14ac:dyDescent="0.25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 x14ac:dyDescent="0.25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 x14ac:dyDescent="0.25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 x14ac:dyDescent="0.25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 x14ac:dyDescent="0.25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 x14ac:dyDescent="0.25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 x14ac:dyDescent="0.25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 x14ac:dyDescent="0.25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 x14ac:dyDescent="0.25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 x14ac:dyDescent="0.25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 x14ac:dyDescent="0.25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 x14ac:dyDescent="0.25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 x14ac:dyDescent="0.25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 x14ac:dyDescent="0.25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 x14ac:dyDescent="0.25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 x14ac:dyDescent="0.25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 x14ac:dyDescent="0.25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 x14ac:dyDescent="0.25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 x14ac:dyDescent="0.25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 x14ac:dyDescent="0.25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 x14ac:dyDescent="0.25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 x14ac:dyDescent="0.25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 x14ac:dyDescent="0.25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 x14ac:dyDescent="0.25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 x14ac:dyDescent="0.25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 x14ac:dyDescent="0.25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 x14ac:dyDescent="0.25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 x14ac:dyDescent="0.25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 x14ac:dyDescent="0.25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 x14ac:dyDescent="0.25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 x14ac:dyDescent="0.25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 x14ac:dyDescent="0.25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 x14ac:dyDescent="0.25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 x14ac:dyDescent="0.25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 x14ac:dyDescent="0.25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 x14ac:dyDescent="0.25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 x14ac:dyDescent="0.25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 x14ac:dyDescent="0.25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 x14ac:dyDescent="0.25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 x14ac:dyDescent="0.25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 x14ac:dyDescent="0.25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 x14ac:dyDescent="0.25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 x14ac:dyDescent="0.25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 x14ac:dyDescent="0.25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 x14ac:dyDescent="0.25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 x14ac:dyDescent="0.25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 x14ac:dyDescent="0.25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 x14ac:dyDescent="0.25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 x14ac:dyDescent="0.25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 x14ac:dyDescent="0.25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 x14ac:dyDescent="0.25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 x14ac:dyDescent="0.25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 x14ac:dyDescent="0.25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 x14ac:dyDescent="0.25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 x14ac:dyDescent="0.25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 x14ac:dyDescent="0.25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 x14ac:dyDescent="0.25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 x14ac:dyDescent="0.25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 x14ac:dyDescent="0.25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 x14ac:dyDescent="0.25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 x14ac:dyDescent="0.25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 x14ac:dyDescent="0.25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 x14ac:dyDescent="0.25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 x14ac:dyDescent="0.25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 x14ac:dyDescent="0.25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 x14ac:dyDescent="0.25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 x14ac:dyDescent="0.25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 x14ac:dyDescent="0.25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 x14ac:dyDescent="0.25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 x14ac:dyDescent="0.25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 x14ac:dyDescent="0.25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 x14ac:dyDescent="0.25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 x14ac:dyDescent="0.25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 x14ac:dyDescent="0.25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 x14ac:dyDescent="0.25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 x14ac:dyDescent="0.25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 x14ac:dyDescent="0.25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 x14ac:dyDescent="0.25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 x14ac:dyDescent="0.25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 x14ac:dyDescent="0.25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 x14ac:dyDescent="0.25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 x14ac:dyDescent="0.25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 x14ac:dyDescent="0.25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 x14ac:dyDescent="0.25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 x14ac:dyDescent="0.25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 x14ac:dyDescent="0.25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 x14ac:dyDescent="0.25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 x14ac:dyDescent="0.25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 x14ac:dyDescent="0.25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 x14ac:dyDescent="0.25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 x14ac:dyDescent="0.25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 x14ac:dyDescent="0.25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 x14ac:dyDescent="0.25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 x14ac:dyDescent="0.25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 x14ac:dyDescent="0.25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 x14ac:dyDescent="0.25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 x14ac:dyDescent="0.25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 x14ac:dyDescent="0.25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 x14ac:dyDescent="0.25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 x14ac:dyDescent="0.25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 x14ac:dyDescent="0.25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 x14ac:dyDescent="0.25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 x14ac:dyDescent="0.25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 x14ac:dyDescent="0.25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 x14ac:dyDescent="0.25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 x14ac:dyDescent="0.25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 x14ac:dyDescent="0.25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 x14ac:dyDescent="0.25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 x14ac:dyDescent="0.25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 x14ac:dyDescent="0.25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 x14ac:dyDescent="0.25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 x14ac:dyDescent="0.25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 x14ac:dyDescent="0.25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 x14ac:dyDescent="0.25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 x14ac:dyDescent="0.25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 x14ac:dyDescent="0.25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 x14ac:dyDescent="0.25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 x14ac:dyDescent="0.25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 x14ac:dyDescent="0.25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 x14ac:dyDescent="0.25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 x14ac:dyDescent="0.25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 x14ac:dyDescent="0.25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 x14ac:dyDescent="0.25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 x14ac:dyDescent="0.25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 x14ac:dyDescent="0.25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 x14ac:dyDescent="0.25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 x14ac:dyDescent="0.25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 x14ac:dyDescent="0.25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 x14ac:dyDescent="0.25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 x14ac:dyDescent="0.25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 x14ac:dyDescent="0.25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 x14ac:dyDescent="0.25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 x14ac:dyDescent="0.25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 x14ac:dyDescent="0.25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 x14ac:dyDescent="0.25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 x14ac:dyDescent="0.25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 x14ac:dyDescent="0.25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 x14ac:dyDescent="0.25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 x14ac:dyDescent="0.25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 x14ac:dyDescent="0.25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 x14ac:dyDescent="0.25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 x14ac:dyDescent="0.25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 x14ac:dyDescent="0.25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 x14ac:dyDescent="0.25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 x14ac:dyDescent="0.25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 x14ac:dyDescent="0.25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 x14ac:dyDescent="0.25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 x14ac:dyDescent="0.25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 x14ac:dyDescent="0.25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 x14ac:dyDescent="0.25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 x14ac:dyDescent="0.25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 x14ac:dyDescent="0.25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 x14ac:dyDescent="0.25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 x14ac:dyDescent="0.25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 x14ac:dyDescent="0.25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 x14ac:dyDescent="0.25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 x14ac:dyDescent="0.25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 x14ac:dyDescent="0.25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 x14ac:dyDescent="0.25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 x14ac:dyDescent="0.25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 x14ac:dyDescent="0.25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 x14ac:dyDescent="0.25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 x14ac:dyDescent="0.25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 x14ac:dyDescent="0.25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 x14ac:dyDescent="0.25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 x14ac:dyDescent="0.25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 x14ac:dyDescent="0.25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 x14ac:dyDescent="0.25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 x14ac:dyDescent="0.25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 x14ac:dyDescent="0.25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 x14ac:dyDescent="0.25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 x14ac:dyDescent="0.25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 x14ac:dyDescent="0.25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 x14ac:dyDescent="0.25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 x14ac:dyDescent="0.25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 x14ac:dyDescent="0.25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 x14ac:dyDescent="0.25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 x14ac:dyDescent="0.25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 x14ac:dyDescent="0.25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 x14ac:dyDescent="0.25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 x14ac:dyDescent="0.25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 x14ac:dyDescent="0.25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 x14ac:dyDescent="0.25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 x14ac:dyDescent="0.25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 x14ac:dyDescent="0.25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 x14ac:dyDescent="0.25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 x14ac:dyDescent="0.25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 x14ac:dyDescent="0.25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 x14ac:dyDescent="0.25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 x14ac:dyDescent="0.25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 x14ac:dyDescent="0.25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 x14ac:dyDescent="0.25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 x14ac:dyDescent="0.25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 x14ac:dyDescent="0.25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 x14ac:dyDescent="0.25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 x14ac:dyDescent="0.25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 x14ac:dyDescent="0.25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 x14ac:dyDescent="0.25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 x14ac:dyDescent="0.25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 x14ac:dyDescent="0.25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 x14ac:dyDescent="0.25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 x14ac:dyDescent="0.25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 x14ac:dyDescent="0.25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 x14ac:dyDescent="0.25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 x14ac:dyDescent="0.25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 x14ac:dyDescent="0.25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 x14ac:dyDescent="0.25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 x14ac:dyDescent="0.25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 x14ac:dyDescent="0.25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 x14ac:dyDescent="0.25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 x14ac:dyDescent="0.25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 x14ac:dyDescent="0.25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 x14ac:dyDescent="0.25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 x14ac:dyDescent="0.25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 x14ac:dyDescent="0.25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 x14ac:dyDescent="0.25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 x14ac:dyDescent="0.25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 x14ac:dyDescent="0.25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 x14ac:dyDescent="0.25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 x14ac:dyDescent="0.25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 x14ac:dyDescent="0.25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 x14ac:dyDescent="0.25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 x14ac:dyDescent="0.25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 x14ac:dyDescent="0.25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 x14ac:dyDescent="0.25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 x14ac:dyDescent="0.25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 x14ac:dyDescent="0.25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 x14ac:dyDescent="0.25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 x14ac:dyDescent="0.25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 x14ac:dyDescent="0.25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 x14ac:dyDescent="0.25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 x14ac:dyDescent="0.25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 x14ac:dyDescent="0.25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 x14ac:dyDescent="0.25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 x14ac:dyDescent="0.25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 x14ac:dyDescent="0.25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 x14ac:dyDescent="0.25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 x14ac:dyDescent="0.25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 x14ac:dyDescent="0.25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 x14ac:dyDescent="0.25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 x14ac:dyDescent="0.25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 x14ac:dyDescent="0.25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 x14ac:dyDescent="0.25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 x14ac:dyDescent="0.25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 x14ac:dyDescent="0.25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 x14ac:dyDescent="0.25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 x14ac:dyDescent="0.25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 x14ac:dyDescent="0.25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 x14ac:dyDescent="0.25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 x14ac:dyDescent="0.25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 x14ac:dyDescent="0.25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 x14ac:dyDescent="0.25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 x14ac:dyDescent="0.25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 x14ac:dyDescent="0.25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 x14ac:dyDescent="0.25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 x14ac:dyDescent="0.25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 x14ac:dyDescent="0.25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 x14ac:dyDescent="0.25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 x14ac:dyDescent="0.25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 x14ac:dyDescent="0.25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 x14ac:dyDescent="0.25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 x14ac:dyDescent="0.25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 x14ac:dyDescent="0.25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 x14ac:dyDescent="0.25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 x14ac:dyDescent="0.25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 x14ac:dyDescent="0.25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 x14ac:dyDescent="0.25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 x14ac:dyDescent="0.25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 x14ac:dyDescent="0.25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 x14ac:dyDescent="0.25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 x14ac:dyDescent="0.25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 x14ac:dyDescent="0.25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 x14ac:dyDescent="0.25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 x14ac:dyDescent="0.25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 x14ac:dyDescent="0.25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 x14ac:dyDescent="0.25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 x14ac:dyDescent="0.25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 x14ac:dyDescent="0.25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 x14ac:dyDescent="0.25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 x14ac:dyDescent="0.25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 x14ac:dyDescent="0.25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 x14ac:dyDescent="0.25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 x14ac:dyDescent="0.25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 x14ac:dyDescent="0.25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 x14ac:dyDescent="0.25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 x14ac:dyDescent="0.25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 x14ac:dyDescent="0.25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 x14ac:dyDescent="0.25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 x14ac:dyDescent="0.25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 x14ac:dyDescent="0.25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 x14ac:dyDescent="0.25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 x14ac:dyDescent="0.25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 x14ac:dyDescent="0.25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 x14ac:dyDescent="0.25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 x14ac:dyDescent="0.25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 x14ac:dyDescent="0.25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 x14ac:dyDescent="0.25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 x14ac:dyDescent="0.25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 x14ac:dyDescent="0.25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 x14ac:dyDescent="0.25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 x14ac:dyDescent="0.25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 x14ac:dyDescent="0.25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 x14ac:dyDescent="0.25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 x14ac:dyDescent="0.25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 x14ac:dyDescent="0.25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 x14ac:dyDescent="0.25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 x14ac:dyDescent="0.25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 x14ac:dyDescent="0.25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 x14ac:dyDescent="0.25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 x14ac:dyDescent="0.25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 x14ac:dyDescent="0.25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 x14ac:dyDescent="0.25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 x14ac:dyDescent="0.25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 x14ac:dyDescent="0.25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 x14ac:dyDescent="0.25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 x14ac:dyDescent="0.25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 x14ac:dyDescent="0.25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 x14ac:dyDescent="0.25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 x14ac:dyDescent="0.25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 x14ac:dyDescent="0.25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 x14ac:dyDescent="0.25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 x14ac:dyDescent="0.25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 x14ac:dyDescent="0.25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 x14ac:dyDescent="0.25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 x14ac:dyDescent="0.25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 x14ac:dyDescent="0.25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 x14ac:dyDescent="0.25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 x14ac:dyDescent="0.25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 x14ac:dyDescent="0.25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 x14ac:dyDescent="0.25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 x14ac:dyDescent="0.25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 x14ac:dyDescent="0.25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 x14ac:dyDescent="0.25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 x14ac:dyDescent="0.25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 x14ac:dyDescent="0.25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 x14ac:dyDescent="0.25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 x14ac:dyDescent="0.25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 x14ac:dyDescent="0.25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 x14ac:dyDescent="0.25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 x14ac:dyDescent="0.25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 x14ac:dyDescent="0.25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 x14ac:dyDescent="0.25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 x14ac:dyDescent="0.25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 x14ac:dyDescent="0.25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 x14ac:dyDescent="0.25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 x14ac:dyDescent="0.25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 x14ac:dyDescent="0.25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 x14ac:dyDescent="0.25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 x14ac:dyDescent="0.25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 x14ac:dyDescent="0.25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 x14ac:dyDescent="0.25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 x14ac:dyDescent="0.25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 x14ac:dyDescent="0.25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 x14ac:dyDescent="0.25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 x14ac:dyDescent="0.25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 x14ac:dyDescent="0.25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 x14ac:dyDescent="0.25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 x14ac:dyDescent="0.25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 x14ac:dyDescent="0.25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 x14ac:dyDescent="0.25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 x14ac:dyDescent="0.25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 x14ac:dyDescent="0.25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 x14ac:dyDescent="0.25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 x14ac:dyDescent="0.25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 x14ac:dyDescent="0.25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 x14ac:dyDescent="0.25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 x14ac:dyDescent="0.25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 x14ac:dyDescent="0.25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 x14ac:dyDescent="0.25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 x14ac:dyDescent="0.25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 x14ac:dyDescent="0.25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 x14ac:dyDescent="0.25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 x14ac:dyDescent="0.25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 x14ac:dyDescent="0.25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 x14ac:dyDescent="0.25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 x14ac:dyDescent="0.25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 x14ac:dyDescent="0.25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 x14ac:dyDescent="0.25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 x14ac:dyDescent="0.25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 x14ac:dyDescent="0.25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 x14ac:dyDescent="0.25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 x14ac:dyDescent="0.25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 x14ac:dyDescent="0.25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2025-12-05T16:23:31Z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