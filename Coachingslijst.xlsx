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75" documentId="13_ncr:1_{51182797-F005-4DB1-88AE-A2BD37A2289A}" xr6:coauthVersionLast="47" xr6:coauthVersionMax="47" xr10:uidLastSave="{718AE195-1EA0-4B97-81D1-B83E14E130AA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5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0" i="6" l="1"/>
  <c r="C249" i="4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<sst xmlns="http://schemas.openxmlformats.org/spreadsheetml/2006/main" count="4737" uniqueCount="1193">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</sst>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0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0" fillId="11" borderId="0" xfId="0" applyFill="1"/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 applyFill="1"/>
    <xf numFmtId="0" fontId="0" fillId="0" borderId="0" xfId="0" applyNumberFormat="1"/>
  </cellXfs>
  <cellStyles count="1">
    <cellStyle name="Standaard" xfId="0" builtinId="0"/>
  </cellStyles>
  <dxfs count="8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53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0" totalsRowShown="0">
  <autoFilter ref="A1:T80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72"/>
    <tableColumn id="2" xr3:uid="{B49F914A-1FEE-4A75-9CD6-E94916B19C46}" name="Coaching rijschool" dataDxfId="71"/>
    <tableColumn id="3" xr3:uid="{7B74AF4D-F69C-4007-A6A0-421FFFF384B0}" name="aanvraagsdatum" dataDxfId="70"/>
    <tableColumn id="4" xr3:uid="{8AC34D33-B5AC-45FC-9CA7-A867F963543A}" name="P-nr" dataDxfId="69"/>
    <tableColumn id="5" xr3:uid="{F4EF036B-C2F8-4026-A2A9-AD2B883FBCA0}" name="Naam" dataDxfId="68"/>
    <tableColumn id="6" xr3:uid="{35DA4508-064A-468B-B6AB-413C038B8A1C}" name="Voornaam" dataDxfId="67"/>
    <tableColumn id="7" xr3:uid="{1DF84F60-8CE2-4D75-A697-8993441A24AE}" name="Volledige naam" dataDxfId="6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5"/>
    <tableColumn id="9" xr3:uid="{55439308-91C5-4F17-A0C7-B1F6312B9742}" name="Teamcoach" dataDxfId="64"/>
    <tableColumn id="10" xr3:uid="{2D4A733F-4F63-4CA5-BD3C-7B49FC1F3FFF}" name="Rooster" dataDxfId="63"/>
    <tableColumn id="11" xr3:uid="{61C0CBEA-E79D-414F-8B84-D7AED8AC3B32}" name="Opmerkingen" dataDxfId="62"/>
    <tableColumn id="12" xr3:uid="{456ABA1C-1C62-4168-AD5C-BFD9C05C8542}" name="Bus/Tram" dataDxfId="6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0"/>
  <sheetViews>
    <sheetView tabSelected="1" topLeftCell="B63" zoomScale="90" zoomScaleNormal="90" workbookViewId="0">
      <selection activeCell="D81" sqref="D81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4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4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8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8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8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8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8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8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8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8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8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8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  <c r="M42" t="s">
        <v>46</v>
      </c>
      <c r="N42" s="11">
        <v>45992</v>
      </c>
      <c r="Q42" t="s">
        <v>47</v>
      </c>
      <c r="R42" t="s">
        <v>48</v>
      </c>
    </row>
    <row r="43" spans="1:18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8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8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8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8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8">
      <c r="C48" s="11">
        <v>45898</v>
      </c>
      <c r="D48" s="54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4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4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 s="54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49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50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8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8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8">
      <c r="C67" s="11">
        <v>45917</v>
      </c>
      <c r="D67" s="54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8">
      <c r="C68" s="11">
        <v>45926</v>
      </c>
      <c r="D68" s="54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  <c r="L68" s="2" t="s">
        <v>33</v>
      </c>
      <c r="M68" t="s">
        <v>51</v>
      </c>
      <c r="N68" s="11">
        <v>45995</v>
      </c>
      <c r="O68" t="s">
        <v>52</v>
      </c>
      <c r="P68" t="s">
        <v>53</v>
      </c>
      <c r="Q68" t="s">
        <v>54</v>
      </c>
    </row>
    <row r="69" spans="3:18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55</v>
      </c>
      <c r="N69" s="11"/>
    </row>
    <row r="70" spans="3:18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8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8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56</v>
      </c>
      <c r="L72" s="2" t="s">
        <v>33</v>
      </c>
      <c r="M72" t="s">
        <v>46</v>
      </c>
      <c r="N72" s="11">
        <v>45992</v>
      </c>
      <c r="Q72" t="s">
        <v>47</v>
      </c>
      <c r="R72" t="s">
        <v>48</v>
      </c>
    </row>
    <row r="73" spans="3:18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57</v>
      </c>
      <c r="N73" s="11"/>
    </row>
    <row r="74" spans="3:18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57</v>
      </c>
      <c r="N74" s="11"/>
    </row>
    <row r="75" spans="3:18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57</v>
      </c>
      <c r="N75" s="11"/>
    </row>
    <row r="76" spans="3:18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57</v>
      </c>
      <c r="N76" s="11"/>
    </row>
    <row r="77" spans="3:18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57</v>
      </c>
      <c r="N77" s="11"/>
    </row>
    <row r="78" spans="3:18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57</v>
      </c>
      <c r="N78" s="11"/>
    </row>
    <row r="79" spans="3:18">
      <c r="C79" s="11">
        <v>45966</v>
      </c>
      <c r="D79" s="54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57</v>
      </c>
      <c r="N79" s="11"/>
    </row>
    <row r="80" spans="3:18">
      <c r="C80" s="56"/>
      <c r="D80" s="57">
        <v>30999</v>
      </c>
      <c r="E80" s="58"/>
      <c r="F80" s="59"/>
      <c r="G80" s="59" t="str">
        <f>_xlfn.CONCAT(Tabel2[[#This Row],[P-nr]]," ",Tabel2[[#This Row],[Naam]]," ",Tabel2[[#This Row],[Voornaam]]," ",)</f>
        <v xml:space="preserve">30999   </v>
      </c>
      <c r="H80" s="59"/>
      <c r="I80" s="59"/>
      <c r="J80" s="59"/>
    </row>
  </sheetData>
  <phoneticPr fontId="3" type="noConversion"/>
  <conditionalFormatting sqref="A1:B1048576">
    <cfRule type="containsText" dxfId="81" priority="45" operator="containsText" text="ja">
      <formula>NOT(ISERROR(SEARCH("ja",A1)))</formula>
    </cfRule>
  </conditionalFormatting>
  <conditionalFormatting sqref="D1:D1048576">
    <cfRule type="duplicateValues" dxfId="80" priority="587"/>
  </conditionalFormatting>
  <conditionalFormatting sqref="D6">
    <cfRule type="containsText" dxfId="79" priority="3" operator="containsText" text="ja">
      <formula>NOT(ISERROR(SEARCH("ja",D6)))</formula>
    </cfRule>
  </conditionalFormatting>
  <conditionalFormatting sqref="Q1:Q1048576">
    <cfRule type="containsText" dxfId="78" priority="46" operator="containsText" text="zeer slecht">
      <formula>NOT(ISERROR(SEARCH("zeer slecht",Q1)))</formula>
    </cfRule>
    <cfRule type="containsText" dxfId="77" priority="47" operator="containsText" text="slecht">
      <formula>NOT(ISERROR(SEARCH("slecht",Q1)))</formula>
    </cfRule>
    <cfRule type="containsText" dxfId="76" priority="48" operator="containsText" text="onvoldoende">
      <formula>NOT(ISERROR(SEARCH("onvoldoende",Q1)))</formula>
    </cfRule>
    <cfRule type="containsText" dxfId="75" priority="49" operator="containsText" text="voldoende">
      <formula>NOT(ISERROR(SEARCH("voldoende",Q1)))</formula>
    </cfRule>
    <cfRule type="containsText" dxfId="74" priority="50" operator="containsText" text="goed">
      <formula>NOT(ISERROR(SEARCH("goed",Q1)))</formula>
    </cfRule>
    <cfRule type="containsText" dxfId="7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58</v>
      </c>
      <c r="F1" s="20" t="s">
        <v>7</v>
      </c>
      <c r="G1" s="28" t="s">
        <v>8</v>
      </c>
      <c r="H1" s="20" t="s">
        <v>59</v>
      </c>
      <c r="I1" s="21" t="s">
        <v>60</v>
      </c>
      <c r="J1" s="20" t="s">
        <v>11</v>
      </c>
      <c r="K1" s="22" t="s">
        <v>12</v>
      </c>
      <c r="L1" s="22" t="s">
        <v>61</v>
      </c>
      <c r="M1" s="42" t="s">
        <v>14</v>
      </c>
      <c r="N1" s="22" t="s">
        <v>15</v>
      </c>
      <c r="O1" s="22" t="s">
        <v>62</v>
      </c>
      <c r="P1" s="22" t="s">
        <v>63</v>
      </c>
      <c r="Q1" s="22" t="s">
        <v>64</v>
      </c>
      <c r="R1" s="20" t="s">
        <v>65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66</v>
      </c>
      <c r="K2" s="29" t="s">
        <v>67</v>
      </c>
      <c r="L2" s="38">
        <v>45700</v>
      </c>
      <c r="M2" s="29"/>
      <c r="N2" s="23"/>
      <c r="O2" s="23" t="s">
        <v>68</v>
      </c>
      <c r="P2" s="23" t="s">
        <v>48</v>
      </c>
      <c r="Q2" s="23"/>
      <c r="R2" s="23" t="s">
        <v>69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70</v>
      </c>
      <c r="K3" s="29" t="s">
        <v>51</v>
      </c>
      <c r="L3" s="38">
        <v>45715</v>
      </c>
      <c r="M3" s="29" t="s">
        <v>71</v>
      </c>
      <c r="N3" s="23" t="s">
        <v>39</v>
      </c>
      <c r="O3" s="23" t="s">
        <v>72</v>
      </c>
      <c r="P3" s="23" t="s">
        <v>48</v>
      </c>
      <c r="Q3" s="23"/>
      <c r="R3" s="23" t="s">
        <v>69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70</v>
      </c>
      <c r="K4" s="29" t="s">
        <v>51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48</v>
      </c>
      <c r="Q4" s="23"/>
      <c r="R4" s="23" t="s">
        <v>69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70</v>
      </c>
      <c r="K5" s="29" t="s">
        <v>51</v>
      </c>
      <c r="L5" s="38">
        <v>45721</v>
      </c>
      <c r="M5" s="29"/>
      <c r="N5" s="23"/>
      <c r="O5" s="23" t="s">
        <v>74</v>
      </c>
      <c r="P5" s="23"/>
      <c r="Q5" s="23"/>
      <c r="R5" s="23" t="s">
        <v>69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70</v>
      </c>
      <c r="K6" s="29" t="s">
        <v>51</v>
      </c>
      <c r="L6" s="38">
        <v>45721</v>
      </c>
      <c r="M6" s="29"/>
      <c r="N6" s="23"/>
      <c r="O6" s="23" t="s">
        <v>74</v>
      </c>
      <c r="P6" s="23"/>
      <c r="Q6" s="23"/>
      <c r="R6" s="23" t="s">
        <v>69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70</v>
      </c>
      <c r="K7" s="31" t="s">
        <v>46</v>
      </c>
      <c r="L7" s="38">
        <v>45722</v>
      </c>
      <c r="M7" s="29"/>
      <c r="N7" s="23"/>
      <c r="O7" s="23" t="s">
        <v>74</v>
      </c>
      <c r="P7" s="23"/>
      <c r="Q7" s="23"/>
      <c r="R7" s="23" t="s">
        <v>69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70</v>
      </c>
      <c r="K8" s="29" t="s">
        <v>46</v>
      </c>
      <c r="L8" s="38">
        <v>45726</v>
      </c>
      <c r="M8" s="29"/>
      <c r="N8" s="23"/>
      <c r="O8" s="23" t="s">
        <v>72</v>
      </c>
      <c r="P8" s="23" t="s">
        <v>48</v>
      </c>
      <c r="Q8" s="23"/>
      <c r="R8" s="23" t="s">
        <v>69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76</v>
      </c>
      <c r="J9" s="25" t="s">
        <v>70</v>
      </c>
      <c r="K9" s="30" t="s">
        <v>46</v>
      </c>
      <c r="L9" s="38">
        <v>45727</v>
      </c>
      <c r="M9" s="29" t="s">
        <v>71</v>
      </c>
      <c r="N9" s="23"/>
      <c r="O9" s="23" t="s">
        <v>77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66</v>
      </c>
      <c r="K10" s="29" t="s">
        <v>67</v>
      </c>
      <c r="L10" s="38">
        <v>45728</v>
      </c>
      <c r="M10" s="29"/>
      <c r="N10" s="23"/>
      <c r="O10" s="23" t="s">
        <v>68</v>
      </c>
      <c r="P10" s="23" t="s">
        <v>48</v>
      </c>
      <c r="Q10" s="23"/>
      <c r="R10" s="23" t="s">
        <v>69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70</v>
      </c>
      <c r="K11" s="29" t="s">
        <v>51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48</v>
      </c>
      <c r="Q11" s="23"/>
      <c r="R11" s="23" t="s">
        <v>69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70</v>
      </c>
      <c r="K12" s="29" t="s">
        <v>51</v>
      </c>
      <c r="L12" s="38">
        <v>45740</v>
      </c>
      <c r="M12" s="29"/>
      <c r="N12" s="23"/>
      <c r="O12" s="23" t="s">
        <v>68</v>
      </c>
      <c r="P12" s="23"/>
      <c r="Q12" s="23"/>
      <c r="R12" s="23" t="s">
        <v>69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70</v>
      </c>
      <c r="K13" s="29" t="s">
        <v>51</v>
      </c>
      <c r="L13" s="38">
        <v>45740</v>
      </c>
      <c r="M13" s="29"/>
      <c r="N13" s="23"/>
      <c r="O13" s="23" t="s">
        <v>68</v>
      </c>
      <c r="P13" s="23" t="s">
        <v>48</v>
      </c>
      <c r="Q13" s="23"/>
      <c r="R13" s="23" t="s">
        <v>69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78</v>
      </c>
      <c r="J14" s="25" t="s">
        <v>66</v>
      </c>
      <c r="K14" s="29" t="s">
        <v>8</v>
      </c>
      <c r="L14" s="38">
        <v>45742</v>
      </c>
      <c r="M14" s="29"/>
      <c r="N14" s="23"/>
      <c r="O14" s="23" t="s">
        <v>68</v>
      </c>
      <c r="P14" s="23" t="s">
        <v>48</v>
      </c>
      <c r="Q14" s="23"/>
      <c r="R14" s="23" t="s">
        <v>69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70</v>
      </c>
      <c r="K15" s="29" t="s">
        <v>51</v>
      </c>
      <c r="L15" s="38">
        <v>45743</v>
      </c>
      <c r="M15" s="29" t="s">
        <v>71</v>
      </c>
      <c r="N15" s="23" t="s">
        <v>79</v>
      </c>
      <c r="O15" s="23" t="s">
        <v>74</v>
      </c>
      <c r="P15" s="23" t="s">
        <v>48</v>
      </c>
      <c r="Q15" s="23"/>
      <c r="R15" s="23" t="s">
        <v>69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66</v>
      </c>
      <c r="K16" s="29" t="s">
        <v>80</v>
      </c>
      <c r="L16" s="38">
        <v>45743</v>
      </c>
      <c r="M16" s="29"/>
      <c r="N16" s="23" t="s">
        <v>39</v>
      </c>
      <c r="O16" s="23" t="s">
        <v>74</v>
      </c>
      <c r="P16" s="23"/>
      <c r="Q16" s="23"/>
      <c r="R16" s="23" t="s">
        <v>69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71</v>
      </c>
      <c r="N17" s="23" t="s">
        <v>39</v>
      </c>
      <c r="O17" s="23" t="s">
        <v>74</v>
      </c>
      <c r="P17" s="23" t="s">
        <v>48</v>
      </c>
      <c r="Q17" s="23"/>
      <c r="R17" s="23" t="s">
        <v>69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66</v>
      </c>
      <c r="K18" s="29" t="s">
        <v>80</v>
      </c>
      <c r="L18" s="38">
        <v>45743</v>
      </c>
      <c r="M18" s="29" t="s">
        <v>81</v>
      </c>
      <c r="N18" s="23"/>
      <c r="O18" s="23" t="s">
        <v>74</v>
      </c>
      <c r="P18" s="23"/>
      <c r="Q18" s="23"/>
      <c r="R18" s="23" t="s">
        <v>69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82</v>
      </c>
      <c r="J19" s="25" t="s">
        <v>66</v>
      </c>
      <c r="K19" s="29" t="s">
        <v>80</v>
      </c>
      <c r="L19" s="38">
        <v>45743</v>
      </c>
      <c r="M19" s="29" t="s">
        <v>71</v>
      </c>
      <c r="N19" s="23" t="s">
        <v>83</v>
      </c>
      <c r="O19" s="23" t="s">
        <v>72</v>
      </c>
      <c r="P19" s="23"/>
      <c r="Q19" s="23"/>
      <c r="R19" s="23" t="s">
        <v>69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84</v>
      </c>
      <c r="J20" s="25" t="s">
        <v>66</v>
      </c>
      <c r="K20" s="29" t="s">
        <v>80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69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70</v>
      </c>
      <c r="K21" s="29" t="s">
        <v>51</v>
      </c>
      <c r="L21" s="38">
        <v>45744</v>
      </c>
      <c r="M21" s="29" t="s">
        <v>85</v>
      </c>
      <c r="N21" s="23" t="s">
        <v>86</v>
      </c>
      <c r="O21" s="23" t="s">
        <v>74</v>
      </c>
      <c r="P21" s="23" t="s">
        <v>48</v>
      </c>
      <c r="Q21" s="23"/>
      <c r="R21" s="23" t="s">
        <v>69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70</v>
      </c>
      <c r="K22" s="50" t="s">
        <v>51</v>
      </c>
      <c r="L22" s="38">
        <v>45744</v>
      </c>
      <c r="M22" s="29" t="s">
        <v>71</v>
      </c>
      <c r="N22" s="23" t="s">
        <v>39</v>
      </c>
      <c r="O22" s="23" t="s">
        <v>74</v>
      </c>
      <c r="P22" s="23" t="s">
        <v>48</v>
      </c>
      <c r="Q22" s="23"/>
      <c r="R22" s="23" t="s">
        <v>69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70</v>
      </c>
      <c r="K23" s="30" t="s">
        <v>51</v>
      </c>
      <c r="L23" s="38">
        <v>45744</v>
      </c>
      <c r="M23" s="29" t="s">
        <v>71</v>
      </c>
      <c r="N23" s="23" t="s">
        <v>39</v>
      </c>
      <c r="O23" s="23" t="s">
        <v>74</v>
      </c>
      <c r="P23" s="23" t="s">
        <v>48</v>
      </c>
      <c r="Q23" s="23"/>
      <c r="R23" s="23" t="s">
        <v>69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70</v>
      </c>
      <c r="K24" s="29" t="s">
        <v>87</v>
      </c>
      <c r="L24" s="38">
        <v>45744</v>
      </c>
      <c r="M24" s="29"/>
      <c r="N24" s="23"/>
      <c r="O24" s="23" t="s">
        <v>68</v>
      </c>
      <c r="P24" s="23" t="s">
        <v>48</v>
      </c>
      <c r="Q24" s="23"/>
      <c r="R24" s="23" t="s">
        <v>69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88</v>
      </c>
      <c r="J25" s="25" t="s">
        <v>70</v>
      </c>
      <c r="K25" s="29" t="s">
        <v>87</v>
      </c>
      <c r="L25" s="38">
        <v>45744</v>
      </c>
      <c r="M25" s="29" t="s">
        <v>89</v>
      </c>
      <c r="N25" s="23" t="s">
        <v>79</v>
      </c>
      <c r="O25" s="23" t="s">
        <v>72</v>
      </c>
      <c r="P25" s="23" t="s">
        <v>25</v>
      </c>
      <c r="Q25" s="23"/>
      <c r="R25" s="23" t="s">
        <v>69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70</v>
      </c>
      <c r="K26" s="29" t="s">
        <v>51</v>
      </c>
      <c r="L26" s="38">
        <v>45749</v>
      </c>
      <c r="M26" s="29" t="s">
        <v>71</v>
      </c>
      <c r="N26" s="23" t="s">
        <v>39</v>
      </c>
      <c r="O26" s="23" t="s">
        <v>74</v>
      </c>
      <c r="P26" s="23" t="s">
        <v>48</v>
      </c>
      <c r="Q26" s="23"/>
      <c r="R26" s="23" t="s">
        <v>69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90</v>
      </c>
      <c r="J27" s="25" t="s">
        <v>70</v>
      </c>
      <c r="K27" s="29" t="s">
        <v>91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25</v>
      </c>
      <c r="Q27" s="23"/>
      <c r="R27" s="23" t="s">
        <v>69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70</v>
      </c>
      <c r="K28" s="29" t="s">
        <v>51</v>
      </c>
      <c r="L28" s="38">
        <v>45749</v>
      </c>
      <c r="M28" s="29" t="s">
        <v>86</v>
      </c>
      <c r="N28" s="23"/>
      <c r="O28" s="23" t="s">
        <v>74</v>
      </c>
      <c r="P28" s="23" t="s">
        <v>48</v>
      </c>
      <c r="Q28" s="23"/>
      <c r="R28" s="23" t="s">
        <v>69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70</v>
      </c>
      <c r="K29" s="29" t="s">
        <v>92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69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70</v>
      </c>
      <c r="K30" s="29" t="s">
        <v>92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69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70</v>
      </c>
      <c r="K31" s="29" t="s">
        <v>93</v>
      </c>
      <c r="L31" s="38">
        <v>45749</v>
      </c>
      <c r="M31" s="29"/>
      <c r="N31" s="23"/>
      <c r="O31" s="23" t="s">
        <v>77</v>
      </c>
      <c r="P31" s="23" t="s">
        <v>25</v>
      </c>
      <c r="Q31" s="23" t="s">
        <v>94</v>
      </c>
      <c r="R31" s="23" t="s">
        <v>69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70</v>
      </c>
      <c r="K32" s="30" t="s">
        <v>91</v>
      </c>
      <c r="L32" s="37">
        <v>45749</v>
      </c>
      <c r="M32" s="30" t="s">
        <v>95</v>
      </c>
      <c r="O32" t="s">
        <v>74</v>
      </c>
      <c r="P32" t="s">
        <v>48</v>
      </c>
      <c r="R32" s="23" t="s">
        <v>69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70</v>
      </c>
      <c r="K33" s="29" t="s">
        <v>93</v>
      </c>
      <c r="L33" s="38">
        <v>45755</v>
      </c>
      <c r="M33" s="29"/>
      <c r="N33" s="23"/>
      <c r="O33" s="23" t="s">
        <v>68</v>
      </c>
      <c r="P33" s="23"/>
      <c r="Q33" s="23"/>
      <c r="R33" s="23" t="s">
        <v>69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70</v>
      </c>
      <c r="K34" s="29" t="s">
        <v>51</v>
      </c>
      <c r="L34" s="38">
        <v>45762</v>
      </c>
      <c r="M34" s="29"/>
      <c r="N34" s="23"/>
      <c r="O34" s="23" t="s">
        <v>74</v>
      </c>
      <c r="P34" s="23" t="s">
        <v>48</v>
      </c>
      <c r="Q34" s="23"/>
      <c r="R34" s="23" t="s">
        <v>69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70</v>
      </c>
      <c r="K35" s="29" t="s">
        <v>93</v>
      </c>
      <c r="L35" s="38">
        <v>45763</v>
      </c>
      <c r="M35" s="29" t="s">
        <v>71</v>
      </c>
      <c r="N35" s="23"/>
      <c r="O35" s="23" t="s">
        <v>98</v>
      </c>
      <c r="P35" s="23" t="s">
        <v>25</v>
      </c>
      <c r="Q35" s="23"/>
      <c r="R35" s="23" t="s">
        <v>69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70</v>
      </c>
      <c r="K36" s="29" t="s">
        <v>93</v>
      </c>
      <c r="L36" s="38">
        <v>45763</v>
      </c>
      <c r="M36" s="29"/>
      <c r="N36" s="23"/>
      <c r="O36" s="23" t="s">
        <v>68</v>
      </c>
      <c r="P36" s="23" t="s">
        <v>48</v>
      </c>
      <c r="Q36" s="23"/>
      <c r="R36" s="23" t="s">
        <v>69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93</v>
      </c>
      <c r="L37" s="38">
        <v>45763</v>
      </c>
      <c r="M37" s="29"/>
      <c r="N37" s="23"/>
      <c r="O37" s="23" t="s">
        <v>74</v>
      </c>
      <c r="P37" s="23" t="s">
        <v>48</v>
      </c>
      <c r="Q37" s="23"/>
      <c r="R37" s="23" t="s">
        <v>69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70</v>
      </c>
      <c r="K38" s="29" t="s">
        <v>93</v>
      </c>
      <c r="L38" s="38">
        <v>45763</v>
      </c>
      <c r="M38" s="29"/>
      <c r="N38" s="23"/>
      <c r="O38" s="23" t="s">
        <v>74</v>
      </c>
      <c r="P38" s="23" t="s">
        <v>48</v>
      </c>
      <c r="Q38" s="23"/>
      <c r="R38" s="23" t="s">
        <v>69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70</v>
      </c>
      <c r="K39" s="29" t="s">
        <v>51</v>
      </c>
      <c r="L39" s="38">
        <v>45763</v>
      </c>
      <c r="M39" s="29"/>
      <c r="N39" s="23"/>
      <c r="O39" s="23" t="s">
        <v>74</v>
      </c>
      <c r="P39" s="23" t="s">
        <v>48</v>
      </c>
      <c r="Q39" s="23"/>
      <c r="R39" s="23" t="s">
        <v>69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70</v>
      </c>
      <c r="K40" s="29" t="s">
        <v>99</v>
      </c>
      <c r="L40" s="38">
        <v>45764</v>
      </c>
      <c r="M40" s="29"/>
      <c r="N40" s="23"/>
      <c r="O40" s="23" t="s">
        <v>68</v>
      </c>
      <c r="P40" s="23" t="s">
        <v>48</v>
      </c>
      <c r="Q40" s="23"/>
      <c r="R40" s="23" t="s">
        <v>69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70</v>
      </c>
      <c r="K41" s="29" t="s">
        <v>51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48</v>
      </c>
      <c r="Q41" s="23"/>
      <c r="R41" s="23" t="s">
        <v>69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70</v>
      </c>
      <c r="K42" s="29" t="s">
        <v>51</v>
      </c>
      <c r="L42" s="38">
        <v>45770</v>
      </c>
      <c r="M42" s="29" t="s">
        <v>71</v>
      </c>
      <c r="N42" s="23" t="s">
        <v>73</v>
      </c>
      <c r="O42" s="23" t="s">
        <v>77</v>
      </c>
      <c r="P42" s="23" t="s">
        <v>48</v>
      </c>
      <c r="Q42" s="23"/>
      <c r="R42" s="23" t="s">
        <v>69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70</v>
      </c>
      <c r="K43" s="29" t="s">
        <v>51</v>
      </c>
      <c r="L43" s="38">
        <v>45770</v>
      </c>
      <c r="M43" s="29" t="s">
        <v>85</v>
      </c>
      <c r="N43" s="23"/>
      <c r="O43" s="23" t="s">
        <v>74</v>
      </c>
      <c r="P43" s="23" t="s">
        <v>25</v>
      </c>
      <c r="Q43" s="23"/>
      <c r="R43" s="23" t="s">
        <v>69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70</v>
      </c>
      <c r="K44" s="30" t="s">
        <v>101</v>
      </c>
      <c r="L44" s="37">
        <v>45771</v>
      </c>
      <c r="N44" t="s">
        <v>102</v>
      </c>
      <c r="O44" t="s">
        <v>74</v>
      </c>
      <c r="P44" t="s">
        <v>48</v>
      </c>
      <c r="R44" s="23" t="s">
        <v>69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70</v>
      </c>
      <c r="K45" s="30" t="s">
        <v>101</v>
      </c>
      <c r="L45" s="37">
        <v>45771</v>
      </c>
      <c r="O45" t="s">
        <v>68</v>
      </c>
      <c r="P45" t="s">
        <v>48</v>
      </c>
      <c r="R45" s="23" t="s">
        <v>69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66</v>
      </c>
      <c r="K46" s="30" t="s">
        <v>80</v>
      </c>
      <c r="L46" s="37">
        <v>45771</v>
      </c>
      <c r="O46" t="s">
        <v>77</v>
      </c>
      <c r="P46" t="s">
        <v>48</v>
      </c>
      <c r="R46" s="23" t="s">
        <v>69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66</v>
      </c>
      <c r="K47" s="30" t="s">
        <v>80</v>
      </c>
      <c r="L47" s="37">
        <v>45771</v>
      </c>
      <c r="O47" t="s">
        <v>74</v>
      </c>
      <c r="R47" s="23" t="s">
        <v>69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70</v>
      </c>
      <c r="K48" s="30" t="s">
        <v>101</v>
      </c>
      <c r="L48" s="37">
        <v>45775</v>
      </c>
      <c r="M48" t="s">
        <v>103</v>
      </c>
      <c r="N48" t="s">
        <v>104</v>
      </c>
      <c r="O48" t="s">
        <v>74</v>
      </c>
      <c r="P48" t="s">
        <v>48</v>
      </c>
      <c r="R48" s="23" t="s">
        <v>69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66</v>
      </c>
      <c r="K49" s="30" t="s">
        <v>67</v>
      </c>
      <c r="L49" s="37">
        <v>45775</v>
      </c>
      <c r="M49" s="30" t="s">
        <v>105</v>
      </c>
      <c r="N49" t="s">
        <v>89</v>
      </c>
      <c r="O49" t="s">
        <v>72</v>
      </c>
      <c r="P49" t="s">
        <v>48</v>
      </c>
      <c r="R49" s="23" t="s">
        <v>69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66</v>
      </c>
      <c r="K50" s="30" t="s">
        <v>67</v>
      </c>
      <c r="L50" s="37">
        <v>45775</v>
      </c>
      <c r="M50" s="30" t="s">
        <v>89</v>
      </c>
      <c r="N50" t="s">
        <v>106</v>
      </c>
      <c r="O50" t="s">
        <v>74</v>
      </c>
      <c r="P50" t="s">
        <v>48</v>
      </c>
      <c r="R50" s="23" t="s">
        <v>69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70</v>
      </c>
      <c r="K51" s="30" t="s">
        <v>91</v>
      </c>
      <c r="L51" s="37">
        <v>45779</v>
      </c>
      <c r="M51" s="30" t="s">
        <v>85</v>
      </c>
      <c r="O51" t="s">
        <v>72</v>
      </c>
      <c r="P51" t="s">
        <v>48</v>
      </c>
      <c r="R51" s="23" t="s">
        <v>69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70</v>
      </c>
      <c r="K52" s="30" t="s">
        <v>93</v>
      </c>
      <c r="L52" s="37">
        <v>45782</v>
      </c>
      <c r="O52" t="s">
        <v>68</v>
      </c>
      <c r="P52" t="s">
        <v>48</v>
      </c>
      <c r="R52" s="23" t="s">
        <v>69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70</v>
      </c>
      <c r="K53" s="30" t="s">
        <v>107</v>
      </c>
      <c r="L53" s="37">
        <v>45789</v>
      </c>
      <c r="O53" t="s">
        <v>74</v>
      </c>
      <c r="P53" t="s">
        <v>48</v>
      </c>
      <c r="R53" s="23" t="s">
        <v>69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70</v>
      </c>
      <c r="K54" s="30" t="s">
        <v>46</v>
      </c>
      <c r="L54" s="37">
        <v>45789</v>
      </c>
      <c r="O54" t="s">
        <v>74</v>
      </c>
      <c r="R54" s="23" t="s">
        <v>69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70</v>
      </c>
      <c r="K55" s="31"/>
      <c r="L55" s="37">
        <v>45790</v>
      </c>
      <c r="M55" s="30" t="s">
        <v>95</v>
      </c>
      <c r="N55" t="s">
        <v>53</v>
      </c>
      <c r="O55" t="s">
        <v>72</v>
      </c>
      <c r="R55" s="23" t="s">
        <v>69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70</v>
      </c>
      <c r="K56" s="31" t="s">
        <v>8</v>
      </c>
      <c r="L56" s="37">
        <v>45791</v>
      </c>
      <c r="M56" s="30" t="s">
        <v>95</v>
      </c>
      <c r="N56" t="s">
        <v>53</v>
      </c>
      <c r="O56" t="s">
        <v>74</v>
      </c>
      <c r="P56" t="s">
        <v>48</v>
      </c>
      <c r="R56" s="23" t="s">
        <v>69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70</v>
      </c>
      <c r="K57" s="30" t="s">
        <v>8</v>
      </c>
      <c r="L57" s="37">
        <v>45792</v>
      </c>
      <c r="O57" t="s">
        <v>68</v>
      </c>
      <c r="P57" t="s">
        <v>48</v>
      </c>
      <c r="R57" s="23" t="s">
        <v>69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108</v>
      </c>
      <c r="J58" s="8" t="s">
        <v>70</v>
      </c>
      <c r="K58" s="30" t="s">
        <v>91</v>
      </c>
      <c r="L58" s="37">
        <v>45793</v>
      </c>
      <c r="M58" s="30" t="s">
        <v>89</v>
      </c>
      <c r="N58" t="s">
        <v>79</v>
      </c>
      <c r="O58" t="s">
        <v>77</v>
      </c>
      <c r="P58" t="s">
        <v>25</v>
      </c>
      <c r="R58" s="23" t="s">
        <v>69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70</v>
      </c>
      <c r="K59" s="31" t="s">
        <v>101</v>
      </c>
      <c r="L59" s="37">
        <v>45793</v>
      </c>
      <c r="M59" s="30" t="s">
        <v>109</v>
      </c>
      <c r="N59" t="s">
        <v>110</v>
      </c>
      <c r="O59" t="s">
        <v>74</v>
      </c>
      <c r="P59" t="s">
        <v>48</v>
      </c>
      <c r="R59" s="23" t="s">
        <v>69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70</v>
      </c>
      <c r="K60" s="31" t="s">
        <v>101</v>
      </c>
      <c r="L60" s="37">
        <v>45793</v>
      </c>
      <c r="M60" s="30" t="s">
        <v>111</v>
      </c>
      <c r="N60" t="s">
        <v>102</v>
      </c>
      <c r="O60" t="s">
        <v>72</v>
      </c>
      <c r="P60" t="s">
        <v>48</v>
      </c>
      <c r="R60" s="23" t="s">
        <v>69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112</v>
      </c>
      <c r="J61" s="8" t="s">
        <v>70</v>
      </c>
      <c r="K61" s="30" t="s">
        <v>8</v>
      </c>
      <c r="L61" s="37">
        <v>45796</v>
      </c>
      <c r="M61" s="30" t="s">
        <v>113</v>
      </c>
      <c r="O61" t="s">
        <v>77</v>
      </c>
      <c r="R61" s="23" t="s">
        <v>69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114</v>
      </c>
      <c r="J62" s="8" t="s">
        <v>70</v>
      </c>
      <c r="K62" s="30" t="s">
        <v>8</v>
      </c>
      <c r="L62" s="37">
        <v>45803</v>
      </c>
      <c r="O62" t="s">
        <v>74</v>
      </c>
      <c r="P62" t="s">
        <v>48</v>
      </c>
      <c r="R62" s="23" t="s">
        <v>69</v>
      </c>
    </row>
    <row r="63" spans="1:18">
      <c r="B63" s="49">
        <v>37950</v>
      </c>
      <c r="C63" s="32" t="s">
        <v>115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70</v>
      </c>
      <c r="K63" s="30" t="s">
        <v>116</v>
      </c>
      <c r="L63" s="37">
        <v>45803</v>
      </c>
      <c r="O63" t="s">
        <v>74</v>
      </c>
      <c r="P63" t="s">
        <v>48</v>
      </c>
      <c r="R63" s="2" t="s">
        <v>69</v>
      </c>
    </row>
    <row r="64" spans="1:18">
      <c r="B64" s="48">
        <v>40938</v>
      </c>
      <c r="C64" s="32" t="s">
        <v>117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70</v>
      </c>
      <c r="K64" s="30" t="s">
        <v>116</v>
      </c>
      <c r="L64" s="37">
        <v>45803</v>
      </c>
      <c r="M64" s="30" t="s">
        <v>113</v>
      </c>
      <c r="O64" t="s">
        <v>74</v>
      </c>
      <c r="R64" s="2" t="s">
        <v>69</v>
      </c>
    </row>
    <row r="65" spans="1:18">
      <c r="B65" s="48">
        <v>36426</v>
      </c>
      <c r="C65" s="32" t="s">
        <v>118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70</v>
      </c>
      <c r="K65" s="30" t="s">
        <v>116</v>
      </c>
      <c r="L65" s="37">
        <v>45803</v>
      </c>
      <c r="M65" s="30" t="s">
        <v>105</v>
      </c>
      <c r="N65" t="s">
        <v>119</v>
      </c>
      <c r="O65" t="s">
        <v>72</v>
      </c>
      <c r="P65" t="s">
        <v>25</v>
      </c>
      <c r="R65" s="2" t="s">
        <v>69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70</v>
      </c>
      <c r="K66" s="30" t="s">
        <v>116</v>
      </c>
      <c r="L66" s="37">
        <v>45803</v>
      </c>
      <c r="M66" s="30" t="s">
        <v>105</v>
      </c>
      <c r="O66" t="s">
        <v>74</v>
      </c>
      <c r="P66" t="s">
        <v>48</v>
      </c>
      <c r="R66" s="2" t="s">
        <v>69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70</v>
      </c>
      <c r="K67" s="30" t="s">
        <v>116</v>
      </c>
      <c r="L67" s="37">
        <v>45803</v>
      </c>
      <c r="O67" t="s">
        <v>74</v>
      </c>
      <c r="R67" s="2" t="s">
        <v>69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70</v>
      </c>
      <c r="K68" s="30"/>
      <c r="L68" s="37">
        <v>45812</v>
      </c>
      <c r="M68" s="30" t="s">
        <v>71</v>
      </c>
      <c r="N68" t="s">
        <v>73</v>
      </c>
      <c r="O68" t="s">
        <v>77</v>
      </c>
      <c r="P68" t="s">
        <v>25</v>
      </c>
      <c r="R68" s="23" t="s">
        <v>69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70</v>
      </c>
      <c r="K69" s="30" t="s">
        <v>51</v>
      </c>
      <c r="L69" s="37">
        <v>45812</v>
      </c>
      <c r="M69" s="30" t="s">
        <v>71</v>
      </c>
      <c r="N69" t="s">
        <v>39</v>
      </c>
      <c r="O69" t="s">
        <v>74</v>
      </c>
      <c r="P69" t="s">
        <v>48</v>
      </c>
      <c r="R69" s="23" t="s">
        <v>69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71</v>
      </c>
      <c r="O70" t="s">
        <v>72</v>
      </c>
      <c r="P70" t="s">
        <v>48</v>
      </c>
      <c r="R70" s="23" t="s">
        <v>69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70</v>
      </c>
      <c r="K71" s="30" t="s">
        <v>93</v>
      </c>
      <c r="L71" s="37">
        <v>45821</v>
      </c>
      <c r="M71" s="30" t="s">
        <v>89</v>
      </c>
      <c r="O71" t="s">
        <v>74</v>
      </c>
      <c r="P71" t="s">
        <v>48</v>
      </c>
      <c r="R71" s="2" t="s">
        <v>69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70</v>
      </c>
      <c r="K72" s="30" t="s">
        <v>122</v>
      </c>
      <c r="L72" s="37">
        <v>45821</v>
      </c>
      <c r="O72" t="s">
        <v>68</v>
      </c>
      <c r="P72" t="s">
        <v>48</v>
      </c>
      <c r="R72" s="2" t="s">
        <v>69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70</v>
      </c>
      <c r="K73" s="30" t="s">
        <v>123</v>
      </c>
      <c r="L73" s="37">
        <v>45821</v>
      </c>
      <c r="O73" t="s">
        <v>72</v>
      </c>
      <c r="P73" t="s">
        <v>48</v>
      </c>
      <c r="R73" s="2" t="s">
        <v>69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70</v>
      </c>
      <c r="K74" s="30" t="s">
        <v>51</v>
      </c>
      <c r="L74" s="37">
        <v>45821</v>
      </c>
      <c r="M74" s="30" t="s">
        <v>71</v>
      </c>
      <c r="O74" t="s">
        <v>74</v>
      </c>
      <c r="R74" s="2" t="s">
        <v>69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69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70</v>
      </c>
      <c r="K76" s="29" t="s">
        <v>51</v>
      </c>
      <c r="L76" s="38">
        <v>45824</v>
      </c>
      <c r="M76" s="29" t="s">
        <v>85</v>
      </c>
      <c r="N76" s="23" t="s">
        <v>39</v>
      </c>
      <c r="O76" s="23" t="s">
        <v>74</v>
      </c>
      <c r="P76" s="23" t="s">
        <v>48</v>
      </c>
      <c r="Q76" s="23"/>
      <c r="R76" s="23" t="s">
        <v>69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70</v>
      </c>
      <c r="K77" s="30" t="s">
        <v>124</v>
      </c>
      <c r="L77" s="37">
        <v>45824</v>
      </c>
      <c r="O77" t="s">
        <v>68</v>
      </c>
      <c r="P77" t="s">
        <v>48</v>
      </c>
      <c r="R77" s="2" t="s">
        <v>69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70</v>
      </c>
      <c r="K78" s="30" t="s">
        <v>87</v>
      </c>
      <c r="L78" s="37">
        <v>45825</v>
      </c>
      <c r="M78" s="30" t="s">
        <v>125</v>
      </c>
      <c r="O78" t="s">
        <v>68</v>
      </c>
      <c r="P78" t="s">
        <v>48</v>
      </c>
      <c r="R78" s="2" t="s">
        <v>69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70</v>
      </c>
      <c r="K79" s="30" t="s">
        <v>51</v>
      </c>
      <c r="L79" s="37">
        <v>45826</v>
      </c>
      <c r="M79" s="30" t="s">
        <v>95</v>
      </c>
      <c r="N79" t="s">
        <v>125</v>
      </c>
      <c r="O79" t="s">
        <v>74</v>
      </c>
      <c r="P79" t="s">
        <v>48</v>
      </c>
      <c r="R79" s="2" t="s">
        <v>69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70</v>
      </c>
      <c r="K80" s="30" t="s">
        <v>51</v>
      </c>
      <c r="L80" s="37">
        <v>45826</v>
      </c>
      <c r="O80" t="s">
        <v>68</v>
      </c>
      <c r="R80" s="2" t="s">
        <v>69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74</v>
      </c>
      <c r="R81" s="2" t="s">
        <v>69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68</v>
      </c>
      <c r="P82" t="s">
        <v>48</v>
      </c>
      <c r="R82" s="2" t="s">
        <v>69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87</v>
      </c>
      <c r="L83" s="37">
        <v>45826</v>
      </c>
      <c r="O83" t="s">
        <v>72</v>
      </c>
      <c r="R83" s="2" t="s">
        <v>69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39</v>
      </c>
      <c r="O84" t="s">
        <v>72</v>
      </c>
      <c r="R84" s="2" t="s">
        <v>69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70</v>
      </c>
      <c r="K85" s="30" t="s">
        <v>51</v>
      </c>
      <c r="L85" s="37">
        <v>45833</v>
      </c>
      <c r="O85" t="s">
        <v>74</v>
      </c>
      <c r="R85" s="2" t="s">
        <v>69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70</v>
      </c>
      <c r="K86" s="30" t="s">
        <v>51</v>
      </c>
      <c r="L86" s="37">
        <v>45833</v>
      </c>
      <c r="M86" s="30" t="s">
        <v>71</v>
      </c>
      <c r="O86" t="s">
        <v>72</v>
      </c>
      <c r="R86" s="2" t="s">
        <v>69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70</v>
      </c>
      <c r="K87" s="30" t="s">
        <v>116</v>
      </c>
      <c r="L87" s="37">
        <v>45838</v>
      </c>
      <c r="M87" s="30" t="s">
        <v>105</v>
      </c>
      <c r="N87" t="s">
        <v>128</v>
      </c>
      <c r="O87" t="s">
        <v>77</v>
      </c>
      <c r="P87" t="s">
        <v>25</v>
      </c>
      <c r="R87" s="2" t="s">
        <v>69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70</v>
      </c>
      <c r="K88" s="30" t="s">
        <v>116</v>
      </c>
      <c r="L88" s="37">
        <v>45838</v>
      </c>
      <c r="M88" s="30" t="s">
        <v>109</v>
      </c>
      <c r="N88" t="s">
        <v>129</v>
      </c>
      <c r="O88" t="s">
        <v>74</v>
      </c>
      <c r="P88" t="s">
        <v>48</v>
      </c>
      <c r="R88" s="2" t="s">
        <v>69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66</v>
      </c>
      <c r="K89" s="30" t="s">
        <v>130</v>
      </c>
      <c r="L89" s="37">
        <v>45838</v>
      </c>
      <c r="N89" s="10">
        <v>45838</v>
      </c>
      <c r="O89" t="s">
        <v>72</v>
      </c>
      <c r="R89" s="2" t="s">
        <v>69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66</v>
      </c>
      <c r="K90" s="30" t="s">
        <v>130</v>
      </c>
      <c r="L90" s="37">
        <v>45838</v>
      </c>
      <c r="N90" s="10"/>
      <c r="O90" t="s">
        <v>74</v>
      </c>
      <c r="R90" s="2" t="s">
        <v>69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71</v>
      </c>
      <c r="N91" s="10"/>
      <c r="O91" t="s">
        <v>74</v>
      </c>
      <c r="R91" s="2" t="s">
        <v>69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70</v>
      </c>
      <c r="K92" s="30" t="s">
        <v>46</v>
      </c>
      <c r="L92" s="37">
        <v>45838</v>
      </c>
      <c r="N92" s="10"/>
      <c r="O92" t="s">
        <v>74</v>
      </c>
      <c r="R92" s="2" t="s">
        <v>69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131</v>
      </c>
      <c r="K93" s="30" t="s">
        <v>91</v>
      </c>
      <c r="L93" s="37">
        <v>45841</v>
      </c>
      <c r="M93" s="30" t="s">
        <v>71</v>
      </c>
      <c r="N93" t="s">
        <v>39</v>
      </c>
      <c r="O93" t="s">
        <v>72</v>
      </c>
      <c r="R93" s="2" t="s">
        <v>69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66</v>
      </c>
      <c r="K94" s="30" t="s">
        <v>67</v>
      </c>
      <c r="L94" s="37">
        <v>45841</v>
      </c>
      <c r="N94" s="10"/>
      <c r="O94" t="s">
        <v>74</v>
      </c>
      <c r="R94" s="2" t="s">
        <v>69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66</v>
      </c>
      <c r="K95" s="30" t="s">
        <v>67</v>
      </c>
      <c r="L95" s="37">
        <v>45841</v>
      </c>
      <c r="N95" s="10"/>
      <c r="O95" t="s">
        <v>74</v>
      </c>
      <c r="R95" s="2" t="s">
        <v>69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132</v>
      </c>
      <c r="J96" s="8" t="s">
        <v>70</v>
      </c>
      <c r="K96" s="30" t="s">
        <v>46</v>
      </c>
      <c r="L96" s="37">
        <v>45841</v>
      </c>
      <c r="N96" s="10"/>
      <c r="O96" t="s">
        <v>72</v>
      </c>
      <c r="R96" s="2" t="s">
        <v>69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133</v>
      </c>
      <c r="J97" s="8" t="s">
        <v>70</v>
      </c>
      <c r="K97" s="30" t="s">
        <v>134</v>
      </c>
      <c r="L97" s="37">
        <v>45842</v>
      </c>
      <c r="N97" s="10"/>
      <c r="O97" t="s">
        <v>74</v>
      </c>
      <c r="R97" s="2" t="s">
        <v>69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70</v>
      </c>
      <c r="K98" s="30" t="s">
        <v>51</v>
      </c>
      <c r="L98" s="37">
        <v>45852</v>
      </c>
      <c r="M98" s="30" t="s">
        <v>89</v>
      </c>
      <c r="N98" s="10" t="s">
        <v>79</v>
      </c>
      <c r="O98" t="s">
        <v>72</v>
      </c>
      <c r="R98" s="2" t="s">
        <v>69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70</v>
      </c>
      <c r="K99" s="30" t="s">
        <v>51</v>
      </c>
      <c r="L99" s="37">
        <v>45852</v>
      </c>
      <c r="M99" s="30" t="s">
        <v>89</v>
      </c>
      <c r="N99" s="10" t="s">
        <v>79</v>
      </c>
      <c r="O99" t="s">
        <v>72</v>
      </c>
      <c r="R99" s="2" t="s">
        <v>69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66</v>
      </c>
      <c r="K100" s="30" t="s">
        <v>67</v>
      </c>
      <c r="L100" s="37">
        <v>45854</v>
      </c>
      <c r="N100" s="10"/>
      <c r="O100" t="s">
        <v>68</v>
      </c>
      <c r="R100" s="2" t="s">
        <v>69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66</v>
      </c>
      <c r="K101" s="30" t="s">
        <v>67</v>
      </c>
      <c r="L101" s="37">
        <v>45854</v>
      </c>
      <c r="N101" s="10"/>
      <c r="O101" t="s">
        <v>68</v>
      </c>
      <c r="R101" s="2" t="s">
        <v>69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66</v>
      </c>
      <c r="K102" s="30" t="s">
        <v>130</v>
      </c>
      <c r="L102" s="37">
        <v>45855</v>
      </c>
      <c r="N102" s="10"/>
      <c r="O102" t="s">
        <v>68</v>
      </c>
      <c r="R102" s="2" t="s">
        <v>69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66</v>
      </c>
      <c r="K103" s="30" t="str">
        <f>K102</f>
        <v>25875 Debby Verstockt</v>
      </c>
      <c r="L103" s="37">
        <v>45855</v>
      </c>
      <c r="N103" s="10"/>
      <c r="O103" t="s">
        <v>68</v>
      </c>
      <c r="R103" s="2" t="s">
        <v>69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66</v>
      </c>
      <c r="K104" s="30" t="str">
        <f>K103</f>
        <v>25875 Debby Verstockt</v>
      </c>
      <c r="L104" s="37">
        <v>45855</v>
      </c>
      <c r="N104" s="10"/>
      <c r="O104" t="s">
        <v>68</v>
      </c>
      <c r="R104" s="2" t="s">
        <v>69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70</v>
      </c>
      <c r="K105" s="30" t="s">
        <v>46</v>
      </c>
      <c r="L105" s="37">
        <v>45855</v>
      </c>
      <c r="N105" s="10"/>
      <c r="O105" t="s">
        <v>74</v>
      </c>
      <c r="R105" s="2" t="s">
        <v>69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70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69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66</v>
      </c>
      <c r="K107" s="30" t="s">
        <v>130</v>
      </c>
      <c r="L107" s="37">
        <v>45856</v>
      </c>
      <c r="O107" t="s">
        <v>68</v>
      </c>
      <c r="R107" s="2" t="s">
        <v>69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66</v>
      </c>
      <c r="K108" s="30" t="s">
        <v>130</v>
      </c>
      <c r="L108" s="37">
        <v>45857</v>
      </c>
      <c r="O108" t="s">
        <v>68</v>
      </c>
      <c r="R108" s="2" t="s">
        <v>69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70</v>
      </c>
      <c r="K109" s="30" t="s">
        <v>87</v>
      </c>
      <c r="L109" s="37">
        <v>45866</v>
      </c>
      <c r="M109" s="30" t="s">
        <v>71</v>
      </c>
      <c r="N109" t="s">
        <v>39</v>
      </c>
      <c r="O109" t="s">
        <v>74</v>
      </c>
      <c r="R109" s="2" t="s">
        <v>69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70</v>
      </c>
      <c r="K110" s="30" t="s">
        <v>87</v>
      </c>
      <c r="L110" s="37">
        <v>45866</v>
      </c>
      <c r="M110" s="30" t="s">
        <v>71</v>
      </c>
      <c r="N110" t="s">
        <v>135</v>
      </c>
      <c r="O110" t="s">
        <v>72</v>
      </c>
      <c r="R110" s="2" t="s">
        <v>69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70</v>
      </c>
      <c r="K111" s="30" t="s">
        <v>87</v>
      </c>
      <c r="L111" s="37">
        <v>45866</v>
      </c>
      <c r="O111" t="s">
        <v>68</v>
      </c>
      <c r="R111" s="2" t="s">
        <v>69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70</v>
      </c>
      <c r="K112" s="30" t="s">
        <v>87</v>
      </c>
      <c r="L112" s="37">
        <v>45866</v>
      </c>
      <c r="O112" t="s">
        <v>68</v>
      </c>
      <c r="R112" s="2" t="s">
        <v>69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87</v>
      </c>
      <c r="L113" s="37">
        <v>45866</v>
      </c>
      <c r="M113" s="30" t="s">
        <v>89</v>
      </c>
      <c r="O113" t="s">
        <v>68</v>
      </c>
      <c r="R113" s="2" t="s">
        <v>69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70</v>
      </c>
      <c r="K114" s="30" t="s">
        <v>136</v>
      </c>
      <c r="L114" s="37">
        <v>45867</v>
      </c>
      <c r="N114" s="10"/>
      <c r="O114" t="s">
        <v>72</v>
      </c>
      <c r="R114" s="2" t="s">
        <v>69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137</v>
      </c>
      <c r="J115" s="8" t="s">
        <v>66</v>
      </c>
      <c r="K115" s="30" t="s">
        <v>67</v>
      </c>
      <c r="L115" s="37">
        <v>45867</v>
      </c>
      <c r="N115" s="10"/>
      <c r="O115" t="s">
        <v>72</v>
      </c>
      <c r="R115" s="2" t="s">
        <v>69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66</v>
      </c>
      <c r="K116" s="30" t="s">
        <v>80</v>
      </c>
      <c r="L116" s="37">
        <v>45873</v>
      </c>
      <c r="O116" t="s">
        <v>68</v>
      </c>
      <c r="P116" t="s">
        <v>48</v>
      </c>
      <c r="R116" s="2" t="s">
        <v>69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66</v>
      </c>
      <c r="K117" s="30" t="s">
        <v>80</v>
      </c>
      <c r="L117" s="37">
        <v>45873</v>
      </c>
      <c r="O117" t="s">
        <v>72</v>
      </c>
      <c r="P117" t="s">
        <v>48</v>
      </c>
      <c r="R117" s="2" t="s">
        <v>69</v>
      </c>
      <c r="S117" t="s">
        <v>48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66</v>
      </c>
      <c r="K118" s="30" t="s">
        <v>130</v>
      </c>
      <c r="L118" s="37">
        <v>45875</v>
      </c>
      <c r="O118" t="s">
        <v>68</v>
      </c>
      <c r="R118" s="2" t="s">
        <v>69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66</v>
      </c>
      <c r="K119" s="30" t="s">
        <v>130</v>
      </c>
      <c r="L119" s="37">
        <v>45875</v>
      </c>
      <c r="O119" t="s">
        <v>68</v>
      </c>
      <c r="R119" s="2" t="s">
        <v>69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66</v>
      </c>
      <c r="K120" s="30" t="s">
        <v>130</v>
      </c>
      <c r="L120" s="37">
        <v>45875</v>
      </c>
      <c r="M120" s="30" t="s">
        <v>89</v>
      </c>
      <c r="N120" t="s">
        <v>39</v>
      </c>
      <c r="O120" t="s">
        <v>77</v>
      </c>
      <c r="R120" s="2" t="s">
        <v>69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66</v>
      </c>
      <c r="K121" s="30" t="s">
        <v>130</v>
      </c>
      <c r="L121" s="37">
        <v>45875</v>
      </c>
      <c r="O121" t="s">
        <v>68</v>
      </c>
      <c r="R121" s="2" t="s">
        <v>69</v>
      </c>
      <c r="S121" t="s">
        <v>138</v>
      </c>
      <c r="T121" t="s">
        <v>139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66</v>
      </c>
      <c r="K122" s="30" t="s">
        <v>130</v>
      </c>
      <c r="L122" s="37">
        <v>45876</v>
      </c>
      <c r="O122" t="s">
        <v>68</v>
      </c>
      <c r="R122" s="2" t="s">
        <v>69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66</v>
      </c>
      <c r="K123" s="30" t="s">
        <v>130</v>
      </c>
      <c r="L123" s="37">
        <v>45876</v>
      </c>
      <c r="O123" t="s">
        <v>68</v>
      </c>
      <c r="R123" s="2" t="s">
        <v>69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66</v>
      </c>
      <c r="K124" s="30" t="s">
        <v>130</v>
      </c>
      <c r="L124" s="37">
        <v>45876</v>
      </c>
      <c r="O124" t="s">
        <v>68</v>
      </c>
      <c r="R124" s="2" t="s">
        <v>69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70</v>
      </c>
      <c r="K125" s="30" t="s">
        <v>87</v>
      </c>
      <c r="L125" s="37">
        <v>45876</v>
      </c>
      <c r="N125" t="s">
        <v>39</v>
      </c>
      <c r="O125" t="s">
        <v>68</v>
      </c>
      <c r="R125" s="2" t="s">
        <v>69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87</v>
      </c>
      <c r="L126" s="37">
        <v>45876</v>
      </c>
      <c r="M126" s="30" t="s">
        <v>85</v>
      </c>
      <c r="N126" t="s">
        <v>140</v>
      </c>
      <c r="O126" t="s">
        <v>77</v>
      </c>
      <c r="R126" s="2" t="s">
        <v>69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70</v>
      </c>
      <c r="K127" s="30" t="s">
        <v>141</v>
      </c>
      <c r="L127" s="37">
        <v>45877</v>
      </c>
      <c r="M127" s="30" t="s">
        <v>142</v>
      </c>
      <c r="N127" t="s">
        <v>143</v>
      </c>
      <c r="O127" t="s">
        <v>72</v>
      </c>
      <c r="R127" s="2" t="s">
        <v>69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144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70</v>
      </c>
      <c r="K128" s="30" t="s">
        <v>141</v>
      </c>
      <c r="L128" s="37">
        <v>45881</v>
      </c>
      <c r="M128" s="30" t="s">
        <v>105</v>
      </c>
      <c r="O128" t="s">
        <v>74</v>
      </c>
      <c r="R128" s="2" t="s">
        <v>69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144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70</v>
      </c>
      <c r="K129" s="30" t="s">
        <v>141</v>
      </c>
      <c r="L129" s="37">
        <v>45881</v>
      </c>
      <c r="M129" s="30" t="s">
        <v>105</v>
      </c>
      <c r="O129" t="s">
        <v>74</v>
      </c>
      <c r="R129" s="2" t="s">
        <v>69</v>
      </c>
      <c r="S129" t="s">
        <v>48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144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70</v>
      </c>
      <c r="K130" s="30" t="s">
        <v>136</v>
      </c>
      <c r="L130" s="37">
        <v>45882</v>
      </c>
      <c r="O130" t="s">
        <v>68</v>
      </c>
      <c r="P130" t="s">
        <v>48</v>
      </c>
      <c r="R130" s="2" t="s">
        <v>69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70</v>
      </c>
      <c r="K131" s="30" t="s">
        <v>136</v>
      </c>
      <c r="L131" s="37">
        <v>45882</v>
      </c>
      <c r="O131" t="s">
        <v>72</v>
      </c>
      <c r="P131" t="s">
        <v>48</v>
      </c>
      <c r="R131" s="2" t="s">
        <v>69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145</v>
      </c>
      <c r="J132" s="8" t="s">
        <v>70</v>
      </c>
      <c r="K132" s="30" t="s">
        <v>136</v>
      </c>
      <c r="L132" s="37">
        <v>45882</v>
      </c>
      <c r="M132" s="30" t="s">
        <v>71</v>
      </c>
      <c r="O132" t="s">
        <v>72</v>
      </c>
      <c r="P132" t="s">
        <v>48</v>
      </c>
      <c r="R132" s="2" t="s">
        <v>69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70</v>
      </c>
      <c r="K133" s="30" t="s">
        <v>51</v>
      </c>
      <c r="L133" s="37">
        <v>45888</v>
      </c>
      <c r="O133" t="s">
        <v>74</v>
      </c>
      <c r="P133" t="s">
        <v>48</v>
      </c>
      <c r="R133" s="2" t="s">
        <v>69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70</v>
      </c>
      <c r="K134" s="30" t="s">
        <v>51</v>
      </c>
      <c r="L134" s="37">
        <v>45891</v>
      </c>
      <c r="M134" s="30" t="s">
        <v>95</v>
      </c>
      <c r="O134" t="s">
        <v>72</v>
      </c>
      <c r="R134" s="2" t="s">
        <v>69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146</v>
      </c>
      <c r="J135" s="8" t="s">
        <v>70</v>
      </c>
      <c r="K135" s="30" t="s">
        <v>51</v>
      </c>
      <c r="L135" s="37">
        <v>45891</v>
      </c>
      <c r="M135" s="30" t="s">
        <v>95</v>
      </c>
      <c r="N135" t="s">
        <v>135</v>
      </c>
      <c r="O135" t="s">
        <v>72</v>
      </c>
      <c r="R135" s="2" t="s">
        <v>69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71</v>
      </c>
      <c r="N136" t="s">
        <v>147</v>
      </c>
      <c r="O136" t="s">
        <v>74</v>
      </c>
      <c r="R136" s="2" t="s">
        <v>69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70</v>
      </c>
      <c r="K137" s="30" t="s">
        <v>134</v>
      </c>
      <c r="L137" s="37">
        <v>45895</v>
      </c>
      <c r="O137" t="s">
        <v>68</v>
      </c>
      <c r="P137" t="s">
        <v>48</v>
      </c>
      <c r="R137" s="2" t="s">
        <v>69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70</v>
      </c>
      <c r="K138" s="30" t="s">
        <v>134</v>
      </c>
      <c r="L138" s="37">
        <v>45895</v>
      </c>
      <c r="O138" t="s">
        <v>68</v>
      </c>
      <c r="P138" t="s">
        <v>48</v>
      </c>
      <c r="R138" s="2" t="s">
        <v>69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70</v>
      </c>
      <c r="K139" s="30" t="s">
        <v>134</v>
      </c>
      <c r="L139" s="37">
        <v>45895</v>
      </c>
      <c r="O139" t="s">
        <v>68</v>
      </c>
      <c r="P139" t="s">
        <v>48</v>
      </c>
      <c r="R139" s="2" t="s">
        <v>69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70</v>
      </c>
      <c r="K140" s="30" t="s">
        <v>51</v>
      </c>
      <c r="L140" s="37">
        <v>45901</v>
      </c>
      <c r="M140" s="30" t="s">
        <v>89</v>
      </c>
      <c r="N140" t="s">
        <v>125</v>
      </c>
      <c r="O140" t="s">
        <v>74</v>
      </c>
      <c r="R140" s="2" t="s">
        <v>69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70</v>
      </c>
      <c r="K141" s="30" t="s">
        <v>46</v>
      </c>
      <c r="L141" s="37">
        <v>45909</v>
      </c>
      <c r="M141" s="46" t="s">
        <v>148</v>
      </c>
      <c r="N141" t="s">
        <v>95</v>
      </c>
      <c r="O141" t="s">
        <v>77</v>
      </c>
      <c r="P141" t="s">
        <v>25</v>
      </c>
      <c r="Q141" t="s">
        <v>48</v>
      </c>
      <c r="R141" s="2" t="s">
        <v>69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70</v>
      </c>
      <c r="K142" s="30" t="s">
        <v>51</v>
      </c>
      <c r="L142" s="37">
        <v>45922</v>
      </c>
      <c r="O142" t="s">
        <v>68</v>
      </c>
      <c r="R142" s="2" t="s">
        <v>69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70</v>
      </c>
      <c r="K143" s="30" t="s">
        <v>51</v>
      </c>
      <c r="L143" s="37">
        <v>45922</v>
      </c>
      <c r="M143" s="30" t="s">
        <v>71</v>
      </c>
      <c r="N143" t="s">
        <v>39</v>
      </c>
      <c r="O143" t="s">
        <v>77</v>
      </c>
      <c r="R143" s="2" t="s">
        <v>69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149</v>
      </c>
      <c r="J144" s="8" t="s">
        <v>70</v>
      </c>
      <c r="K144" s="30" t="s">
        <v>51</v>
      </c>
      <c r="L144" s="37">
        <v>45922</v>
      </c>
      <c r="M144" s="30" t="s">
        <v>71</v>
      </c>
      <c r="N144" t="s">
        <v>39</v>
      </c>
      <c r="O144" t="s">
        <v>72</v>
      </c>
      <c r="R144" s="2" t="s">
        <v>69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150</v>
      </c>
      <c r="J145" s="8" t="s">
        <v>70</v>
      </c>
      <c r="K145" s="30" t="s">
        <v>51</v>
      </c>
      <c r="L145" s="37">
        <v>45922</v>
      </c>
      <c r="M145" s="30" t="s">
        <v>71</v>
      </c>
      <c r="N145" t="s">
        <v>151</v>
      </c>
      <c r="O145" t="s">
        <v>72</v>
      </c>
      <c r="R145" s="2" t="s">
        <v>69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152</v>
      </c>
      <c r="J146" s="8" t="s">
        <v>66</v>
      </c>
      <c r="K146" s="30" t="s">
        <v>67</v>
      </c>
      <c r="L146" s="37">
        <v>45925</v>
      </c>
      <c r="M146" s="30" t="s">
        <v>89</v>
      </c>
      <c r="N146" t="s">
        <v>153</v>
      </c>
      <c r="O146" t="s">
        <v>77</v>
      </c>
      <c r="P146" t="s">
        <v>25</v>
      </c>
      <c r="R146" s="2" t="s">
        <v>69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66</v>
      </c>
      <c r="K147" s="30" t="s">
        <v>67</v>
      </c>
      <c r="L147" s="37">
        <v>45925</v>
      </c>
      <c r="O147" t="s">
        <v>68</v>
      </c>
      <c r="R147" s="2" t="s">
        <v>69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66</v>
      </c>
      <c r="K148" s="30" t="s">
        <v>67</v>
      </c>
      <c r="L148" s="37">
        <v>45925</v>
      </c>
      <c r="O148" t="s">
        <v>68</v>
      </c>
      <c r="R148" s="2" t="s">
        <v>69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66</v>
      </c>
      <c r="K149" s="30" t="s">
        <v>67</v>
      </c>
      <c r="L149" s="37">
        <v>45925</v>
      </c>
      <c r="M149" s="30" t="s">
        <v>89</v>
      </c>
      <c r="N149" t="s">
        <v>39</v>
      </c>
      <c r="O149" t="s">
        <v>72</v>
      </c>
      <c r="R149" s="2" t="s">
        <v>69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66</v>
      </c>
      <c r="K150" s="30" t="s">
        <v>67</v>
      </c>
      <c r="L150" s="37">
        <v>45925</v>
      </c>
      <c r="M150" s="30" t="s">
        <v>89</v>
      </c>
      <c r="N150" t="s">
        <v>39</v>
      </c>
      <c r="O150" t="s">
        <v>72</v>
      </c>
      <c r="R150" s="2" t="s">
        <v>69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70</v>
      </c>
      <c r="K151" s="30" t="s">
        <v>46</v>
      </c>
      <c r="L151" s="37">
        <v>45925</v>
      </c>
      <c r="M151" s="30" t="s">
        <v>95</v>
      </c>
      <c r="O151" t="s">
        <v>74</v>
      </c>
      <c r="R151" s="2" t="s">
        <v>69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70</v>
      </c>
      <c r="K152" s="30" t="s">
        <v>46</v>
      </c>
      <c r="L152" s="37">
        <v>45925</v>
      </c>
      <c r="M152" s="30" t="s">
        <v>85</v>
      </c>
      <c r="O152" t="s">
        <v>72</v>
      </c>
      <c r="R152" s="2" t="s">
        <v>69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70</v>
      </c>
      <c r="K153" s="30" t="s">
        <v>46</v>
      </c>
      <c r="L153" s="37">
        <v>45925</v>
      </c>
      <c r="O153" t="s">
        <v>74</v>
      </c>
      <c r="R153" s="2" t="s">
        <v>69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70</v>
      </c>
      <c r="K154" s="30" t="s">
        <v>51</v>
      </c>
      <c r="L154" s="37">
        <v>45931</v>
      </c>
      <c r="M154" s="30" t="s">
        <v>71</v>
      </c>
      <c r="O154" t="s">
        <v>72</v>
      </c>
      <c r="R154" s="2" t="s">
        <v>69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70</v>
      </c>
      <c r="K155" s="30" t="s">
        <v>51</v>
      </c>
      <c r="L155" s="37">
        <v>45932</v>
      </c>
      <c r="O155" t="s">
        <v>68</v>
      </c>
      <c r="P155" t="s">
        <v>48</v>
      </c>
      <c r="R155" s="2" t="s">
        <v>69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48</v>
      </c>
      <c r="R156" s="2" t="s">
        <v>69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66</v>
      </c>
      <c r="K157" s="30" t="s">
        <v>67</v>
      </c>
      <c r="L157" s="37">
        <v>45936</v>
      </c>
      <c r="O157" t="s">
        <v>68</v>
      </c>
      <c r="R157" s="2" t="s">
        <v>69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66</v>
      </c>
      <c r="K158" s="30" t="s">
        <v>67</v>
      </c>
      <c r="L158" s="37">
        <v>45936</v>
      </c>
      <c r="O158" t="s">
        <v>74</v>
      </c>
      <c r="R158" s="2" t="s">
        <v>69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66</v>
      </c>
      <c r="K159" s="30" t="s">
        <v>67</v>
      </c>
      <c r="L159" s="37">
        <v>45936</v>
      </c>
      <c r="O159" t="s">
        <v>68</v>
      </c>
      <c r="R159" s="2" t="s">
        <v>69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70</v>
      </c>
      <c r="K160" s="30" t="s">
        <v>46</v>
      </c>
      <c r="L160" s="37">
        <v>45936</v>
      </c>
      <c r="O160" t="s">
        <v>74</v>
      </c>
      <c r="R160" s="2" t="s">
        <v>69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89</v>
      </c>
      <c r="N161" t="s">
        <v>39</v>
      </c>
      <c r="O161" t="s">
        <v>72</v>
      </c>
      <c r="R161" s="2" t="s">
        <v>69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69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70</v>
      </c>
      <c r="K163" s="30" t="s">
        <v>51</v>
      </c>
      <c r="L163" s="37">
        <v>45938</v>
      </c>
      <c r="M163" s="30" t="s">
        <v>95</v>
      </c>
      <c r="N163" t="s">
        <v>53</v>
      </c>
      <c r="O163" t="s">
        <v>72</v>
      </c>
      <c r="P163" t="s">
        <v>48</v>
      </c>
      <c r="R163" s="2" t="s">
        <v>69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154</v>
      </c>
      <c r="J164" s="8" t="s">
        <v>70</v>
      </c>
      <c r="K164" s="30" t="s">
        <v>51</v>
      </c>
      <c r="L164" s="37">
        <v>45938</v>
      </c>
      <c r="M164" s="30" t="s">
        <v>89</v>
      </c>
      <c r="O164" t="s">
        <v>74</v>
      </c>
      <c r="P164" t="s">
        <v>48</v>
      </c>
      <c r="R164" s="2" t="s">
        <v>69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70</v>
      </c>
      <c r="K165" s="30" t="s">
        <v>93</v>
      </c>
      <c r="L165" s="37">
        <v>45938</v>
      </c>
      <c r="O165" t="s">
        <v>68</v>
      </c>
      <c r="P165" t="s">
        <v>48</v>
      </c>
      <c r="R165" s="2" t="s">
        <v>69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70</v>
      </c>
      <c r="K166" s="30" t="s">
        <v>93</v>
      </c>
      <c r="L166" s="37">
        <v>45938</v>
      </c>
      <c r="O166" t="s">
        <v>68</v>
      </c>
      <c r="P166" t="s">
        <v>48</v>
      </c>
      <c r="R166" s="2" t="s">
        <v>69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70</v>
      </c>
      <c r="K167" s="30" t="s">
        <v>51</v>
      </c>
      <c r="L167" s="37">
        <v>45939</v>
      </c>
      <c r="M167" s="30" t="s">
        <v>105</v>
      </c>
      <c r="O167" t="s">
        <v>74</v>
      </c>
      <c r="R167" s="2" t="s">
        <v>69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105</v>
      </c>
      <c r="O168" t="s">
        <v>74</v>
      </c>
      <c r="R168" s="2" t="s">
        <v>69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70</v>
      </c>
      <c r="K169" s="30" t="str">
        <f>K168</f>
        <v>20608 Joeri Mestdag</v>
      </c>
      <c r="L169" s="37">
        <v>45939</v>
      </c>
      <c r="M169" s="30" t="s">
        <v>71</v>
      </c>
      <c r="N169" t="s">
        <v>155</v>
      </c>
      <c r="O169" t="s">
        <v>77</v>
      </c>
      <c r="R169" s="2" t="s">
        <v>69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39</v>
      </c>
      <c r="O170" t="s">
        <v>72</v>
      </c>
      <c r="R170" s="2" t="s">
        <v>69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70</v>
      </c>
      <c r="K171" s="30" t="s">
        <v>101</v>
      </c>
      <c r="L171" s="37">
        <v>45791</v>
      </c>
      <c r="O171" t="s">
        <v>68</v>
      </c>
      <c r="P171" t="s">
        <v>48</v>
      </c>
      <c r="R171" s="2" t="s">
        <v>69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70</v>
      </c>
      <c r="K172" s="29" t="s">
        <v>51</v>
      </c>
      <c r="L172" s="38">
        <v>45749</v>
      </c>
      <c r="M172" s="29" t="s">
        <v>156</v>
      </c>
      <c r="N172" s="23"/>
      <c r="O172" s="23" t="s">
        <v>74</v>
      </c>
      <c r="P172" s="23" t="s">
        <v>48</v>
      </c>
      <c r="Q172" s="23"/>
      <c r="R172" s="2" t="s">
        <v>69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70</v>
      </c>
      <c r="K173" s="29" t="s">
        <v>93</v>
      </c>
      <c r="L173" s="38">
        <v>45737</v>
      </c>
      <c r="M173" s="29"/>
      <c r="N173" s="23"/>
      <c r="O173" s="23" t="s">
        <v>68</v>
      </c>
      <c r="P173" s="23" t="s">
        <v>48</v>
      </c>
      <c r="Q173" s="23"/>
      <c r="R173" s="2" t="s">
        <v>69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70</v>
      </c>
      <c r="K174" s="29" t="s">
        <v>93</v>
      </c>
      <c r="L174" s="38">
        <v>45736</v>
      </c>
      <c r="M174" s="29"/>
      <c r="N174" s="23"/>
      <c r="O174" s="23" t="s">
        <v>68</v>
      </c>
      <c r="P174" s="23"/>
      <c r="Q174" s="23"/>
      <c r="R174" s="2" t="s">
        <v>69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157</v>
      </c>
      <c r="M175" s="29"/>
      <c r="N175" s="23"/>
      <c r="O175" s="23" t="s">
        <v>74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70</v>
      </c>
      <c r="K176" s="29" t="s">
        <v>93</v>
      </c>
      <c r="L176" s="38">
        <v>45825</v>
      </c>
      <c r="M176" s="30" t="s">
        <v>105</v>
      </c>
      <c r="N176" s="23" t="s">
        <v>71</v>
      </c>
      <c r="O176" s="23" t="s">
        <v>98</v>
      </c>
      <c r="P176" s="23" t="s">
        <v>25</v>
      </c>
      <c r="Q176" s="23" t="s">
        <v>48</v>
      </c>
      <c r="R176" s="23" t="s">
        <v>69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70</v>
      </c>
      <c r="K177" s="29" t="s">
        <v>93</v>
      </c>
      <c r="L177" s="38">
        <v>45755</v>
      </c>
      <c r="M177" s="29"/>
      <c r="N177" s="23"/>
      <c r="O177" s="23" t="s">
        <v>68</v>
      </c>
      <c r="P177" s="23"/>
      <c r="Q177" s="23"/>
      <c r="R177" s="23" t="s">
        <v>69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70</v>
      </c>
      <c r="K178" s="29" t="s">
        <v>93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69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70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69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70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69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70</v>
      </c>
      <c r="K181" s="30" t="s">
        <v>8</v>
      </c>
      <c r="L181" s="37">
        <v>45838</v>
      </c>
      <c r="O181" t="s">
        <v>74</v>
      </c>
      <c r="P181" t="s">
        <v>48</v>
      </c>
      <c r="R181" s="23" t="s">
        <v>69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70</v>
      </c>
      <c r="K182" s="30" t="s">
        <v>101</v>
      </c>
      <c r="L182" s="37" t="s">
        <v>157</v>
      </c>
      <c r="O182" t="s">
        <v>68</v>
      </c>
      <c r="P182" t="s">
        <v>48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70</v>
      </c>
      <c r="K183" s="30" t="s">
        <v>46</v>
      </c>
      <c r="L183" s="37">
        <v>45789</v>
      </c>
      <c r="O183" t="s">
        <v>68</v>
      </c>
      <c r="P183" t="s">
        <v>48</v>
      </c>
      <c r="R183" s="23" t="s">
        <v>69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70</v>
      </c>
      <c r="K184" s="30" t="s">
        <v>101</v>
      </c>
      <c r="L184" s="37">
        <v>45901</v>
      </c>
      <c r="O184" t="s">
        <v>68</v>
      </c>
      <c r="P184" t="s">
        <v>48</v>
      </c>
      <c r="R184" s="23" t="s">
        <v>69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70</v>
      </c>
      <c r="K185" s="30" t="s">
        <v>101</v>
      </c>
      <c r="L185" s="37">
        <v>45789</v>
      </c>
      <c r="O185" t="s">
        <v>68</v>
      </c>
      <c r="P185" t="s">
        <v>48</v>
      </c>
      <c r="R185" s="23" t="s">
        <v>69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70</v>
      </c>
      <c r="K186" s="30" t="s">
        <v>67</v>
      </c>
      <c r="L186" s="37">
        <v>45786</v>
      </c>
      <c r="O186" t="s">
        <v>68</v>
      </c>
      <c r="P186" t="s">
        <v>48</v>
      </c>
      <c r="R186" s="23" t="s">
        <v>69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66</v>
      </c>
      <c r="K187" s="30" t="s">
        <v>67</v>
      </c>
      <c r="L187" s="37">
        <v>45786</v>
      </c>
      <c r="O187" t="s">
        <v>68</v>
      </c>
      <c r="P187" t="s">
        <v>48</v>
      </c>
      <c r="R187" s="23" t="s">
        <v>69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66</v>
      </c>
      <c r="K188" s="30" t="s">
        <v>67</v>
      </c>
      <c r="L188" s="37">
        <v>45786</v>
      </c>
      <c r="O188" t="s">
        <v>68</v>
      </c>
      <c r="P188" t="s">
        <v>48</v>
      </c>
      <c r="R188" s="23" t="s">
        <v>69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70</v>
      </c>
      <c r="K189" s="30" t="s">
        <v>93</v>
      </c>
      <c r="L189" s="37">
        <v>45804</v>
      </c>
      <c r="O189" t="s">
        <v>74</v>
      </c>
      <c r="P189" t="s">
        <v>48</v>
      </c>
      <c r="R189" s="23" t="s">
        <v>69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70</v>
      </c>
      <c r="K190" s="30" t="s">
        <v>87</v>
      </c>
      <c r="L190" s="37">
        <v>45946</v>
      </c>
      <c r="O190" t="s">
        <v>68</v>
      </c>
      <c r="R190" s="23" t="s">
        <v>69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70</v>
      </c>
      <c r="K191" s="30" t="s">
        <v>87</v>
      </c>
      <c r="L191" s="37">
        <v>45798</v>
      </c>
      <c r="M191" s="30" t="s">
        <v>71</v>
      </c>
      <c r="N191" t="s">
        <v>39</v>
      </c>
      <c r="O191" t="s">
        <v>74</v>
      </c>
      <c r="R191" s="23" t="s">
        <v>69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70</v>
      </c>
      <c r="K192" s="30" t="s">
        <v>87</v>
      </c>
      <c r="L192" s="37" t="s">
        <v>158</v>
      </c>
      <c r="M192" s="30" t="s">
        <v>71</v>
      </c>
      <c r="N192" t="s">
        <v>159</v>
      </c>
      <c r="O192" t="s">
        <v>72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70</v>
      </c>
      <c r="K193" s="30" t="s">
        <v>87</v>
      </c>
      <c r="L193" s="37">
        <v>45946</v>
      </c>
      <c r="N193" t="s">
        <v>39</v>
      </c>
      <c r="O193" t="s">
        <v>74</v>
      </c>
      <c r="R193" s="23" t="s">
        <v>69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70</v>
      </c>
      <c r="K194" s="30" t="s">
        <v>134</v>
      </c>
      <c r="L194" s="37">
        <v>45945</v>
      </c>
      <c r="O194" t="s">
        <v>74</v>
      </c>
      <c r="R194" s="23" t="s">
        <v>69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70</v>
      </c>
      <c r="K195" s="30" t="s">
        <v>134</v>
      </c>
      <c r="L195" s="37">
        <v>45945</v>
      </c>
      <c r="O195" t="s">
        <v>74</v>
      </c>
      <c r="R195" s="23" t="s">
        <v>69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70</v>
      </c>
      <c r="K196" s="30" t="s">
        <v>134</v>
      </c>
      <c r="L196" s="37">
        <v>45945</v>
      </c>
      <c r="M196" s="30" t="s">
        <v>95</v>
      </c>
      <c r="O196" t="s">
        <v>72</v>
      </c>
      <c r="R196" s="23" t="s">
        <v>69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70</v>
      </c>
      <c r="K197" s="30" t="s">
        <v>46</v>
      </c>
      <c r="L197" s="37">
        <v>45950</v>
      </c>
      <c r="M197" s="30" t="s">
        <v>71</v>
      </c>
      <c r="O197" t="s">
        <v>74</v>
      </c>
      <c r="R197" s="23" t="s">
        <v>69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134</v>
      </c>
      <c r="L198" s="37">
        <v>45951</v>
      </c>
      <c r="M198" t="s">
        <v>103</v>
      </c>
      <c r="O198" t="s">
        <v>47</v>
      </c>
      <c r="P198" t="s">
        <v>48</v>
      </c>
      <c r="R198" s="23" t="s">
        <v>69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134</v>
      </c>
      <c r="L199" s="37">
        <v>45951</v>
      </c>
      <c r="M199" t="s">
        <v>52</v>
      </c>
      <c r="N199" t="s">
        <v>160</v>
      </c>
      <c r="O199" t="s">
        <v>139</v>
      </c>
      <c r="P199" t="s">
        <v>48</v>
      </c>
      <c r="R199" s="23" t="s">
        <v>69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134</v>
      </c>
      <c r="L200" s="37">
        <v>45951</v>
      </c>
      <c r="M200" t="s">
        <v>52</v>
      </c>
      <c r="O200" t="s">
        <v>54</v>
      </c>
      <c r="P200" t="s">
        <v>48</v>
      </c>
      <c r="R200" s="23" t="s">
        <v>69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134</v>
      </c>
      <c r="L201" s="37">
        <v>45951</v>
      </c>
      <c r="M201" t="s">
        <v>161</v>
      </c>
      <c r="N201" t="s">
        <v>162</v>
      </c>
      <c r="O201" t="s">
        <v>54</v>
      </c>
      <c r="P201" t="s">
        <v>48</v>
      </c>
      <c r="R201" s="23" t="s">
        <v>69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134</v>
      </c>
      <c r="L202" s="37">
        <v>45951</v>
      </c>
      <c r="M202" t="s">
        <v>161</v>
      </c>
      <c r="N202" t="s">
        <v>163</v>
      </c>
      <c r="O202" t="s">
        <v>139</v>
      </c>
      <c r="P202" t="s">
        <v>25</v>
      </c>
      <c r="R202" s="23" t="s">
        <v>69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134</v>
      </c>
      <c r="L203" s="37">
        <v>45951</v>
      </c>
      <c r="M203" t="s">
        <v>103</v>
      </c>
      <c r="O203" t="s">
        <v>47</v>
      </c>
      <c r="P203" t="s">
        <v>48</v>
      </c>
      <c r="R203" s="23" t="s">
        <v>69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69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70</v>
      </c>
      <c r="K205" s="51" t="s">
        <v>46</v>
      </c>
      <c r="L205" s="37">
        <v>45951</v>
      </c>
      <c r="O205" t="s">
        <v>74</v>
      </c>
      <c r="R205" s="23" t="s">
        <v>69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68</v>
      </c>
      <c r="R206" s="23" t="s">
        <v>69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70</v>
      </c>
      <c r="K207" s="30" t="s">
        <v>136</v>
      </c>
      <c r="L207" s="37">
        <v>45957</v>
      </c>
      <c r="O207" t="s">
        <v>68</v>
      </c>
      <c r="R207" s="23" t="s">
        <v>69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70</v>
      </c>
      <c r="K208" s="30" t="s">
        <v>46</v>
      </c>
      <c r="L208" s="37">
        <v>45957</v>
      </c>
      <c r="M208" t="s">
        <v>165</v>
      </c>
      <c r="O208" t="s">
        <v>68</v>
      </c>
      <c r="R208" s="23" t="s">
        <v>69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70</v>
      </c>
      <c r="K209" s="30" t="s">
        <v>134</v>
      </c>
      <c r="L209" s="37">
        <v>45957</v>
      </c>
      <c r="M209" t="s">
        <v>161</v>
      </c>
      <c r="N209" t="s">
        <v>166</v>
      </c>
      <c r="O209" t="s">
        <v>77</v>
      </c>
      <c r="R209" s="23" t="s">
        <v>69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70</v>
      </c>
      <c r="K210" s="30" t="str">
        <f>K209</f>
        <v>7848 Kathy Vermandel</v>
      </c>
      <c r="L210" s="37">
        <v>45957</v>
      </c>
      <c r="M210" t="s">
        <v>52</v>
      </c>
      <c r="N210" t="s">
        <v>160</v>
      </c>
      <c r="O210" t="s">
        <v>74</v>
      </c>
      <c r="R210" s="23" t="s">
        <v>69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70</v>
      </c>
      <c r="K211" s="30" t="str">
        <f>K210</f>
        <v>7848 Kathy Vermandel</v>
      </c>
      <c r="L211" s="37">
        <v>45957</v>
      </c>
      <c r="M211" t="s">
        <v>103</v>
      </c>
      <c r="N211" t="s">
        <v>103</v>
      </c>
      <c r="O211" t="s">
        <v>68</v>
      </c>
      <c r="R211" s="23" t="s">
        <v>69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134</v>
      </c>
      <c r="L212" s="37">
        <v>45957</v>
      </c>
      <c r="M212" s="30" t="s">
        <v>71</v>
      </c>
      <c r="N212" t="s">
        <v>39</v>
      </c>
      <c r="O212" t="s">
        <v>77</v>
      </c>
      <c r="P212" t="s">
        <v>25</v>
      </c>
      <c r="R212" s="23" t="s">
        <v>69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70</v>
      </c>
      <c r="K213" s="30" t="s">
        <v>93</v>
      </c>
      <c r="L213" s="37">
        <v>45959</v>
      </c>
      <c r="M213" s="30" t="s">
        <v>103</v>
      </c>
      <c r="O213" t="s">
        <v>68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66</v>
      </c>
      <c r="K214" s="30" t="s">
        <v>67</v>
      </c>
      <c r="L214" s="37">
        <v>45960</v>
      </c>
      <c r="M214" s="30" t="s">
        <v>103</v>
      </c>
      <c r="O214" t="s">
        <v>68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66</v>
      </c>
      <c r="K215" s="30" t="s">
        <v>67</v>
      </c>
      <c r="L215" s="37">
        <v>45960</v>
      </c>
      <c r="M215" s="30" t="s">
        <v>103</v>
      </c>
      <c r="O215" t="s">
        <v>68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66</v>
      </c>
      <c r="K216" s="30" t="s">
        <v>67</v>
      </c>
      <c r="L216" s="37">
        <v>45960</v>
      </c>
      <c r="M216" s="30" t="s">
        <v>103</v>
      </c>
      <c r="O216" t="s">
        <v>74</v>
      </c>
      <c r="P216" t="s">
        <v>48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70</v>
      </c>
      <c r="K217" s="30" t="s">
        <v>51</v>
      </c>
      <c r="L217" s="37">
        <v>45966</v>
      </c>
      <c r="M217" s="30" t="s">
        <v>103</v>
      </c>
      <c r="O217" t="s">
        <v>74</v>
      </c>
      <c r="P217" t="s">
        <v>48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33</v>
      </c>
      <c r="K218" s="30" t="s">
        <v>174</v>
      </c>
      <c r="L218" s="43">
        <v>45965</v>
      </c>
      <c r="M218" s="30" t="s">
        <v>103</v>
      </c>
      <c r="N218" t="s">
        <v>175</v>
      </c>
      <c r="O218" t="s">
        <v>47</v>
      </c>
      <c r="P218" t="s">
        <v>48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33</v>
      </c>
      <c r="K221" t="s">
        <v>174</v>
      </c>
      <c r="L221" s="43">
        <v>45965</v>
      </c>
      <c r="M221" s="44" t="s">
        <v>103</v>
      </c>
      <c r="N221" t="s">
        <v>175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174</v>
      </c>
      <c r="L222" s="43">
        <v>45966</v>
      </c>
      <c r="M222" t="s">
        <v>103</v>
      </c>
      <c r="N222" s="44" t="s">
        <v>175</v>
      </c>
      <c r="O222" t="s">
        <v>47</v>
      </c>
      <c r="P222" t="s">
        <v>48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33</v>
      </c>
      <c r="K223" s="8" t="s">
        <v>174</v>
      </c>
      <c r="L223" s="43">
        <v>45966</v>
      </c>
      <c r="M223" t="s">
        <v>103</v>
      </c>
      <c r="N223" s="44" t="s">
        <v>177</v>
      </c>
      <c r="O223" t="s">
        <v>47</v>
      </c>
      <c r="P223" t="s">
        <v>48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33</v>
      </c>
      <c r="K224" s="8" t="s">
        <v>174</v>
      </c>
      <c r="L224" s="43">
        <v>45966</v>
      </c>
      <c r="M224" t="s">
        <v>103</v>
      </c>
      <c r="N224" s="44" t="s">
        <v>177</v>
      </c>
      <c r="O224" t="s">
        <v>47</v>
      </c>
      <c r="P224" t="s">
        <v>48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174</v>
      </c>
      <c r="L225" s="43">
        <v>45966</v>
      </c>
      <c r="M225" t="s">
        <v>103</v>
      </c>
      <c r="N225" s="30" t="s">
        <v>103</v>
      </c>
      <c r="O225" t="s">
        <v>54</v>
      </c>
      <c r="P225" t="s">
        <v>48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103</v>
      </c>
      <c r="O226" t="s">
        <v>54</v>
      </c>
      <c r="P226" t="s">
        <v>48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130</v>
      </c>
      <c r="L227" s="37">
        <v>45968</v>
      </c>
      <c r="M227" s="44" t="s">
        <v>103</v>
      </c>
      <c r="O227" t="s">
        <v>54</v>
      </c>
      <c r="P227" t="s">
        <v>48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130</v>
      </c>
      <c r="L228" s="37">
        <v>45968</v>
      </c>
      <c r="M228" s="44" t="s">
        <v>103</v>
      </c>
      <c r="O228" t="s">
        <v>54</v>
      </c>
      <c r="P228" t="s">
        <v>48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130</v>
      </c>
      <c r="L229" s="37">
        <v>45968</v>
      </c>
      <c r="M229" s="44" t="s">
        <v>103</v>
      </c>
      <c r="O229" t="s">
        <v>54</v>
      </c>
      <c r="P229" t="s">
        <v>48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68</v>
      </c>
      <c r="P230" t="s">
        <v>48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96</v>
      </c>
      <c r="J232" s="8" t="s">
        <v>70</v>
      </c>
      <c r="K232" s="44" t="s">
        <v>46</v>
      </c>
      <c r="L232" s="37">
        <v>45965</v>
      </c>
      <c r="O232" t="s">
        <v>68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70</v>
      </c>
      <c r="K233" s="44" t="s">
        <v>46</v>
      </c>
      <c r="L233" s="37">
        <v>45967</v>
      </c>
      <c r="O233" t="s">
        <v>68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70</v>
      </c>
      <c r="K234" s="44" t="s">
        <v>51</v>
      </c>
      <c r="L234" s="37">
        <v>45975</v>
      </c>
      <c r="M234" s="30" t="s">
        <v>95</v>
      </c>
      <c r="N234" t="s">
        <v>125</v>
      </c>
      <c r="O234" t="s">
        <v>72</v>
      </c>
      <c r="P234" t="s">
        <v>48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70</v>
      </c>
      <c r="K235" s="44" t="s">
        <v>51</v>
      </c>
      <c r="L235" s="37">
        <v>45975</v>
      </c>
      <c r="M235" s="30" t="s">
        <v>52</v>
      </c>
      <c r="N235" t="s">
        <v>162</v>
      </c>
      <c r="O235" t="s">
        <v>54</v>
      </c>
      <c r="P235" t="s">
        <v>48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93</v>
      </c>
      <c r="L236" s="37">
        <v>45968</v>
      </c>
      <c r="O236" t="s">
        <v>47</v>
      </c>
      <c r="P236" t="s">
        <v>48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93</v>
      </c>
      <c r="L237" s="37">
        <v>45968</v>
      </c>
      <c r="O237" t="s">
        <v>47</v>
      </c>
      <c r="P237" t="s">
        <v>48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93</v>
      </c>
      <c r="L238" s="37">
        <v>45973</v>
      </c>
      <c r="M238" s="30" t="s">
        <v>165</v>
      </c>
      <c r="N238" t="s">
        <v>53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93</v>
      </c>
      <c r="L239" s="37">
        <v>45973</v>
      </c>
      <c r="O239" t="s">
        <v>47</v>
      </c>
      <c r="P239" t="s">
        <v>48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96</v>
      </c>
      <c r="J240" s="2" t="s">
        <v>33</v>
      </c>
      <c r="K240" t="s">
        <v>51</v>
      </c>
      <c r="L240" s="11">
        <v>45979</v>
      </c>
      <c r="M240" t="s">
        <v>161</v>
      </c>
      <c r="N240" t="s">
        <v>162</v>
      </c>
      <c r="O240" t="s">
        <v>139</v>
      </c>
      <c r="P240" t="s">
        <v>48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96</v>
      </c>
      <c r="J241" s="2" t="s">
        <v>33</v>
      </c>
      <c r="K241" t="s">
        <v>93</v>
      </c>
      <c r="L241" s="11">
        <v>45979</v>
      </c>
      <c r="M241" t="s">
        <v>165</v>
      </c>
      <c r="N241" t="s">
        <v>138</v>
      </c>
      <c r="O241" t="s">
        <v>139</v>
      </c>
      <c r="P241" t="s">
        <v>48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96</v>
      </c>
      <c r="J242" s="2" t="s">
        <v>33</v>
      </c>
      <c r="K242" t="s">
        <v>93</v>
      </c>
      <c r="L242" s="11">
        <v>45979</v>
      </c>
      <c r="M242" t="s">
        <v>161</v>
      </c>
      <c r="N242" t="s">
        <v>53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96</v>
      </c>
      <c r="J244" s="2" t="s">
        <v>33</v>
      </c>
      <c r="K244" t="s">
        <v>51</v>
      </c>
      <c r="L244" s="11">
        <v>45992</v>
      </c>
      <c r="M244" t="s">
        <v>165</v>
      </c>
      <c r="N244" t="s">
        <v>182</v>
      </c>
      <c r="O244" t="s">
        <v>54</v>
      </c>
      <c r="P244" t="s">
        <v>48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96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160</v>
      </c>
      <c r="O245" t="s">
        <v>54</v>
      </c>
      <c r="P245" t="s">
        <v>48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96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139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96</v>
      </c>
      <c r="J247" s="8" t="s">
        <v>70</v>
      </c>
      <c r="K247" s="30" t="s">
        <v>116</v>
      </c>
      <c r="L247" s="37">
        <v>45994</v>
      </c>
      <c r="M247" s="30" t="s">
        <v>183</v>
      </c>
      <c r="O247" t="s">
        <v>54</v>
      </c>
      <c r="P247" t="s">
        <v>48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138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127</v>
      </c>
      <c r="J249" s="2" t="s">
        <v>23</v>
      </c>
      <c r="K249" t="s">
        <v>174</v>
      </c>
      <c r="L249" s="11">
        <v>45994</v>
      </c>
      <c r="M249" t="s">
        <v>103</v>
      </c>
      <c r="O249" t="s">
        <v>54</v>
      </c>
      <c r="P249" t="s">
        <v>48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5" t="s">
        <v>184</v>
      </c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</row>
    <row r="257" spans="1:16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</row>
    <row r="258" spans="1:16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</row>
    <row r="259" spans="1:16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</row>
    <row r="260" spans="1:16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</row>
  </sheetData>
  <mergeCells count="1">
    <mergeCell ref="A256:P260"/>
  </mergeCells>
  <phoneticPr fontId="3" type="noConversion"/>
  <conditionalFormatting sqref="A1:A256 A261:A1048576">
    <cfRule type="cellIs" dxfId="60" priority="395" operator="equal">
      <formula>"ja"</formula>
    </cfRule>
  </conditionalFormatting>
  <conditionalFormatting sqref="B219:B221 B230:B239">
    <cfRule type="duplicateValues" dxfId="59" priority="853"/>
  </conditionalFormatting>
  <conditionalFormatting sqref="B222 B225">
    <cfRule type="cellIs" dxfId="58" priority="50" operator="equal">
      <formula>"ja"</formula>
    </cfRule>
  </conditionalFormatting>
  <conditionalFormatting sqref="B223:B224">
    <cfRule type="duplicateValues" dxfId="57" priority="49"/>
  </conditionalFormatting>
  <conditionalFormatting sqref="B240:B242">
    <cfRule type="duplicateValues" dxfId="56" priority="35"/>
  </conditionalFormatting>
  <conditionalFormatting sqref="B243">
    <cfRule type="duplicateValues" dxfId="55" priority="28"/>
  </conditionalFormatting>
  <conditionalFormatting sqref="B244">
    <cfRule type="duplicateValues" dxfId="54" priority="21"/>
  </conditionalFormatting>
  <conditionalFormatting sqref="B248">
    <cfRule type="duplicateValues" dxfId="53" priority="14"/>
  </conditionalFormatting>
  <conditionalFormatting sqref="B249">
    <cfRule type="duplicateValues" dxfId="52" priority="7"/>
  </conditionalFormatting>
  <conditionalFormatting sqref="N208:N217">
    <cfRule type="duplicateValues" dxfId="51" priority="58"/>
  </conditionalFormatting>
  <conditionalFormatting sqref="O2:O239">
    <cfRule type="cellIs" dxfId="50" priority="55" operator="equal">
      <formula>"onvoldoende"</formula>
    </cfRule>
    <cfRule type="cellIs" dxfId="49" priority="56" operator="equal">
      <formula>"slecht"</formula>
    </cfRule>
    <cfRule type="cellIs" dxfId="48" priority="57" operator="equal">
      <formula>"zeer slecht"</formula>
    </cfRule>
    <cfRule type="containsText" dxfId="47" priority="66" operator="containsText" text="zeer slecht">
      <formula>NOT(ISERROR(SEARCH("zeer slecht",O2)))</formula>
    </cfRule>
    <cfRule type="containsText" dxfId="46" priority="67" operator="containsText" text="slecht">
      <formula>NOT(ISERROR(SEARCH("slecht",O2)))</formula>
    </cfRule>
    <cfRule type="cellIs" dxfId="45" priority="54" operator="equal">
      <formula>"Goed"</formula>
    </cfRule>
    <cfRule type="containsText" dxfId="44" priority="68" operator="containsText" text="onvoldoende">
      <formula>NOT(ISERROR(SEARCH("onvoldoende",O2)))</formula>
    </cfRule>
    <cfRule type="containsText" dxfId="43" priority="70" operator="containsText" text="goed">
      <formula>NOT(ISERROR(SEARCH("goed",O2)))</formula>
    </cfRule>
    <cfRule type="containsText" dxfId="42" priority="71" operator="containsText" text="zeer goed">
      <formula>NOT(ISERROR(SEARCH("zeer goed",O2)))</formula>
    </cfRule>
    <cfRule type="cellIs" dxfId="41" priority="398" operator="equal">
      <formula>"voldoende"</formula>
    </cfRule>
    <cfRule type="cellIs" dxfId="40" priority="775" operator="equal">
      <formula>"Goed"</formula>
    </cfRule>
    <cfRule type="cellIs" dxfId="39" priority="776" operator="equal">
      <formula>"onvoldoende"</formula>
    </cfRule>
    <cfRule type="cellIs" dxfId="38" priority="777" operator="equal">
      <formula>"slecht"</formula>
    </cfRule>
    <cfRule type="cellIs" dxfId="37" priority="778" operator="equal">
      <formula>"zeer slecht"</formula>
    </cfRule>
    <cfRule type="duplicateValues" dxfId="36" priority="850"/>
    <cfRule type="cellIs" dxfId="35" priority="774" operator="equal">
      <formula>"zeer goed"</formula>
    </cfRule>
    <cfRule type="containsText" dxfId="34" priority="69" operator="containsText" text="voldoende">
      <formula>NOT(ISERROR(SEARCH("voldoende",O2)))</formula>
    </cfRule>
    <cfRule type="cellIs" dxfId="33" priority="53" operator="equal">
      <formula>"zeer goed"</formula>
    </cfRule>
  </conditionalFormatting>
  <conditionalFormatting sqref="O240:O249">
    <cfRule type="containsText" dxfId="32" priority="2" operator="containsText" text="slecht">
      <formula>NOT(ISERROR(SEARCH("slecht",O240)))</formula>
    </cfRule>
    <cfRule type="containsText" dxfId="31" priority="3" operator="containsText" text="onvoldoende">
      <formula>NOT(ISERROR(SEARCH("onvoldoende",O240)))</formula>
    </cfRule>
    <cfRule type="containsText" dxfId="30" priority="4" operator="containsText" text="voldoende">
      <formula>NOT(ISERROR(SEARCH("voldoende",O240)))</formula>
    </cfRule>
    <cfRule type="containsText" dxfId="29" priority="5" operator="containsText" text="goed">
      <formula>NOT(ISERROR(SEARCH("goed",O240)))</formula>
    </cfRule>
    <cfRule type="containsText" dxfId="28" priority="6" operator="containsText" text="zeer goed">
      <formula>NOT(ISERROR(SEARCH("zeer goed",O240)))</formula>
    </cfRule>
    <cfRule type="containsText" dxfId="27" priority="1" operator="containsText" text="zeer slecht">
      <formula>NOT(ISERROR(SEARCH("zeer slecht",O240)))</formula>
    </cfRule>
  </conditionalFormatting>
  <conditionalFormatting sqref="O231:Q239 P1:Q197 Q198:Q203 P204:Q221 Q222:Q229 P226:P229 P230:Q230 Q240:Q246 P247:Q247 Q248:Q249 P250:Q251 P252:P255 P261 N262 P263:P1048576">
    <cfRule type="cellIs" dxfId="26" priority="394" operator="equal">
      <formula>"ja"</formula>
    </cfRule>
  </conditionalFormatting>
  <conditionalFormatting sqref="P222:P225">
    <cfRule type="cellIs" dxfId="25" priority="43" operator="equal">
      <formula>"zeer goed"</formula>
    </cfRule>
    <cfRule type="cellIs" dxfId="24" priority="47" operator="equal">
      <formula>"zeer slecht"</formula>
    </cfRule>
    <cfRule type="cellIs" dxfId="23" priority="46" operator="equal">
      <formula>"slecht"</formula>
    </cfRule>
    <cfRule type="duplicateValues" dxfId="22" priority="48"/>
    <cfRule type="cellIs" dxfId="21" priority="45" operator="equal">
      <formula>"onvoldoende"</formula>
    </cfRule>
    <cfRule type="cellIs" dxfId="20" priority="44" operator="equal">
      <formula>"Goed"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74</v>
      </c>
      <c r="C3" t="s">
        <v>188</v>
      </c>
      <c r="D3" t="s">
        <v>189</v>
      </c>
      <c r="E3" t="s">
        <v>77</v>
      </c>
      <c r="F3" t="s">
        <v>98</v>
      </c>
      <c r="G3" t="s">
        <v>72</v>
      </c>
      <c r="H3" t="s">
        <v>68</v>
      </c>
      <c r="I3" t="s">
        <v>180</v>
      </c>
      <c r="J3" t="s">
        <v>190</v>
      </c>
    </row>
    <row r="4" spans="1:10">
      <c r="A4" s="30" t="s">
        <v>81</v>
      </c>
      <c r="B4">
        <v>1</v>
      </c>
      <c r="I4"/>
      <c r="J4">
        <v>1</v>
      </c>
    </row>
    <row r="5" spans="1:10">
      <c r="A5" s="30" t="s">
        <v>103</v>
      </c>
      <c r="B5">
        <v>8</v>
      </c>
      <c r="H5">
        <v>10</v>
      </c>
      <c r="I5"/>
      <c r="J5">
        <v>18</v>
      </c>
    </row>
    <row r="6" spans="1:10">
      <c r="A6" s="30" t="s">
        <v>113</v>
      </c>
      <c r="B6">
        <v>1</v>
      </c>
      <c r="E6">
        <v>1</v>
      </c>
      <c r="I6"/>
      <c r="J6">
        <v>2</v>
      </c>
    </row>
    <row r="7" spans="1:10">
      <c r="A7" s="30" t="s">
        <v>89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142</v>
      </c>
      <c r="G8">
        <v>1</v>
      </c>
      <c r="I8"/>
      <c r="J8">
        <v>1</v>
      </c>
    </row>
    <row r="9" spans="1:10">
      <c r="A9" s="30" t="s">
        <v>148</v>
      </c>
      <c r="E9">
        <v>1</v>
      </c>
      <c r="I9"/>
      <c r="J9">
        <v>1</v>
      </c>
    </row>
    <row r="10" spans="1:10">
      <c r="A10" s="30" t="s">
        <v>85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109</v>
      </c>
      <c r="B11">
        <v>2</v>
      </c>
      <c r="I11"/>
      <c r="J11">
        <v>2</v>
      </c>
    </row>
    <row r="12" spans="1:10">
      <c r="A12" s="30" t="s">
        <v>156</v>
      </c>
      <c r="B12">
        <v>1</v>
      </c>
      <c r="I12"/>
      <c r="J12">
        <v>1</v>
      </c>
    </row>
    <row r="13" spans="1:10">
      <c r="A13" s="30" t="s">
        <v>111</v>
      </c>
      <c r="G13">
        <v>1</v>
      </c>
      <c r="I13"/>
      <c r="J13">
        <v>1</v>
      </c>
    </row>
    <row r="14" spans="1:10">
      <c r="A14" s="30" t="s">
        <v>105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86</v>
      </c>
      <c r="B15">
        <v>1</v>
      </c>
      <c r="I15"/>
      <c r="J15">
        <v>1</v>
      </c>
    </row>
    <row r="16" spans="1:10">
      <c r="A16" s="30" t="s">
        <v>125</v>
      </c>
      <c r="H16">
        <v>1</v>
      </c>
      <c r="I16"/>
      <c r="J16">
        <v>1</v>
      </c>
    </row>
    <row r="17" spans="1:10">
      <c r="A17" s="30" t="s">
        <v>95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71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180</v>
      </c>
      <c r="I2" t="s">
        <v>208</v>
      </c>
    </row>
    <row r="3" spans="1:9">
      <c r="A3" t="s">
        <v>209</v>
      </c>
      <c r="B3" t="s">
        <v>48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48</v>
      </c>
    </row>
    <row r="4" spans="1:9">
      <c r="A4" t="s">
        <v>214</v>
      </c>
      <c r="E4" t="s">
        <v>215</v>
      </c>
      <c r="F4" t="s">
        <v>165</v>
      </c>
      <c r="G4" t="s">
        <v>160</v>
      </c>
      <c r="H4" t="s">
        <v>176</v>
      </c>
    </row>
    <row r="5" spans="1:9">
      <c r="A5" t="s">
        <v>48</v>
      </c>
      <c r="E5" t="s">
        <v>93</v>
      </c>
      <c r="F5" t="s">
        <v>85</v>
      </c>
      <c r="G5" t="s">
        <v>216</v>
      </c>
      <c r="H5" t="s">
        <v>139</v>
      </c>
    </row>
    <row r="6" spans="1:9">
      <c r="E6" t="s">
        <v>174</v>
      </c>
      <c r="F6" t="s">
        <v>103</v>
      </c>
      <c r="G6" t="s">
        <v>162</v>
      </c>
      <c r="H6" t="s">
        <v>54</v>
      </c>
    </row>
    <row r="7" spans="1:9">
      <c r="E7" t="s">
        <v>134</v>
      </c>
      <c r="G7" t="s">
        <v>163</v>
      </c>
      <c r="H7" t="s">
        <v>47</v>
      </c>
    </row>
    <row r="8" spans="1:9">
      <c r="E8" t="s">
        <v>46</v>
      </c>
      <c r="G8" t="s">
        <v>182</v>
      </c>
    </row>
    <row r="9" spans="1:9">
      <c r="E9" t="s">
        <v>136</v>
      </c>
      <c r="G9" t="s">
        <v>73</v>
      </c>
    </row>
    <row r="10" spans="1:9">
      <c r="E10" t="s">
        <v>217</v>
      </c>
      <c r="G10" t="s">
        <v>138</v>
      </c>
    </row>
    <row r="11" spans="1:9">
      <c r="E11" t="s">
        <v>91</v>
      </c>
      <c r="G11" t="s">
        <v>218</v>
      </c>
    </row>
    <row r="12" spans="1:9">
      <c r="E12" t="s">
        <v>87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51</v>
      </c>
      <c r="G14" t="s">
        <v>220</v>
      </c>
    </row>
    <row r="15" spans="1:9">
      <c r="E15" t="s">
        <v>80</v>
      </c>
      <c r="G15" t="s">
        <v>103</v>
      </c>
    </row>
    <row r="16" spans="1:9">
      <c r="E16" t="s">
        <v>116</v>
      </c>
    </row>
    <row r="17" spans="5:5">
      <c r="E17" t="s">
        <v>130</v>
      </c>
    </row>
    <row r="18" spans="5:5">
      <c r="E18" t="s">
        <v>101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59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115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118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120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117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1B080D97-ADC3-4BC1-95D6-CAAF10570B99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2025-12-04T15:49:41Z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