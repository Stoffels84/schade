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49" documentId="13_ncr:1_{51182797-F005-4DB1-88AE-A2BD37A2289A}" xr6:coauthVersionLast="47" xr6:coauthVersionMax="47" xr10:uidLastSave="{A1A9468A-5D2A-48E3-8B96-614359DC5152}"/>
  <bookViews>
    <workbookView xWindow="-108" yWindow="-108" windowWidth="30456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6" i="4" l="1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<sst xmlns="http://schemas.openxmlformats.org/spreadsheetml/2006/main" count="4658" uniqueCount="1188">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</sst>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7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69"/>
    <tableColumn id="2" xr3:uid="{B49F914A-1FEE-4A75-9CD6-E94916B19C46}" name="Coaching rijschool" dataDxfId="68"/>
    <tableColumn id="3" xr3:uid="{7B74AF4D-F69C-4007-A6A0-421FFFF384B0}" name="aanvraagsdatum" dataDxfId="67"/>
    <tableColumn id="4" xr3:uid="{8AC34D33-B5AC-45FC-9CA7-A867F963543A}" name="P-nr" dataDxfId="66"/>
    <tableColumn id="5" xr3:uid="{F4EF036B-C2F8-4026-A2A9-AD2B883FBCA0}" name="Naam" dataDxfId="65"/>
    <tableColumn id="6" xr3:uid="{35DA4508-064A-468B-B6AB-413C038B8A1C}" name="Voornaam" dataDxfId="64"/>
    <tableColumn id="7" xr3:uid="{1DF84F60-8CE2-4D75-A697-8993441A24AE}" name="Volledige naam" dataDxfId="63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2"/>
    <tableColumn id="9" xr3:uid="{55439308-91C5-4F17-A0C7-B1F6312B9742}" name="Teamcoach" dataDxfId="61"/>
    <tableColumn id="10" xr3:uid="{2D4A733F-4F63-4CA5-BD3C-7B49FC1F3FFF}" name="Rooster" dataDxfId="60"/>
    <tableColumn id="11" xr3:uid="{61C0CBEA-E79D-414F-8B84-D7AED8AC3B32}" name="Opmerkingen" dataDxfId="59"/>
    <tableColumn id="12" xr3:uid="{456ABA1C-1C62-4168-AD5C-BFD9C05C8542}" name="Bus/Tram" dataDxfId="58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19" tableBorderDxfId="18">
  <autoFilter ref="A1:R243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A62" zoomScale="90" zoomScaleNormal="90" workbookViewId="0">
      <selection activeCell="D81" sqref="D8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3.1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28.9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28.9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28.9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57.6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28.9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28.9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  <row r="80" spans="3:14" ht="15">
      <c r="C80" s="53"/>
      <c r="D80" s="54">
        <v>36512</v>
      </c>
      <c r="E80" s="55"/>
      <c r="F80" s="56"/>
      <c r="G80" s="56" t="str">
        <f>_xlfn.CONCAT(Tabel2[[#This Row],[P-nr]]," ",Tabel2[[#This Row],[Naam]]," ",Tabel2[[#This Row],[Voornaam]]," ",)</f>
        <v xml:space="preserve">36512   </v>
      </c>
      <c r="H80" s="56"/>
      <c r="I80" s="56"/>
      <c r="J80" s="56"/>
    </row>
  </sheetData>
  <phoneticPr fontId="3" type="noConversion"/>
  <conditionalFormatting sqref="A1:B1048576">
    <cfRule type="containsText" dxfId="78" priority="45" operator="containsText" text="ja">
      <formula>NOT(ISERROR(SEARCH("ja",A1)))</formula>
    </cfRule>
  </conditionalFormatting>
  <conditionalFormatting sqref="D1:D1048576">
    <cfRule type="duplicateValues" dxfId="77" priority="587"/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Q1:Q1048576">
    <cfRule type="containsText" dxfId="75" priority="46" operator="containsText" text="zeer slecht">
      <formula>NOT(ISERROR(SEARCH("zeer slecht",Q1)))</formula>
    </cfRule>
    <cfRule type="containsText" dxfId="74" priority="47" operator="containsText" text="slecht">
      <formula>NOT(ISERROR(SEARCH("slecht",Q1)))</formula>
    </cfRule>
    <cfRule type="containsText" dxfId="73" priority="48" operator="containsText" text="onvoldoende">
      <formula>NOT(ISERROR(SEARCH("onvoldoende",Q1)))</formula>
    </cfRule>
    <cfRule type="containsText" dxfId="72" priority="49" operator="containsText" text="voldoende">
      <formula>NOT(ISERROR(SEARCH("voldoende",Q1)))</formula>
    </cfRule>
    <cfRule type="containsText" dxfId="71" priority="50" operator="containsText" text="goed">
      <formula>NOT(ISERROR(SEARCH("goed",Q1)))</formula>
    </cfRule>
    <cfRule type="containsText" dxfId="7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opLeftCell="A128" zoomScale="86" zoomScaleNormal="86" workbookViewId="0">
      <selection activeCell="B2" sqref="B2:B243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6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39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101</v>
      </c>
      <c r="O50" t="s">
        <v>70</v>
      </c>
      <c r="P50" t="s">
        <v>63</v>
      </c>
      <c r="R50" s="23" t="s">
        <v>64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6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102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103</v>
      </c>
      <c r="O55" t="s">
        <v>68</v>
      </c>
      <c r="R55" s="23" t="s">
        <v>64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70</v>
      </c>
      <c r="P56" t="s">
        <v>63</v>
      </c>
      <c r="R56" s="23" t="s">
        <v>64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70</v>
      </c>
      <c r="P59" t="s">
        <v>63</v>
      </c>
      <c r="R59" s="23" t="s">
        <v>64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68</v>
      </c>
      <c r="P60" t="s">
        <v>63</v>
      </c>
      <c r="R60" s="23" t="s">
        <v>64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65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64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112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112</v>
      </c>
      <c r="L64" s="37">
        <v>45803</v>
      </c>
      <c r="M64" s="30" t="s">
        <v>109</v>
      </c>
      <c r="O64" t="s">
        <v>70</v>
      </c>
      <c r="R64" s="2" t="s">
        <v>64</v>
      </c>
    </row>
    <row r="65" spans="1:18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112</v>
      </c>
      <c r="L66" s="37">
        <v>45803</v>
      </c>
      <c r="M66" s="30" t="s">
        <v>115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112</v>
      </c>
      <c r="L67" s="37">
        <v>45803</v>
      </c>
      <c r="O67" t="s">
        <v>70</v>
      </c>
      <c r="R67" s="2" t="s">
        <v>64</v>
      </c>
    </row>
    <row r="68" spans="1:18" ht="15.6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128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128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65</v>
      </c>
      <c r="K97" s="30" t="s">
        <v>132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128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128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128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133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134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128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128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128</v>
      </c>
      <c r="L121" s="37">
        <v>45875</v>
      </c>
      <c r="O121" t="s">
        <v>62</v>
      </c>
      <c r="R121" s="2" t="s">
        <v>64</v>
      </c>
      <c r="S121" t="s">
        <v>136</v>
      </c>
      <c r="T121" t="s">
        <v>137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128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128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128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139</v>
      </c>
      <c r="L128" s="37">
        <v>45881</v>
      </c>
      <c r="M128" s="30" t="s">
        <v>143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139</v>
      </c>
      <c r="L129" s="37">
        <v>45881</v>
      </c>
      <c r="M129" s="30" t="s">
        <v>143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134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134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65</v>
      </c>
      <c r="K132" s="30" t="s">
        <v>134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133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146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132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132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132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150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103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39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154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155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70</v>
      </c>
      <c r="P175" s="23"/>
      <c r="Q175" s="23"/>
      <c r="R175" s="23"/>
    </row>
    <row r="176" spans="1:18" ht="15.6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29" t="s">
        <v>39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156</v>
      </c>
      <c r="O182" t="s">
        <v>62</v>
      </c>
      <c r="P182" t="s">
        <v>63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157</v>
      </c>
      <c r="M192" s="30" t="s">
        <v>67</v>
      </c>
      <c r="N192" t="s">
        <v>158</v>
      </c>
      <c r="O192" t="s">
        <v>68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132</v>
      </c>
      <c r="L194" s="37">
        <v>45945</v>
      </c>
      <c r="O194" t="s">
        <v>70</v>
      </c>
      <c r="R194" s="23" t="s">
        <v>64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132</v>
      </c>
      <c r="L195" s="37">
        <v>45945</v>
      </c>
      <c r="O195" t="s">
        <v>70</v>
      </c>
      <c r="R195" s="23" t="s">
        <v>64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132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63</v>
      </c>
      <c r="R198" s="23" t="s">
        <v>64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63</v>
      </c>
      <c r="R199" s="23" t="s">
        <v>64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63</v>
      </c>
      <c r="R200" s="23" t="s">
        <v>64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63</v>
      </c>
      <c r="R201" s="23" t="s">
        <v>64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64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63</v>
      </c>
      <c r="R203" s="23" t="s">
        <v>64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134</v>
      </c>
      <c r="L207" s="37">
        <v>45957</v>
      </c>
      <c r="O207" t="s">
        <v>62</v>
      </c>
      <c r="R207" s="23" t="s">
        <v>64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65</v>
      </c>
      <c r="K208" s="30" t="s">
        <v>50</v>
      </c>
      <c r="L208" s="37">
        <v>45957</v>
      </c>
      <c r="M208" t="s">
        <v>168</v>
      </c>
      <c r="O208" t="s">
        <v>62</v>
      </c>
      <c r="R208" s="23" t="s">
        <v>64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64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70</v>
      </c>
      <c r="R210" s="23" t="s">
        <v>64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62</v>
      </c>
      <c r="R211" s="23" t="s">
        <v>64</v>
      </c>
    </row>
    <row r="212" spans="1:18" ht="15.6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159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159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159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159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65</v>
      </c>
      <c r="K217" s="30" t="s">
        <v>66</v>
      </c>
      <c r="L217" s="37">
        <v>45966</v>
      </c>
      <c r="M217" s="30" t="s">
        <v>159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161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161</v>
      </c>
      <c r="O231" t="s">
        <v>163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164</v>
      </c>
      <c r="N240" t="s">
        <v>165</v>
      </c>
      <c r="O240" t="s">
        <v>137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28.9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66</v>
      </c>
      <c r="L243" s="11">
        <v>45979</v>
      </c>
      <c r="M243" t="s">
        <v>161</v>
      </c>
      <c r="O243" t="s">
        <v>163</v>
      </c>
      <c r="P243" t="s">
        <v>63</v>
      </c>
    </row>
    <row r="244" spans="1:16">
      <c r="E244" s="30"/>
      <c r="F244" s="30"/>
      <c r="K244" s="30"/>
      <c r="L244" s="11"/>
    </row>
    <row r="245" spans="1:16">
      <c r="A245" s="41"/>
      <c r="E245" s="30"/>
      <c r="F245" s="30"/>
      <c r="K245" s="30"/>
      <c r="L245" s="11"/>
    </row>
    <row r="246" spans="1:16">
      <c r="A246" s="41"/>
      <c r="E246" s="30"/>
      <c r="F246" s="30"/>
      <c r="K246" s="30"/>
      <c r="L246" s="11"/>
    </row>
    <row r="247" spans="1:16">
      <c r="A247" s="39"/>
      <c r="E247" s="30"/>
      <c r="F247" s="30"/>
      <c r="K247" s="30"/>
      <c r="M247" s="44"/>
    </row>
    <row r="248" spans="1:16">
      <c r="A248" s="45"/>
      <c r="E248" s="30"/>
      <c r="F248" s="30"/>
      <c r="K248" s="30"/>
      <c r="M248" s="44"/>
    </row>
    <row r="249" spans="1:16">
      <c r="A249" s="11"/>
      <c r="M249" s="44"/>
    </row>
    <row r="251" spans="1:16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57" priority="374" operator="equal">
      <formula>"ja"</formula>
    </cfRule>
  </conditionalFormatting>
  <conditionalFormatting sqref="B219:B221 B230:B239">
    <cfRule type="duplicateValues" dxfId="56" priority="832"/>
  </conditionalFormatting>
  <conditionalFormatting sqref="B222 B225">
    <cfRule type="cellIs" dxfId="55" priority="29" operator="equal">
      <formula>"ja"</formula>
    </cfRule>
  </conditionalFormatting>
  <conditionalFormatting sqref="B223:B224">
    <cfRule type="duplicateValues" dxfId="54" priority="28"/>
  </conditionalFormatting>
  <conditionalFormatting sqref="B240:B242">
    <cfRule type="duplicateValues" dxfId="53" priority="14"/>
  </conditionalFormatting>
  <conditionalFormatting sqref="B243">
    <cfRule type="duplicateValues" dxfId="52" priority="7"/>
  </conditionalFormatting>
  <conditionalFormatting sqref="N208:N217">
    <cfRule type="duplicateValues" dxfId="51" priority="37"/>
  </conditionalFormatting>
  <conditionalFormatting sqref="O2:O239">
    <cfRule type="cellIs" dxfId="50" priority="32" operator="equal">
      <formula>"zeer goed"</formula>
    </cfRule>
    <cfRule type="cellIs" dxfId="49" priority="33" operator="equal">
      <formula>"Goed"</formula>
    </cfRule>
    <cfRule type="cellIs" dxfId="48" priority="34" operator="equal">
      <formula>"onvoldoende"</formula>
    </cfRule>
    <cfRule type="cellIs" dxfId="47" priority="35" operator="equal">
      <formula>"slecht"</formula>
    </cfRule>
    <cfRule type="cellIs" dxfId="46" priority="36" operator="equal">
      <formula>"zeer slecht"</formula>
    </cfRule>
    <cfRule type="containsText" dxfId="45" priority="45" operator="containsText" text="zeer slecht">
      <formula>NOT(ISERROR(SEARCH("zeer slecht",O2)))</formula>
    </cfRule>
    <cfRule type="containsText" dxfId="44" priority="46" operator="containsText" text="slecht">
      <formula>NOT(ISERROR(SEARCH("slecht",O2)))</formula>
    </cfRule>
    <cfRule type="containsText" dxfId="43" priority="47" operator="containsText" text="onvoldoende">
      <formula>NOT(ISERROR(SEARCH("onvoldoende",O2)))</formula>
    </cfRule>
    <cfRule type="containsText" dxfId="42" priority="48" operator="containsText" text="voldoende">
      <formula>NOT(ISERROR(SEARCH("voldoende",O2)))</formula>
    </cfRule>
    <cfRule type="containsText" dxfId="41" priority="49" operator="containsText" text="goed">
      <formula>NOT(ISERROR(SEARCH("goed",O2)))</formula>
    </cfRule>
    <cfRule type="containsText" dxfId="40" priority="50" operator="containsText" text="zeer goed">
      <formula>NOT(ISERROR(SEARCH("zeer goed",O2)))</formula>
    </cfRule>
    <cfRule type="cellIs" dxfId="39" priority="377" operator="equal">
      <formula>"voldoende"</formula>
    </cfRule>
    <cfRule type="cellIs" dxfId="38" priority="753" operator="equal">
      <formula>"zeer goed"</formula>
    </cfRule>
    <cfRule type="cellIs" dxfId="37" priority="754" operator="equal">
      <formula>"Goed"</formula>
    </cfRule>
    <cfRule type="cellIs" dxfId="36" priority="755" operator="equal">
      <formula>"onvoldoende"</formula>
    </cfRule>
    <cfRule type="cellIs" dxfId="35" priority="756" operator="equal">
      <formula>"slecht"</formula>
    </cfRule>
    <cfRule type="cellIs" dxfId="34" priority="757" operator="equal">
      <formula>"zeer slecht"</formula>
    </cfRule>
    <cfRule type="duplicateValues" dxfId="33" priority="829"/>
  </conditionalFormatting>
  <conditionalFormatting sqref="O240:O243">
    <cfRule type="containsText" dxfId="32" priority="1" operator="containsText" text="zeer slecht">
      <formula>NOT(ISERROR(SEARCH("zeer slecht",O240)))</formula>
    </cfRule>
    <cfRule type="containsText" dxfId="31" priority="2" operator="containsText" text="slecht">
      <formula>NOT(ISERROR(SEARCH("slecht",O240)))</formula>
    </cfRule>
    <cfRule type="containsText" dxfId="30" priority="3" operator="containsText" text="onvoldoende">
      <formula>NOT(ISERROR(SEARCH("onvoldoende",O240)))</formula>
    </cfRule>
    <cfRule type="containsText" dxfId="29" priority="4" operator="containsText" text="voldoende">
      <formula>NOT(ISERROR(SEARCH("voldoende",O240)))</formula>
    </cfRule>
    <cfRule type="containsText" dxfId="28" priority="5" operator="containsText" text="goed">
      <formula>NOT(ISERROR(SEARCH("goed",O240)))</formula>
    </cfRule>
    <cfRule type="containsText" dxfId="2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26" priority="373" operator="equal">
      <formula>"ja"</formula>
    </cfRule>
  </conditionalFormatting>
  <conditionalFormatting sqref="P222:P225">
    <cfRule type="cellIs" dxfId="25" priority="22" operator="equal">
      <formula>"zeer goed"</formula>
    </cfRule>
    <cfRule type="cellIs" dxfId="24" priority="23" operator="equal">
      <formula>"Goed"</formula>
    </cfRule>
    <cfRule type="cellIs" dxfId="23" priority="24" operator="equal">
      <formula>"onvoldoende"</formula>
    </cfRule>
    <cfRule type="cellIs" dxfId="22" priority="25" operator="equal">
      <formula>"slecht"</formula>
    </cfRule>
    <cfRule type="cellIs" dxfId="21" priority="26" operator="equal">
      <formula>"zeer slecht"</formula>
    </cfRule>
    <cfRule type="duplicateValues" dxfId="2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186</v>
      </c>
      <c r="B1" t="s">
        <v>8</v>
      </c>
      <c r="D1" t="s">
        <v>187</v>
      </c>
      <c r="E1" t="s">
        <v>188</v>
      </c>
    </row>
    <row r="2" spans="1:5">
      <c r="A2" s="3">
        <f>COUNTIF(Coaching!I1:I9925,Tabel1[[#This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>
      <c r="A3" s="3">
        <f>COUNTIF(Coaching!I2:I9926,Tabel1[[#This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COUNTIF(Coaching!I2:I9927,Tabel1[[#This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COUNTIF(Coaching!I2:I9928,Tabel1[[#This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COUNTIF(Coaching!I3:I9929,Tabel1[[#This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COUNTIF(Coaching!I4:I9930,Tabel1[[#This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COUNTIF(Coaching!I5:I9931,Tabel1[[#This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COUNTIF(Coaching!I5:I9932,Tabel1[[#This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>
      <c r="A3" t="s">
        <v>203</v>
      </c>
      <c r="B3" t="s">
        <v>63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63</v>
      </c>
    </row>
    <row r="4" spans="1:9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>
      <c r="A5" t="s">
        <v>63</v>
      </c>
      <c r="E5" t="s">
        <v>89</v>
      </c>
      <c r="F5" t="s">
        <v>81</v>
      </c>
      <c r="G5" t="s">
        <v>210</v>
      </c>
      <c r="H5" t="s">
        <v>137</v>
      </c>
    </row>
    <row r="6" spans="1:9">
      <c r="E6" t="s">
        <v>177</v>
      </c>
      <c r="F6" t="s">
        <v>159</v>
      </c>
      <c r="G6" t="s">
        <v>165</v>
      </c>
      <c r="H6" t="s">
        <v>163</v>
      </c>
    </row>
    <row r="7" spans="1:9">
      <c r="E7" t="s">
        <v>132</v>
      </c>
      <c r="G7" t="s">
        <v>166</v>
      </c>
      <c r="H7" t="s">
        <v>160</v>
      </c>
    </row>
    <row r="8" spans="1:9">
      <c r="E8" t="s">
        <v>50</v>
      </c>
      <c r="G8" t="s">
        <v>211</v>
      </c>
    </row>
    <row r="9" spans="1:9">
      <c r="E9" t="s">
        <v>134</v>
      </c>
      <c r="G9" t="s">
        <v>69</v>
      </c>
    </row>
    <row r="10" spans="1:9">
      <c r="E10" t="s">
        <v>212</v>
      </c>
      <c r="G10" t="s">
        <v>136</v>
      </c>
    </row>
    <row r="11" spans="1:9">
      <c r="E11" t="s">
        <v>87</v>
      </c>
      <c r="G11" t="s">
        <v>213</v>
      </c>
    </row>
    <row r="12" spans="1:9">
      <c r="E12" t="s">
        <v>83</v>
      </c>
      <c r="G12" t="s">
        <v>178</v>
      </c>
    </row>
    <row r="13" spans="1:9">
      <c r="E13" t="s">
        <v>214</v>
      </c>
      <c r="G13" t="s">
        <v>180</v>
      </c>
    </row>
    <row r="14" spans="1:9">
      <c r="E14" t="s">
        <v>66</v>
      </c>
      <c r="G14" t="s">
        <v>215</v>
      </c>
    </row>
    <row r="15" spans="1:9">
      <c r="E15" t="s">
        <v>76</v>
      </c>
      <c r="G15" t="s">
        <v>159</v>
      </c>
    </row>
    <row r="16" spans="1:9">
      <c r="E16" t="s">
        <v>112</v>
      </c>
    </row>
    <row r="17" spans="5:5">
      <c r="E17" t="s">
        <v>128</v>
      </c>
    </row>
    <row r="18" spans="5:5">
      <c r="E18" t="s">
        <v>97</v>
      </c>
    </row>
    <row r="19" spans="5:5">
      <c r="E19" t="s">
        <v>216</v>
      </c>
    </row>
    <row r="20" spans="5:5">
      <c r="E20" t="s">
        <v>217</v>
      </c>
    </row>
    <row r="21" spans="5:5">
      <c r="E21" t="s">
        <v>218</v>
      </c>
    </row>
    <row r="22" spans="5:5">
      <c r="E22" t="s">
        <v>219</v>
      </c>
    </row>
    <row r="23" spans="5: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221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222</v>
      </c>
    </row>
    <row r="2" spans="1:6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1B080D97-ADC3-4BC1-95D6-CAAF10570B9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2025-12-01T20:01:52Z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