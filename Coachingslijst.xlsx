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75" documentId="13_ncr:1_{51182797-F005-4DB1-88AE-A2BD37A2289A}" xr6:coauthVersionLast="47" xr6:coauthVersionMax="47" xr10:uidLastSave="{4CB52E16-21F2-44BC-83ED-B35614A82A1B}"/>
  <bookViews>
    <workbookView xWindow="-120" yWindow="-1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" i="6" l="1"/>
  <c r="E78" i="6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81" i="6"/>
  <c r="F81" i="6"/>
  <c r="G81" i="6" s="1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G84" i="6" s="1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F87" i="6"/>
  <c r="I87" i="6"/>
  <c r="J87" i="6"/>
  <c r="E88" i="6"/>
  <c r="G88" i="6" s="1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2" i="4" l="1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<sst xmlns="http://schemas.openxmlformats.org/spreadsheetml/2006/main" count="4645" uniqueCount="1188">
  <si>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</si>
  <si>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</si>
  <si>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</si>
  <si>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</si>
  <si>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</si>
  <si>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</si>
  <si>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</si>
  <si>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</si>
  <si>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</si>
  <si>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</si>
  <si>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</si>
  <si>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</si>
  <si>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</si>
  <si>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</si>
  <si>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</si>
  <si>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</si>
  <si>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</si>
  <si>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</si>
  <si>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</si>
  <si>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</si>
  <si>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</si>
  <si>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</si>
  <si>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</si>
  <si>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</si>
  <si>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</si>
  <si>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</si>
  <si>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</si>
  <si>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</si>
  <si>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</si>
  <si>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</si>
  <si>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</si>
  <si>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</si>
  <si>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</si>
  <si>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</si>
  <si>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</si>
  <si>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</si>
  <si>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</si>
  <si>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</si>
  <si>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</si>
  <si>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</si>
  <si>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</si>
  <si>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</si>
  <si>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</si>
  <si>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</si>
  <si>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</si>
  <si>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</si>
  <si>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</si>
  <si>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</si>
  <si>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</si>
  <si>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</si>
  <si>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</si>
  <si>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</si>
  <si>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</si>
  <si>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</si>
  <si>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</si>
  <si>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</si>
  <si>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</si>
  <si>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</si>
  <si>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</si>
  <si>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</si>
  <si>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</si>
  <si>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</si>
  <si>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</si>
  <si>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</si>
  <si>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</si>
  <si>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</si>
  <si>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</si>
  <si>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</si>
  <si>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</si>
  <si>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</si>
  <si>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</si>
  <si>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</si>
  <si>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</si>
  <si>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</si>
  <si>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</si>
  <si>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</si>
  <si>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</si>
  <si>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</si>
  <si>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</si>
  <si>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</si>
  <si>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</si>
  <si>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</si>
  <si>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</si>
  <si>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</si>
  <si>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</si>
  <si>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</si>
  <si>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</si>
  <si>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</si>
  <si>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</si>
  <si>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</si>
  <si>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</si>
  <si>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</si>
  <si>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</si>
  <si>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</si>
  <si>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</si>
  <si>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</si>
  <si>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</si>
  <si>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</si>
  <si>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</si>
  <si>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</si>
  <si>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</si>
  <si>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</si>
  <si>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</si>
  <si>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</si>
  <si>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</si>
  <si>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</si>
  <si>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</si>
  <si>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</si>
  <si>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</si>
  <si>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</si>
  <si>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</si>
  <si>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</si>
  <si>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</si>
  <si>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</si>
  <si>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</si>
  <si>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</si>
  <si>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</si>
  <si>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</si>
  <si>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</si>
  <si>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</si>
  <si>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</si>
  <si>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</si>
  <si>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</si>
  <si>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</si>
  <si>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</si>
  <si>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</si>
  <si>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</si>
  <si>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</si>
  <si>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</si>
  <si>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</si>
  <si>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</si>
  <si>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</si>
  <si>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</si>
  <si>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</si>
  <si>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</si>
  <si>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</si>
  <si>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</si>
  <si>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</si>
  <si>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</si>
  <si>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</si>
  <si>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</si>
  <si>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</si>
  <si>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</si>
  <si>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</si>
  <si>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</si>
  <si>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</si>
  <si>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</si>
  <si>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</si>
  <si>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</si>
  <si>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</si>
  <si>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</si>
  <si>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</si>
  <si>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</si>
  <si>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</si>
  <si>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</si>
  <si>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</si>
  <si>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</si>
  <si>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</si>
  <si>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</si>
  <si>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</si>
  <si>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</si>
  <si>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</si>
  <si>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</si>
  <si>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</si>
  <si>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</si>
  <si>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</si>
  <si>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</si>
  <si>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</si>
  <si>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</si>
  <si>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</si>
  <si>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</si>
  <si>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</si>
  <si>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</si>
  <si>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</si>
  <si>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</si>
  <si>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</si>
  <si>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</si>
  <si>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</si>
  <si>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</si>
  <si>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</si>
  <si>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</si>
  <si>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</si>
  <si>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</si>
  <si>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</si>
  <si>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</si>
  <si>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</si>
  <si>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</si>
  <si>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</si>
  <si>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</si>
  <si>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</si>
  <si>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</si>
  <si>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</si>
  <si>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</si>
  <si>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</si>
  <si>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</si>
  <si>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</si>
  <si>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</si>
  <si>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</si>
  <si>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</si>
  <si>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</si>
  <si>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</si>
  <si>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</si>
  <si>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</si>
  <si>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</si>
  <si>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</si>
  <si>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</si>
  <si>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</si>
  <si>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</si>
  <si>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</si>
  <si>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</si>
  <si>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</si>
  <si>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</si>
  <si>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</si>
  <si>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</si>
  <si>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</si>
  <si>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</si>
  <si>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</si>
  <si>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</si>
  <si>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</si>
  <si>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</si>
  <si>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</si>
  <si>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</si>
  <si>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</si>
  <si>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</si>
  <si>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</si>
  <si>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</si>
  <si>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</si>
  <si>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</si>
  <si>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</si>
  <si>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</si>
  <si>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</si>
  <si>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</si>
  <si>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</si>
  <si>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</si>
  <si>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</si>
  <si>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</si>
  <si>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</si>
  <si>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</si>
  <si>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</si>
  <si>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</si>
  <si>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</si>
  <si>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</si>
  <si>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</si>
  <si>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</si>
  <si>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</si>
  <si>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</si>
  <si>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</si>
  <si>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</si>
  <si>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</si>
  <si>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</si>
  <si>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</si>
  <si>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</si>
  <si>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</si>
  <si>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</si>
  <si>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</si>
  <si>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</si>
  <si>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</si>
  <si>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</si>
  <si>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</si>
  <si>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</si>
  <si>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</si>
  <si>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</si>
  <si>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</si>
  <si>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</si>
  <si>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</si>
  <si>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</si>
  <si>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</si>
  <si>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</si>
  <si>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</si>
  <si>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</si>
  <si>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</si>
  <si>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</si>
  <si>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</si>
  <si>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</si>
  <si>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</si>
  <si>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</si>
  <si>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</si>
  <si>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</si>
  <si>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</si>
  <si>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</si>
  <si>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</si>
  <si>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</si>
  <si>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</si>
  <si>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</si>
  <si>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</si>
  <si>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</si>
  <si>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</si>
  <si>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</si>
  <si>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</si>
  <si>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</si>
  <si>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</si>
  <si>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</si>
  <si>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</si>
  <si>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</si>
  <si>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</si>
  <si>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</si>
  <si>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</si>
  <si>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</si>
  <si>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</si>
  <si>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</si>
  <si>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</si>
  <si>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</si>
  <si>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</si>
  <si>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</si>
  <si>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</si>
  <si>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</si>
  <si>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</si>
  <si>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</si>
  <si>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</si>
  <si>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</si>
  <si>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</si>
  <si>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</si>
  <si>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</si>
  <si>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</si>
  <si>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</si>
  <si>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</si>
  <si>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</si>
  <si>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</si>
  <si>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</si>
  <si>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</si>
  <si>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</si>
  <si>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</si>
  <si>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</si>
  <si>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</si>
  <si>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</si>
  <si>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</si>
  <si>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</si>
  <si>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</si>
  <si>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</si>
  <si>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</si>
  <si>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</si>
  <si>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</si>
  <si>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</si>
  <si>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</si>
  <si>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</si>
  <si>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</si>
  <si>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</si>
  <si>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</si>
  <si>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</si>
  <si>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</si>
  <si>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</si>
  <si>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</si>
  <si>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</si>
  <si>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</si>
  <si>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</si>
  <si>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</si>
  <si>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</si>
  <si>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</si>
  <si>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</si>
  <si>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</si>
  <si>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</si>
  <si>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</si>
  <si>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</si>
  <si>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</si>
  <si>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</si>
  <si>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</si>
  <si>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</si>
  <si>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</si>
  <si>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</si>
  <si>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</si>
  <si>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</si>
  <si>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</si>
  <si>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</si>
  <si>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</si>
  <si>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</si>
  <si>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</si>
  <si>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</si>
  <si>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</si>
  <si>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</si>
  <si>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</si>
  <si>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</si>
  <si>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</si>
  <si>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</si>
  <si>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</si>
  <si>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</si>
  <si>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</si>
  <si>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</si>
  <si>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</si>
  <si>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</si>
  <si>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</si>
  <si>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</si>
  <si>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</si>
  <si>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</si>
  <si>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</si>
  <si>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</si>
  <si>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</si>
  <si>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</si>
  <si>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</si>
  <si>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</si>
  <si>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</si>
  <si>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</si>
  <si>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</si>
  <si>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</si>
  <si>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</si>
  <si>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</si>
  <si>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</si>
  <si>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</si>
  <si>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</si>
  <si>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</si>
  <si>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</si>
  <si>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</si>
  <si>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</si>
  <si>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</si>
  <si>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</si>
  <si>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</si>
  <si>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</si>
  <si>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</si>
  <si>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</si>
  <si>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</si>
  <si>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</si>
  <si>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</si>
  <si>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</si>
  <si>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</si>
  <si>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</si>
  <si>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</si>
  <si>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</si>
  <si>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</si>
  <si>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</si>
  <si>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</si>
  <si>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</si>
  <si>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</si>
  <si>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</si>
  <si>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</si>
  <si>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</si>
  <si>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</si>
  <si>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</si>
  <si>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</si>
  <si>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</si>
  <si>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</si>
  <si>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</si>
  <si>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</si>
  <si>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</si>
  <si>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</si>
  <si>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</si>
  <si>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</si>
  <si>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</si>
  <si>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</si>
  <si>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</si>
  <si>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</si>
  <si>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</si>
  <si>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</si>
  <si>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</si>
  <si>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</si>
  <si>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</si>
  <si>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</si>
  <si>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</si>
  <si>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</si>
  <si>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</si>
  <si>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</si>
  <si>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</si>
  <si>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</si>
  <si>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</si>
  <si>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</si>
  <si>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</si>
  <si>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</si>
  <si>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</si>
  <si>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</si>
  <si>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</si>
  <si>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</si>
  <si>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</si>
  <si>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</si>
  <si>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</si>
  <si>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</si>
  <si>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</si>
  <si>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</si>
  <si>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</si>
  <si>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</si>
  <si>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</si>
  <si>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</si>
  <si>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</si>
  <si>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</si>
  <si>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</si>
  <si>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</si>
  <si>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</si>
  <si>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</si>
  <si>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</si>
  <si>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</si>
  <si>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</si>
  <si>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</si>
  <si>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</si>
  <si>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</si>
  <si>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</si>
  <si>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</si>
  <si>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</si>
  <si>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</si>
  <si>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</si>
  <si>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</si>
  <si>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</si>
  <si>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</si>
  <si>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</si>
  <si>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</si>
  <si>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</si>
  <si>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</si>
  <si>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</si>
  <si>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</si>
  <si>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</si>
  <si>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</si>
  <si>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</si>
  <si>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</si>
  <si>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</si>
  <si>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</si>
  <si>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</si>
  <si>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</si>
  <si>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</si>
  <si>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</si>
  <si>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</si>
  <si>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</si>
  <si>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</si>
  <si>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</si>
  <si>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</si>
  <si>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</si>
  <si>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</si>
  <si>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</si>
  <si>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</si>
  <si>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</si>
  <si>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</si>
  <si>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</si>
  <si>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</si>
  <si>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</si>
  <si>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</si>
  <si>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</si>
  <si>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</si>
  <si>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</si>
  <si>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</si>
  <si>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</si>
  <si>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</si>
  <si>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</si>
  <si>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</si>
  <si>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</si>
  <si>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</si>
  <si>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</si>
  <si>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</si>
  <si>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</si>
  <si>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</si>
  <si>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</si>
  <si>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</si>
  <si>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</si>
  <si>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</si>
  <si>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</si>
  <si>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</si>
  <si>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</si>
  <si>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</si>
  <si>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</si>
  <si>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</si>
  <si>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</si>
  <si>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</si>
  <si>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</si>
  <si>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</si>
  <si>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</si>
  <si>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</si>
  <si>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</si>
  <si>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</si>
  <si>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</si>
  <si>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</si>
  <si>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</si>
  <si>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</si>
  <si>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</si>
  <si>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</si>
  <si>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</si>
  <si>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</si>
  <si>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</si>
  <si>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</si>
  <si>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</si>
  <si>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</si>
  <si>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</si>
  <si>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</si>
  <si>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</si>
  <si>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</si>
  <si>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</si>
  <si>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</si>
  <si>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</si>
  <si>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</si>
  <si>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</si>
  <si>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</si>
  <si>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</si>
  <si>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</si>
  <si>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</si>
  <si>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</si>
  <si>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</si>
  <si>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</si>
  <si>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</si>
  <si>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</si>
  <si>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</si>
  <si>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</si>
  <si>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</si>
  <si>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</si>
  <si>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</si>
  <si>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</si>
  <si>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</si>
  <si>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</si>
  <si>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</si>
  <si>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</si>
  <si>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</si>
  <si>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</si>
  <si>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</si>
  <si>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</si>
  <si>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</si>
  <si>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</si>
  <si>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</si>
  <si>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</si>
  <si>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</si>
  <si>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</si>
  <si>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</si>
  <si>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</si>
  <si>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</si>
  <si>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</si>
  <si>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</si>
  <si>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</si>
  <si>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</si>
  <si>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</si>
  <si>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</si>
  <si>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</si>
  <si>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</si>
  <si>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</si>
  <si>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</si>
  <si>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</si>
  <si>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</si>
  <si>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</si>
  <si>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</si>
  <si>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</si>
  <si>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</si>
  <si>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</si>
  <si>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</si>
  <si>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</si>
  <si>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</si>
  <si>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</si>
  <si>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</si>
  <si>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</si>
  <si>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</si>
  <si>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</si>
  <si>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</si>
  <si>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</si>
  <si>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</si>
  <si>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</si>
  <si>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</si>
  <si>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</si>
  <si>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</si>
  <si>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</si>
  <si>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</si>
  <si>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</si>
  <si>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</si>
  <si>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</si>
  <si>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</si>
  <si>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</si>
  <si>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</si>
  <si>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</si>
  <si>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</si>
  <si>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</si>
  <si>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</si>
  <si>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</si>
  <si>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</si>
  <si>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</si>
  <si>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</si>
  <si>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</si>
  <si>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</si>
  <si>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</si>
  <si>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</si>
  <si>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</si>
  <si>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</si>
  <si>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</si>
  <si>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</si>
  <si>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</si>
  <si>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</si>
  <si>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</si>
  <si>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</si>
  <si>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</si>
  <si>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</si>
  <si>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</si>
  <si>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</si>
  <si>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</si>
  <si>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</si>
  <si>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</si>
  <si>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</si>
  <si>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</si>
  <si>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</si>
  <si>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</si>
  <si>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</si>
  <si>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</si>
  <si>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</si>
  <si>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</si>
  <si>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</si>
  <si>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</si>
  <si>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</si>
  <si>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</si>
  <si>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</si>
  <si>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</si>
  <si>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</si>
  <si>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</si>
  <si>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</si>
  <si>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</si>
  <si>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</si>
  <si>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</si>
  <si>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</si>
  <si>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</si>
  <si>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</si>
  <si>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</si>
  <si>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</si>
  <si>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</si>
  <si>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</si>
  <si>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</si>
  <si>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</si>
  <si>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</si>
  <si>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</si>
  <si>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</si>
  <si>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</si>
  <si>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</si>
  <si>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</si>
  <si>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</si>
  <si>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</si>
  <si>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</si>
  <si>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</si>
  <si>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</si>
  <si>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</si>
  <si>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</si>
  <si>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</si>
  <si>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</si>
  <si>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</si>
  <si>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</si>
  <si>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</si>
  <si>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</si>
  <si>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</si>
  <si>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</si>
  <si>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</si>
  <si>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</si>
  <si>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</si>
  <si>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</si>
  <si>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</si>
  <si>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</si>
  <si>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</si>
  <si>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</si>
  <si>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</si>
  <si>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</si>
  <si>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</si>
  <si>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</si>
  <si>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</si>
  <si>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</si>
  <si>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</si>
  <si>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</si>
  <si>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</si>
  <si>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</si>
  <si>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</si>
  <si>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</si>
  <si>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</si>
  <si>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</si>
  <si>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</si>
  <si>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</si>
  <si>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</si>
  <si>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</si>
  <si>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</si>
  <si>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</si>
  <si>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</si>
  <si>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</si>
  <si>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</si>
  <si>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</si>
  <si>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</si>
  <si>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</si>
  <si>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</si>
  <si>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</si>
  <si>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</si>
  <si>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</si>
  <si>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</si>
  <si>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</si>
  <si>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</si>
  <si>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</si>
  <si>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</si>
  <si>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</si>
  <si>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</si>
  <si>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</si>
  <si>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</si>
  <si>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</si>
  <si>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</si>
  <si>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</si>
  <si>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</si>
  <si>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</si>
  <si>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</si>
  <si>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</si>
  <si>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</si>
  <si>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</si>
  <si>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</si>
  <si>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</si>
  <si>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</si>
  <si>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</si>
  <si>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</si>
  <si>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</si>
  <si>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</si>
  <si>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</si>
  <si>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</si>
  <si>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</si>
  <si>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</si>
  <si>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</si>
  <si>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</si>
  <si>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</si>
  <si>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</si>
  <si>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</si>
  <si>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</si>
  <si>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</si>
  <si>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</si>
  <si>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</si>
  <si>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</si>
  <si>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</si>
  <si>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</si>
  <si>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</si>
  <si>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</si>
  <si>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</si>
  <si>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</si>
  <si>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</si>
  <si>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</si>
  <si>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</si>
  <si>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</si>
  <si>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</si>
  <si>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</si>
  <si>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</si>
  <si>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</si>
  <si>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</si>
  <si>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</si>
  <si>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</si>
  <si>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</si>
  <si>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</si>
  <si>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</si>
  <si>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</si>
  <si>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</si>
  <si>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</si>
  <si>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</si>
  <si>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</si>
  <si>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</si>
  <si>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</si>
  <si>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</si>
  <si>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</si>
  <si>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</si>
  <si>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</si>
  <si>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</si>
  <si>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</si>
  <si>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</si>
  <si>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</si>
  <si>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</si>
  <si>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</si>
  <si>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</si>
  <si>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</si>
  <si>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</si>
  <si>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</si>
  <si>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</si>
  <si>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</si>
  <si>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</si>
  <si>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</si>
  <si>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</si>
  <si>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</si>
  <si>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</si>
  <si>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</si>
  <si>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</si>
  <si>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</si>
  <si>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</si>
  <si>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</si>
  <si>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</si>
  <si>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</si>
  <si>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</si>
  <si>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</si>
  <si>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</si>
  <si>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</si>
  <si>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</si>
  <si>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</si>
  <si>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</si>
  <si>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</si>
  <si>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</si>
  <si>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</si>
  <si>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</si>
  <si>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</si>
  <si>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</si>
  <si>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</si>
  <si>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</si>
  <si>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</si>
  <si>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</si>
  <si>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</si>
  <si>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</si>
  <si>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</si>
  <si>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</si>
  <si>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</si>
  <si>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</si>
  <si>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</si>
  <si>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</si>
  <si>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</si>
  <si>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</si>
  <si>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</si>
  <si>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</si>
  <si>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</si>
  <si>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</si>
  <si>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</si>
  <si>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</si>
  <si>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</si>
  <si>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</si>
  <si>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</si>
  <si>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</si>
  <si>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</si>
  <si>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</si>
  <si>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</si>
  <si>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</si>
  <si>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</si>
  <si>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</si>
  <si>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</si>
  <si>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</si>
  <si>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</si>
  <si>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</si>
  <si>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</si>
  <si>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</si>
  <si>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</si>
  <si>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</si>
  <si>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</si>
  <si>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</si>
  <si>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</si>
  <si>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</si>
  <si>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</si>
  <si>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</si>
  <si>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</si>
  <si>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</si>
  <si>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</si>
  <si>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</si>
  <si>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</si>
  <si>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</si>
  <si>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</si>
  <si>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</si>
  <si>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</si>
  <si>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</si>
  <si>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</si>
  <si>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</si>
  <si>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</si>
  <si>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</si>
  <si>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</si>
  <si>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</si>
  <si>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</si>
  <si>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</si>
  <si>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</si>
  <si>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</si>
  <si>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</si>
  <si>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</si>
  <si>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</si>
  <si>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</si>
  <si>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</si>
  <si>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</si>
  <si>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</si>
  <si>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</si>
  <si>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</si>
  <si>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</si>
  <si>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</si>
  <si>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</si>
  <si>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</si>
  <si>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</si>
  <si>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</si>
  <si>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</si>
  <si>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</si>
  <si>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</si>
  <si>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</si>
  <si>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</si>
  <si>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</si>
  <si>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</si>
  <si>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</si>
  <si>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</si>
  <si>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</si>
  <si>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</si>
  <si>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</si>
  <si>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</si>
  <si>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</si>
  <si>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</si>
  <si>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</si>
  <si>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</si>
  <si>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</si>
  <si>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</si>
  <si>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</si>
  <si>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</si>
  <si>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</si>
  <si>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</si>
  <si>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</si>
  <si>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</si>
  <si>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</si>
  <si>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</si>
  <si>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</si>
  <si>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</si>
  <si>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</si>
  <si>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</si>
  <si>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</si>
  <si>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</si>
  <si>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</si>
  <si>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</si>
  <si>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</si>
  <si>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</si>
  <si>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</si>
  <si>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</si>
  <si>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</si>
  <si>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</si>
  <si>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</si>
  <si>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</si>
  <si>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</si>
  <si>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</si>
  <si>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</si>
  <si>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</si>
  <si>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</si>
  <si>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</si>
  <si>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</si>
  <si>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</si>
  <si>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</si>
  <si>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</si>
  <si>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</si>
  <si>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</si>
  <si>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</si>
  <si>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</si>
  <si>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</si>
  <si>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</si>
  <si>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</si>
  <si>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</si>
  <si>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</si>
  <si>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</si>
  <si>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</si>
  <si>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</si>
  <si>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</si>
  <si>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</si>
  <si>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</si>
  <si>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</si>
  <si>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</si>
  <si>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</si>
  <si>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</si>
  <si>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</si>
  <si>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</si>
  <si>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</si>
  <si>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</si>
  <si>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</si>
  <si>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</si>
  <si>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</si>
  <si>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</si>
  <si>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</si>
  <si>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</si>
  <si>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</si>
  <si>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</si>
  <si>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</si>
  <si>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</si>
  <si>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</si>
  <si>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</si>
  <si>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</si>
  <si>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</si>
  <si>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</si>
  <si>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</si>
  <si>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</si>
  <si>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</si>
  <si>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</si>
  <si>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</si>
  <si>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</si>
  <si>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</si>
  <si>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</si>
  <si>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</si>
  <si>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</si>
  <si>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</si>
  <si>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</si>
  <si>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</si>
  <si>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</si>
  <si>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</si>
  <si>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</si>
  <si>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</si>
  <si>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</si>
  <si>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</si>
  <si>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</si>
  <si>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</si>
  <si>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</si>
  <si>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</si>
  <si>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</si>
  <si>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</si>
  <si>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</si>
  <si>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</si>
  <si>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</si>
  <si>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</si>
  <si>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</si>
  <si>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</si>
  <si>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</si>
  <si>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</si>
  <si>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</si>
  <si>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</si>
  <si>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</si>
  <si>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</si>
  <si>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</si>
  <si>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</si>
  <si>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</si>
  <si>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</si>
  <si>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</si>
  <si>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</si>
  <si>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</si>
  <si>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</si>
  <si>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</si>
  <si>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</si>
  <si>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</si>
  <si>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</si>
  <si>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</si>
  <si>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</si>
  <si>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</si>
  <si>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</si>
  <si>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</si>
  <si>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</si>
  <si>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</si>
  <si>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</si>
  <si>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</si>
  <si>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</si>
  <si>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</si>
  <si>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</si>
  <si>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</si>
  <si>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</si>
  <si>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</si>
  <si>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</si>
  <si>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</si>
  <si>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</si>
  <si>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</si>
  <si>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</si>
  <si>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</si>
  <si>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</si>
  <si>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</si>
  <si>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</si>
  <si>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</si>
  <si>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</si>
  <si>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</si>
  <si>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</si>
  <si>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</si>
  <si>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</si>
  <si>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</si>
  <si>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</si>
  <si>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</si>
  <si>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</si>
  <si>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</si>
  <si>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</si>
  <si>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</si>
  <si>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</si>
  <si>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</si>
  <si>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</si>
  <si>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</si>
  <si>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</si>
  <si>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</si>
  <si>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</si>
  <si>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</si>
  <si>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</si>
  <si>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</si>
  <si>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</si>
  <si>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</si>
  <si>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</si>
  <si>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</si>
  <si>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</si>
  <si>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</si>
  <si>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</si>
  <si>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</si>
  <si>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</si>
  <si>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</si>
  <si>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</si>
  <si>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</si>
  <si>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</si>
  <si>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</si>
  <si>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</si>
  <si>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</si>
  <si>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</si>
  <si>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</si>
  <si>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</si>
  <si>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</si>
  <si>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</si>
  <si>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</si>
  <si>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</si>
  <si>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</si>
  <si>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</si>
  <si>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</si>
  <si>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</si>
  <si>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</si>
  <si>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</si>
  <si>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</si>
  <si>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</si>
  <si>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</si>
  <si>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</si>
  <si>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</si>
  <si>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</si>
  <si>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</si>
  <si>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</si>
  <si>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</si>
  <si>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</si>
  <si>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</si>
  <si>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</si>
  <si>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</si>
  <si>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</si>
  <si>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</si>
  <si>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</si>
  <si>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</si>
  <si>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</si>
  <si>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</si>
  <si>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</si>
  <si>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</si>
  <si>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</si>
  <si>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 xml:space="preserve">31891 De Wilde Dimitry </t>
  </si>
  <si>
    <t xml:space="preserve">40278 Ates Firat </t>
  </si>
  <si>
    <t xml:space="preserve">42082 Ahmad Othman </t>
  </si>
  <si>
    <t xml:space="preserve">12124 Van Vliet Tom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</si>
</sst>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NumberFormat="1"/>
    <xf numFmtId="0" fontId="0" fillId="0" borderId="0" xfId="0" applyFill="1" applyAlignment="1">
      <alignment horizontal="center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101"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100"/>
    <tableColumn id="2" xr3:uid="{B49F914A-1FEE-4A75-9CD6-E94916B19C46}" name="Coaching rijschool" dataDxfId="99"/>
    <tableColumn id="3" xr3:uid="{7B74AF4D-F69C-4007-A6A0-421FFFF384B0}" name="aanvraagsdatum" dataDxfId="98"/>
    <tableColumn id="4" xr3:uid="{8AC34D33-B5AC-45FC-9CA7-A867F963543A}" name="P-nr" dataDxfId="97"/>
    <tableColumn id="5" xr3:uid="{F4EF036B-C2F8-4026-A2A9-AD2B883FBCA0}" name="Naam" dataDxfId="96"/>
    <tableColumn id="6" xr3:uid="{35DA4508-064A-468B-B6AB-413C038B8A1C}" name="Voornaam" dataDxfId="95"/>
    <tableColumn id="7" xr3:uid="{1DF84F60-8CE2-4D75-A697-8993441A24AE}" name="Volledige naam" dataDxfId="9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93"/>
    <tableColumn id="9" xr3:uid="{55439308-91C5-4F17-A0C7-B1F6312B9742}" name="Teamcoach" dataDxfId="92"/>
    <tableColumn id="10" xr3:uid="{2D4A733F-4F63-4CA5-BD3C-7B49FC1F3FFF}" name="Rooster" dataDxfId="91"/>
    <tableColumn id="11" xr3:uid="{61C0CBEA-E79D-414F-8B84-D7AED8AC3B32}" name="Opmerkingen" dataDxfId="90"/>
    <tableColumn id="12" xr3:uid="{456ABA1C-1C62-4168-AD5C-BFD9C05C8542}" name="Bus/Tram" dataDxfId="8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88" tableBorderDxfId="8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86"/>
    <tableColumn id="3" xr3:uid="{52A951B9-B59E-44E6-8A45-E1DDDAE59F2B}" name="P-nr" dataDxfId="85"/>
    <tableColumn id="4" xr3:uid="{BD9BF6D0-9641-488E-9B97-616DB79C04E7}" name="Naam" dataDxfId="84">
      <calculatedColumnFormula>VLOOKUP(Tabel3[[#This Row],[P-nr]],'data Chauffeur'!A:F,2,FALSE)</calculatedColumnFormula>
    </tableColumn>
    <tableColumn id="5" xr3:uid="{73FB442E-689C-47F2-A972-8C747CA4D1FE}" name="Voornaam" dataDxfId="83">
      <calculatedColumnFormula>VLOOKUP(Tabel3[[#This Row],[P-nr]],'data Chauffeur'!A:F,3,FALSE)</calculatedColumnFormula>
    </tableColumn>
    <tableColumn id="19" xr3:uid="{0E7C4C2C-8FAF-4AF8-B74A-A795E82D70BF}" name="volledige naam" dataDxfId="8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81">
      <calculatedColumnFormula>VLOOKUP(Tabel3[[#This Row],[P-nr]],'data Chauffeur'!A:F,6)</calculatedColumnFormula>
    </tableColumn>
    <tableColumn id="7" xr3:uid="{2B5863C0-7E79-493F-9444-D5813C7509BD}" name="Teamcoach" dataDxfId="8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79"/>
    <tableColumn id="10" xr3:uid="{FD8BD468-4F49-4A26-BDC9-C5D447E8B706}" name="Bus/Tram" dataDxfId="78"/>
    <tableColumn id="11" xr3:uid="{765E0419-27CF-4DAE-B015-F02637B854A5}" name="Instructeur" dataDxfId="77"/>
    <tableColumn id="12" xr3:uid="{7EA98E72-E042-4EC4-B413-6AE982845CBC}" name="Datum coaching" dataDxfId="76"/>
    <tableColumn id="13" xr3:uid="{E8F2DBEE-8058-4D04-9096-2337D0AACDE1}" name="Werkpunten 1" dataDxfId="7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74" tableBorderDxfId="73">
  <autoFilter ref="A1:B9" xr:uid="{5069B2ED-DA4E-49BE-95FC-145C55EFE18A}"/>
  <tableColumns count="2">
    <tableColumn id="1" xr3:uid="{E1CCD3C9-4705-4AD5-BC57-858AF9DED01A}" name="Ingepland" dataDxfId="72">
      <calculatedColumnFormula>COUNTIF(Coaching!#REF!,B2)</calculatedColumnFormula>
    </tableColumn>
    <tableColumn id="2" xr3:uid="{7123B93F-DC90-4741-9407-C3AA2A7BE734}" name="Teamcoach" dataDxfId="7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70">
      <calculatedColumnFormula>COUNTIF('Voltooide coachings'!G:G,Tabel1[[#This Row],[Teamcoach]])</calculatedColumnFormula>
    </tableColumn>
    <tableColumn id="2" xr3:uid="{E5C53CA5-6DE4-400B-937E-6E61F5467E68}" name="teamcoach" dataDxfId="6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opLeftCell="A65" zoomScale="90" zoomScaleNormal="90" workbookViewId="0">
      <selection activeCell="D87" sqref="D87:D88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style="52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s="5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 s="5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 s="52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 s="52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 s="52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 s="52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 s="52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 s="52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 s="52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 s="52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 s="52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 s="5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 s="52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 s="52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 s="52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 s="52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25">
      <c r="A17" s="2" t="s">
        <v>31</v>
      </c>
      <c r="B17" s="2" t="s">
        <v>31</v>
      </c>
      <c r="C17" s="11">
        <v>45959</v>
      </c>
      <c r="D17" s="52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25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25">
      <c r="C19" s="11">
        <v>45721</v>
      </c>
      <c r="D19" s="52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25">
      <c r="C20" s="11">
        <v>45721</v>
      </c>
      <c r="D20" s="52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25">
      <c r="C21" s="11">
        <v>45721</v>
      </c>
      <c r="D21" s="52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25">
      <c r="C22" s="11">
        <v>45721</v>
      </c>
      <c r="D22" s="5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25">
      <c r="C23" s="11">
        <v>45721</v>
      </c>
      <c r="D23" s="52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25">
      <c r="C24" s="11">
        <v>45727</v>
      </c>
      <c r="D24" s="52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25">
      <c r="C25" s="11">
        <v>45727</v>
      </c>
      <c r="D25" s="52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ht="30" x14ac:dyDescent="0.25">
      <c r="C26" s="11">
        <v>45729</v>
      </c>
      <c r="D26" s="52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25">
      <c r="C27" s="11">
        <v>45736</v>
      </c>
      <c r="D27" s="52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25">
      <c r="C28" s="11">
        <v>45736</v>
      </c>
      <c r="D28" s="52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 x14ac:dyDescent="0.25">
      <c r="C29" s="11">
        <v>45736</v>
      </c>
      <c r="D29" s="52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25">
      <c r="C30" s="11">
        <v>45736</v>
      </c>
      <c r="D30" s="52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 x14ac:dyDescent="0.25">
      <c r="C31" s="11">
        <v>45736</v>
      </c>
      <c r="D31" s="52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25">
      <c r="C32" s="11">
        <v>45743</v>
      </c>
      <c r="D32" s="5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25">
      <c r="B33" s="2" t="s">
        <v>31</v>
      </c>
      <c r="C33" s="11">
        <v>45744</v>
      </c>
      <c r="D33" s="52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8" x14ac:dyDescent="0.25">
      <c r="C34" s="11">
        <v>45749</v>
      </c>
      <c r="D34" s="52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8" x14ac:dyDescent="0.25">
      <c r="C35" s="11">
        <v>45749</v>
      </c>
      <c r="D35" s="52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8" x14ac:dyDescent="0.25">
      <c r="C36" s="11">
        <v>45771</v>
      </c>
      <c r="D36" s="52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80</v>
      </c>
      <c r="N36" s="11">
        <v>45966</v>
      </c>
      <c r="O36" t="s">
        <v>59</v>
      </c>
      <c r="Q36" t="s">
        <v>61</v>
      </c>
      <c r="R36" t="s">
        <v>54</v>
      </c>
    </row>
    <row r="37" spans="1:18" x14ac:dyDescent="0.25">
      <c r="C37" s="11">
        <v>45772</v>
      </c>
      <c r="D37" s="52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25">
      <c r="A38" s="2" t="s">
        <v>31</v>
      </c>
      <c r="B38" s="2" t="s">
        <v>31</v>
      </c>
      <c r="C38" s="11">
        <v>45792</v>
      </c>
      <c r="D38" s="52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25">
      <c r="A39" s="2" t="s">
        <v>31</v>
      </c>
      <c r="B39" s="2" t="s">
        <v>31</v>
      </c>
      <c r="C39" s="11">
        <v>45793</v>
      </c>
      <c r="D39" s="52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25">
      <c r="A40" s="2" t="s">
        <v>31</v>
      </c>
      <c r="C40" s="11">
        <v>45796</v>
      </c>
      <c r="D40" s="52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8" x14ac:dyDescent="0.25">
      <c r="C41" s="11">
        <v>45813</v>
      </c>
      <c r="D41" s="52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25">
      <c r="C42" s="11">
        <v>45840</v>
      </c>
      <c r="D42" s="5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39</v>
      </c>
      <c r="N42" s="11"/>
    </row>
    <row r="43" spans="1:18" x14ac:dyDescent="0.25">
      <c r="C43" s="11">
        <v>45849</v>
      </c>
      <c r="D43" s="52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39</v>
      </c>
      <c r="N43" s="11"/>
    </row>
    <row r="44" spans="1:18" x14ac:dyDescent="0.25">
      <c r="C44" s="11">
        <v>45853</v>
      </c>
      <c r="D44" s="52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43</v>
      </c>
      <c r="L44" s="2" t="s">
        <v>38</v>
      </c>
    </row>
    <row r="45" spans="1:18" x14ac:dyDescent="0.25">
      <c r="C45" s="11">
        <v>45868</v>
      </c>
      <c r="D45" s="52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49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39</v>
      </c>
    </row>
    <row r="46" spans="1:18" x14ac:dyDescent="0.25">
      <c r="C46" s="11">
        <v>45870</v>
      </c>
      <c r="D46" s="52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39</v>
      </c>
      <c r="L46" s="2" t="s">
        <v>11</v>
      </c>
    </row>
    <row r="47" spans="1:18" x14ac:dyDescent="0.25">
      <c r="C47" s="11">
        <v>45881</v>
      </c>
      <c r="D47" s="52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39</v>
      </c>
    </row>
    <row r="48" spans="1:18" x14ac:dyDescent="0.25">
      <c r="C48" s="11">
        <v>45883</v>
      </c>
      <c r="D48" s="52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49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39</v>
      </c>
      <c r="N48" s="11"/>
    </row>
    <row r="49" spans="3:11" x14ac:dyDescent="0.25">
      <c r="C49" s="11">
        <v>45898</v>
      </c>
      <c r="D49" s="52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39</v>
      </c>
    </row>
    <row r="50" spans="3:11" x14ac:dyDescent="0.25">
      <c r="C50" s="11">
        <v>45898</v>
      </c>
      <c r="D50" s="52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39</v>
      </c>
    </row>
    <row r="51" spans="3:11" x14ac:dyDescent="0.25">
      <c r="C51" s="11">
        <v>45898</v>
      </c>
      <c r="D51" s="52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39</v>
      </c>
    </row>
    <row r="52" spans="3:11" x14ac:dyDescent="0.25">
      <c r="C52" s="11">
        <v>45898</v>
      </c>
      <c r="D52" s="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3:11" x14ac:dyDescent="0.25">
      <c r="C53" s="11">
        <v>45898</v>
      </c>
      <c r="D53" s="52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3:11" x14ac:dyDescent="0.25">
      <c r="C54" s="11">
        <v>45898</v>
      </c>
      <c r="D54" s="52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39</v>
      </c>
    </row>
    <row r="55" spans="3:11" x14ac:dyDescent="0.25">
      <c r="C55" s="11">
        <v>45898</v>
      </c>
      <c r="D55" s="52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39</v>
      </c>
    </row>
    <row r="56" spans="3:11" x14ac:dyDescent="0.25">
      <c r="C56" s="11">
        <v>45898</v>
      </c>
      <c r="D56" s="52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39</v>
      </c>
    </row>
    <row r="57" spans="3:11" x14ac:dyDescent="0.25">
      <c r="C57" s="11">
        <v>45898</v>
      </c>
      <c r="D57" s="52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39</v>
      </c>
    </row>
    <row r="58" spans="3:11" x14ac:dyDescent="0.25">
      <c r="C58" s="11">
        <v>45898</v>
      </c>
      <c r="D58" s="52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49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39</v>
      </c>
    </row>
    <row r="59" spans="3:11" x14ac:dyDescent="0.25">
      <c r="C59" s="11">
        <v>45898</v>
      </c>
      <c r="D59" s="52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1" x14ac:dyDescent="0.25">
      <c r="C60" s="11">
        <v>45898</v>
      </c>
      <c r="D60" s="52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49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39</v>
      </c>
    </row>
    <row r="61" spans="3:11" x14ac:dyDescent="0.25">
      <c r="C61" s="11">
        <v>45898</v>
      </c>
      <c r="D61" s="52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49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39</v>
      </c>
    </row>
    <row r="62" spans="3:11" x14ac:dyDescent="0.25">
      <c r="C62" s="11">
        <v>45898</v>
      </c>
      <c r="D62" s="5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49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39</v>
      </c>
    </row>
    <row r="63" spans="3:11" x14ac:dyDescent="0.25">
      <c r="C63" s="11">
        <v>45898</v>
      </c>
      <c r="D63" s="52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49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39</v>
      </c>
    </row>
    <row r="64" spans="3:11" x14ac:dyDescent="0.25">
      <c r="C64" s="11">
        <v>45898</v>
      </c>
      <c r="D64" s="52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49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39</v>
      </c>
    </row>
    <row r="65" spans="1:14" x14ac:dyDescent="0.25">
      <c r="C65" s="11">
        <v>45898</v>
      </c>
      <c r="D65" s="52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49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39</v>
      </c>
      <c r="M65" t="s">
        <v>80</v>
      </c>
      <c r="N65" s="11">
        <v>45966</v>
      </c>
    </row>
    <row r="66" spans="1:14" x14ac:dyDescent="0.25">
      <c r="C66" s="11">
        <v>45898</v>
      </c>
      <c r="D66" s="52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49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39</v>
      </c>
    </row>
    <row r="67" spans="1:14" ht="60" x14ac:dyDescent="0.25">
      <c r="C67" s="11">
        <v>45903</v>
      </c>
      <c r="D67" s="52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49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38</v>
      </c>
    </row>
    <row r="68" spans="1:14" ht="45" x14ac:dyDescent="0.25">
      <c r="A68" s="2" t="s">
        <v>31</v>
      </c>
      <c r="C68" s="11">
        <v>45910</v>
      </c>
      <c r="D68" s="52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49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1183</v>
      </c>
      <c r="L68" s="2" t="s">
        <v>23</v>
      </c>
    </row>
    <row r="69" spans="1:14" x14ac:dyDescent="0.25">
      <c r="C69" s="11">
        <v>45911</v>
      </c>
      <c r="D69" s="52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49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39</v>
      </c>
    </row>
    <row r="70" spans="1:14" x14ac:dyDescent="0.25">
      <c r="C70" s="11">
        <v>45917</v>
      </c>
      <c r="D70" s="52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39</v>
      </c>
    </row>
    <row r="71" spans="1:14" x14ac:dyDescent="0.25">
      <c r="C71" s="11">
        <v>45917</v>
      </c>
      <c r="D71" s="52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49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39</v>
      </c>
    </row>
    <row r="72" spans="1:14" x14ac:dyDescent="0.25">
      <c r="C72" s="11">
        <v>45917</v>
      </c>
      <c r="D72" s="5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49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39</v>
      </c>
    </row>
    <row r="73" spans="1:14" x14ac:dyDescent="0.25">
      <c r="C73" s="11">
        <v>45926</v>
      </c>
      <c r="D73" s="52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39</v>
      </c>
    </row>
    <row r="74" spans="1:14" x14ac:dyDescent="0.25">
      <c r="C74" s="11">
        <v>45941</v>
      </c>
      <c r="D74" s="52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51</v>
      </c>
      <c r="N74" s="11"/>
    </row>
    <row r="75" spans="1:14" x14ac:dyDescent="0.25">
      <c r="C75" s="11">
        <v>45945</v>
      </c>
      <c r="D75" s="52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49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39</v>
      </c>
    </row>
    <row r="76" spans="1:14" x14ac:dyDescent="0.25">
      <c r="C76" s="11">
        <v>45950</v>
      </c>
      <c r="D76" s="52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49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30" x14ac:dyDescent="0.25">
      <c r="C77" s="11">
        <v>45954</v>
      </c>
      <c r="D77" s="52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49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1182</v>
      </c>
      <c r="N77" s="11"/>
    </row>
    <row r="78" spans="1:14" x14ac:dyDescent="0.25">
      <c r="C78" s="11">
        <v>45966</v>
      </c>
      <c r="D78" s="52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74</v>
      </c>
      <c r="N78" s="11"/>
    </row>
    <row r="79" spans="1:14" x14ac:dyDescent="0.25">
      <c r="C79" s="11">
        <v>45966</v>
      </c>
      <c r="D79" s="52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74</v>
      </c>
      <c r="N79" s="11"/>
    </row>
    <row r="80" spans="1:14" x14ac:dyDescent="0.25">
      <c r="C80" s="11">
        <v>45966</v>
      </c>
      <c r="D80" s="52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49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74</v>
      </c>
      <c r="N80" s="11"/>
    </row>
    <row r="81" spans="3:18" x14ac:dyDescent="0.25">
      <c r="C81" s="11">
        <v>45966</v>
      </c>
      <c r="D81" s="52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49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74</v>
      </c>
      <c r="N81" s="11"/>
    </row>
    <row r="82" spans="3:18" x14ac:dyDescent="0.25">
      <c r="C82" s="11">
        <v>45966</v>
      </c>
      <c r="D82" s="5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49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74</v>
      </c>
      <c r="N82" s="11"/>
    </row>
    <row r="83" spans="3:18" x14ac:dyDescent="0.25">
      <c r="C83" s="11">
        <v>45966</v>
      </c>
      <c r="D83" s="52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49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74</v>
      </c>
      <c r="N83" s="11"/>
    </row>
    <row r="84" spans="3:18" x14ac:dyDescent="0.25">
      <c r="C84" s="11">
        <v>45966</v>
      </c>
      <c r="D84" s="52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49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74</v>
      </c>
      <c r="N84" s="11"/>
    </row>
    <row r="85" spans="3:18" x14ac:dyDescent="0.25">
      <c r="C85" s="11">
        <v>45966</v>
      </c>
      <c r="D85" s="52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49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74</v>
      </c>
      <c r="N85" s="11"/>
    </row>
    <row r="86" spans="3:18" x14ac:dyDescent="0.25">
      <c r="C86" s="11">
        <v>45966</v>
      </c>
      <c r="D86" s="52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49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138</v>
      </c>
      <c r="L86" s="2" t="s">
        <v>23</v>
      </c>
      <c r="M86" t="s">
        <v>198</v>
      </c>
      <c r="N86" s="11">
        <v>45966</v>
      </c>
      <c r="O86" t="s">
        <v>65</v>
      </c>
      <c r="P86" t="s">
        <v>202</v>
      </c>
      <c r="Q86" t="s">
        <v>53</v>
      </c>
      <c r="R86" t="s">
        <v>54</v>
      </c>
    </row>
    <row r="87" spans="3:18" x14ac:dyDescent="0.25">
      <c r="C87" s="11">
        <v>45966</v>
      </c>
      <c r="D87" s="52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49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138</v>
      </c>
      <c r="L87" s="2" t="s">
        <v>38</v>
      </c>
      <c r="M87" t="s">
        <v>198</v>
      </c>
      <c r="N87" s="11">
        <v>45966</v>
      </c>
      <c r="O87" t="s">
        <v>65</v>
      </c>
      <c r="P87" t="s">
        <v>204</v>
      </c>
      <c r="Q87" t="s">
        <v>53</v>
      </c>
      <c r="R87" t="s">
        <v>54</v>
      </c>
    </row>
    <row r="88" spans="3:18" x14ac:dyDescent="0.25">
      <c r="C88" s="11">
        <v>45966</v>
      </c>
      <c r="D88" s="52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49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138</v>
      </c>
      <c r="L88" s="2" t="s">
        <v>38</v>
      </c>
      <c r="M88" t="s">
        <v>198</v>
      </c>
      <c r="N88" s="11">
        <v>45966</v>
      </c>
      <c r="O88" t="s">
        <v>65</v>
      </c>
      <c r="P88" t="s">
        <v>204</v>
      </c>
      <c r="Q88" t="s">
        <v>53</v>
      </c>
      <c r="R88" t="s">
        <v>54</v>
      </c>
    </row>
    <row r="89" spans="3:18" x14ac:dyDescent="0.25">
      <c r="C89" s="11">
        <v>45966</v>
      </c>
      <c r="D89" s="52">
        <v>12124</v>
      </c>
      <c r="E89" s="53" t="s">
        <v>1043</v>
      </c>
      <c r="F89" s="53" t="s">
        <v>559</v>
      </c>
      <c r="G89" s="53" t="str">
        <f>_xlfn.CONCAT(Tabel2[[#This Row],[P-nr]]," ",Tabel2[[#This Row],[Naam]]," ",Tabel2[[#This Row],[Voornaam]]," ",)</f>
        <v xml:space="preserve">12124 Van Vliet Tom </v>
      </c>
      <c r="H89" s="53" t="s">
        <v>49</v>
      </c>
      <c r="I89" s="53"/>
      <c r="J89" s="53"/>
      <c r="K89" s="8" t="s">
        <v>138</v>
      </c>
      <c r="L89" s="2" t="s">
        <v>23</v>
      </c>
      <c r="M89" t="s">
        <v>198</v>
      </c>
      <c r="N89" s="11">
        <v>45966</v>
      </c>
      <c r="O89" t="s">
        <v>65</v>
      </c>
      <c r="P89" t="s">
        <v>65</v>
      </c>
      <c r="Q89" t="s">
        <v>61</v>
      </c>
      <c r="R89" t="s">
        <v>54</v>
      </c>
    </row>
  </sheetData>
  <phoneticPr fontId="3" type="noConversion"/>
  <conditionalFormatting sqref="A1:B1048576">
    <cfRule type="containsText" dxfId="68" priority="45" operator="containsText" text="ja">
      <formula>NOT(ISERROR(SEARCH("ja",A1)))</formula>
    </cfRule>
  </conditionalFormatting>
  <conditionalFormatting sqref="D6">
    <cfRule type="containsText" dxfId="67" priority="3" operator="containsText" text="ja">
      <formula>NOT(ISERROR(SEARCH("ja",D6)))</formula>
    </cfRule>
  </conditionalFormatting>
  <conditionalFormatting sqref="D94:D1048576 D7:D92 D1:D5">
    <cfRule type="duplicateValues" dxfId="66" priority="587"/>
  </conditionalFormatting>
  <conditionalFormatting sqref="Q1:Q1048576">
    <cfRule type="containsText" dxfId="65" priority="46" operator="containsText" text="zeer slecht">
      <formula>NOT(ISERROR(SEARCH("zeer slecht",Q1)))</formula>
    </cfRule>
    <cfRule type="containsText" dxfId="64" priority="47" operator="containsText" text="slecht">
      <formula>NOT(ISERROR(SEARCH("slecht",Q1)))</formula>
    </cfRule>
    <cfRule type="containsText" dxfId="63" priority="48" operator="containsText" text="onvoldoende">
      <formula>NOT(ISERROR(SEARCH("onvoldoende",Q1)))</formula>
    </cfRule>
    <cfRule type="containsText" dxfId="62" priority="49" operator="containsText" text="voldoende">
      <formula>NOT(ISERROR(SEARCH("voldoende",Q1)))</formula>
    </cfRule>
    <cfRule type="containsText" dxfId="61" priority="50" operator="containsText" text="goed">
      <formula>NOT(ISERROR(SEARCH("goed",Q1)))</formula>
    </cfRule>
    <cfRule type="containsText" dxfId="6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25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75" x14ac:dyDescent="0.25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25">
      <c r="A213" s="52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25">
      <c r="A214" s="52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25">
      <c r="A215" s="52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25">
      <c r="A216" s="52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O216" t="s">
        <v>84</v>
      </c>
      <c r="P216" t="s">
        <v>54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48</v>
      </c>
      <c r="J217" s="8" t="s">
        <v>79</v>
      </c>
      <c r="K217" s="30" t="s">
        <v>80</v>
      </c>
      <c r="L217" s="37">
        <v>45966</v>
      </c>
      <c r="M217" s="30" t="s">
        <v>65</v>
      </c>
      <c r="O217" t="s">
        <v>84</v>
      </c>
      <c r="P217" t="s">
        <v>54</v>
      </c>
    </row>
    <row r="218" spans="1:18" x14ac:dyDescent="0.25">
      <c r="A218" s="52"/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138</v>
      </c>
      <c r="J218" s="8" t="s">
        <v>38</v>
      </c>
      <c r="K218" s="30" t="s">
        <v>198</v>
      </c>
      <c r="L218" s="43">
        <v>45965</v>
      </c>
      <c r="M218" s="30" t="s">
        <v>65</v>
      </c>
      <c r="N218" t="s">
        <v>202</v>
      </c>
      <c r="O218" t="s">
        <v>53</v>
      </c>
      <c r="P218" t="s">
        <v>54</v>
      </c>
    </row>
    <row r="219" spans="1:18" x14ac:dyDescent="0.25">
      <c r="A219" s="52"/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138</v>
      </c>
      <c r="J219" s="8" t="s">
        <v>23</v>
      </c>
      <c r="K219" s="30" t="s">
        <v>198</v>
      </c>
      <c r="L219" s="43">
        <v>45965</v>
      </c>
      <c r="M219" s="44" t="s">
        <v>56</v>
      </c>
      <c r="O219" t="s">
        <v>36</v>
      </c>
      <c r="P219" t="s">
        <v>31</v>
      </c>
    </row>
    <row r="220" spans="1:18" x14ac:dyDescent="0.25">
      <c r="A220" s="52"/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138</v>
      </c>
      <c r="J220" s="8" t="s">
        <v>23</v>
      </c>
      <c r="K220" s="30" t="s">
        <v>198</v>
      </c>
      <c r="L220" s="43">
        <v>45965</v>
      </c>
      <c r="M220" s="44" t="s">
        <v>56</v>
      </c>
      <c r="O220" t="s">
        <v>149</v>
      </c>
    </row>
    <row r="221" spans="1:18" x14ac:dyDescent="0.25">
      <c r="A221" s="52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138</v>
      </c>
      <c r="J221" s="8" t="s">
        <v>38</v>
      </c>
      <c r="K221" t="s">
        <v>198</v>
      </c>
      <c r="L221" s="43">
        <v>45965</v>
      </c>
      <c r="M221" s="44" t="s">
        <v>65</v>
      </c>
      <c r="N221" t="s">
        <v>202</v>
      </c>
      <c r="O221" t="s">
        <v>84</v>
      </c>
    </row>
    <row r="222" spans="1:18" x14ac:dyDescent="0.25">
      <c r="A222" s="52"/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138</v>
      </c>
      <c r="J222" s="8" t="s">
        <v>23</v>
      </c>
      <c r="K222" s="8" t="s">
        <v>198</v>
      </c>
      <c r="L222" s="43">
        <v>45966</v>
      </c>
      <c r="M222" t="s">
        <v>65</v>
      </c>
      <c r="N222" s="44" t="s">
        <v>202</v>
      </c>
      <c r="O222" t="s">
        <v>53</v>
      </c>
      <c r="P222" t="s">
        <v>54</v>
      </c>
    </row>
    <row r="223" spans="1:18" x14ac:dyDescent="0.25">
      <c r="A223" s="52"/>
      <c r="B223" s="52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138</v>
      </c>
      <c r="J223" s="8" t="s">
        <v>38</v>
      </c>
      <c r="K223" s="8" t="s">
        <v>198</v>
      </c>
      <c r="L223" s="43">
        <v>45966</v>
      </c>
      <c r="M223" t="s">
        <v>65</v>
      </c>
      <c r="N223" s="44" t="s">
        <v>204</v>
      </c>
      <c r="O223" t="s">
        <v>53</v>
      </c>
      <c r="P223" t="s">
        <v>54</v>
      </c>
    </row>
    <row r="224" spans="1:18" x14ac:dyDescent="0.25">
      <c r="A224" s="52"/>
      <c r="B224" s="52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138</v>
      </c>
      <c r="J224" s="8" t="s">
        <v>38</v>
      </c>
      <c r="K224" s="8" t="s">
        <v>198</v>
      </c>
      <c r="L224" s="43">
        <v>45966</v>
      </c>
      <c r="M224" t="s">
        <v>65</v>
      </c>
      <c r="N224" s="44" t="s">
        <v>204</v>
      </c>
      <c r="O224" t="s">
        <v>53</v>
      </c>
      <c r="P224" t="s">
        <v>54</v>
      </c>
    </row>
    <row r="225" spans="1:16" x14ac:dyDescent="0.25">
      <c r="A225" s="52"/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138</v>
      </c>
      <c r="J225" s="8" t="s">
        <v>23</v>
      </c>
      <c r="K225" s="8" t="s">
        <v>198</v>
      </c>
      <c r="L225" s="43">
        <v>45966</v>
      </c>
      <c r="M225" t="s">
        <v>65</v>
      </c>
      <c r="N225" s="30" t="s">
        <v>65</v>
      </c>
      <c r="O225" t="s">
        <v>61</v>
      </c>
      <c r="P225" t="s">
        <v>54</v>
      </c>
    </row>
    <row r="226" spans="1:16" x14ac:dyDescent="0.25">
      <c r="A226" s="52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 x14ac:dyDescent="0.25">
      <c r="A227" s="52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 x14ac:dyDescent="0.25">
      <c r="A228" s="52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 x14ac:dyDescent="0.25">
      <c r="A229" s="52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 x14ac:dyDescent="0.25">
      <c r="A230" s="52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 x14ac:dyDescent="0.25">
      <c r="A231" s="52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25">
      <c r="E232" s="30"/>
      <c r="F232" s="30"/>
      <c r="K232" s="30"/>
      <c r="L232" s="11"/>
    </row>
    <row r="233" spans="1:16" x14ac:dyDescent="0.25">
      <c r="A233" s="41"/>
      <c r="E233" s="30"/>
      <c r="F233" s="30"/>
      <c r="K233" s="30"/>
      <c r="L233" s="11"/>
    </row>
    <row r="234" spans="1:16" ht="30" x14ac:dyDescent="0.25">
      <c r="A234" s="39">
        <v>31891</v>
      </c>
      <c r="B234" s="43" t="s">
        <v>770</v>
      </c>
      <c r="C234" s="30" t="s">
        <v>942</v>
      </c>
      <c r="D234" s="30" t="s">
        <v>1184</v>
      </c>
      <c r="E234" s="30" t="s">
        <v>49</v>
      </c>
      <c r="F234" s="30" t="s">
        <v>227</v>
      </c>
      <c r="G234" s="30" t="s">
        <v>943</v>
      </c>
      <c r="H234" t="s">
        <v>138</v>
      </c>
      <c r="I234" s="8" t="s">
        <v>23</v>
      </c>
      <c r="J234" s="8" t="s">
        <v>198</v>
      </c>
      <c r="K234" s="30">
        <v>45966</v>
      </c>
      <c r="L234" t="s">
        <v>65</v>
      </c>
      <c r="M234" s="44" t="s">
        <v>202</v>
      </c>
      <c r="N234" t="s">
        <v>53</v>
      </c>
      <c r="O234" t="s">
        <v>54</v>
      </c>
    </row>
    <row r="235" spans="1:16" ht="30" x14ac:dyDescent="0.25">
      <c r="A235" s="45">
        <v>40278</v>
      </c>
      <c r="B235" s="43" t="s">
        <v>830</v>
      </c>
      <c r="C235" s="30" t="s">
        <v>831</v>
      </c>
      <c r="D235" s="30" t="s">
        <v>1185</v>
      </c>
      <c r="E235" s="30" t="s">
        <v>49</v>
      </c>
      <c r="F235" s="30" t="s">
        <v>176</v>
      </c>
      <c r="G235" s="30" t="s">
        <v>649</v>
      </c>
      <c r="H235" t="s">
        <v>138</v>
      </c>
      <c r="I235" s="8" t="s">
        <v>38</v>
      </c>
      <c r="J235" s="8" t="s">
        <v>198</v>
      </c>
      <c r="K235" s="30">
        <v>45966</v>
      </c>
      <c r="L235" t="s">
        <v>65</v>
      </c>
      <c r="M235" s="44" t="s">
        <v>204</v>
      </c>
      <c r="N235" t="s">
        <v>53</v>
      </c>
      <c r="O235" t="s">
        <v>54</v>
      </c>
    </row>
    <row r="236" spans="1:16" ht="30" x14ac:dyDescent="0.25">
      <c r="A236" s="11">
        <v>42082</v>
      </c>
      <c r="B236" s="43" t="s">
        <v>255</v>
      </c>
      <c r="C236" s="30" t="s">
        <v>928</v>
      </c>
      <c r="D236" s="30" t="s">
        <v>1186</v>
      </c>
      <c r="E236" t="s">
        <v>49</v>
      </c>
      <c r="F236" t="s">
        <v>179</v>
      </c>
      <c r="G236" s="30" t="s">
        <v>649</v>
      </c>
      <c r="H236" t="s">
        <v>138</v>
      </c>
      <c r="I236" s="8" t="s">
        <v>38</v>
      </c>
      <c r="J236" s="8" t="s">
        <v>198</v>
      </c>
      <c r="K236">
        <v>45966</v>
      </c>
      <c r="L236" t="s">
        <v>65</v>
      </c>
      <c r="M236" s="44" t="s">
        <v>204</v>
      </c>
      <c r="N236" t="s">
        <v>53</v>
      </c>
      <c r="O236" t="s">
        <v>54</v>
      </c>
    </row>
    <row r="237" spans="1:16" ht="30" x14ac:dyDescent="0.25">
      <c r="A237">
        <v>12124</v>
      </c>
      <c r="B237" s="41" t="s">
        <v>1043</v>
      </c>
      <c r="C237" s="30" t="s">
        <v>559</v>
      </c>
      <c r="D237" s="30" t="s">
        <v>1187</v>
      </c>
      <c r="E237" t="s">
        <v>49</v>
      </c>
      <c r="H237" t="s">
        <v>138</v>
      </c>
      <c r="I237" s="8" t="s">
        <v>23</v>
      </c>
      <c r="J237" s="8" t="s">
        <v>198</v>
      </c>
      <c r="K237">
        <v>45966</v>
      </c>
      <c r="L237" t="s">
        <v>65</v>
      </c>
      <c r="M237" s="30" t="s">
        <v>65</v>
      </c>
      <c r="N237" t="s">
        <v>61</v>
      </c>
      <c r="O237" t="s">
        <v>54</v>
      </c>
    </row>
    <row r="238" spans="1:16" x14ac:dyDescent="0.25">
      <c r="A238" s="55" t="s">
        <v>172</v>
      </c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</row>
    <row r="239" spans="1:16" x14ac:dyDescent="0.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</row>
    <row r="240" spans="1:16" x14ac:dyDescent="0.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</row>
    <row r="241" spans="1:16" x14ac:dyDescent="0.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</row>
    <row r="242" spans="1:16" x14ac:dyDescent="0.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</row>
  </sheetData>
  <mergeCells count="1">
    <mergeCell ref="A238:P242"/>
  </mergeCells>
  <phoneticPr fontId="3" type="noConversion"/>
  <conditionalFormatting sqref="A1:A238 A243:A1048576">
    <cfRule type="cellIs" dxfId="29" priority="353" operator="equal">
      <formula>"ja"</formula>
    </cfRule>
  </conditionalFormatting>
  <conditionalFormatting sqref="B219:B221 B226:B231">
    <cfRule type="duplicateValues" dxfId="28" priority="9"/>
  </conditionalFormatting>
  <conditionalFormatting sqref="N208:N217">
    <cfRule type="duplicateValues" dxfId="27" priority="16"/>
  </conditionalFormatting>
  <conditionalFormatting sqref="N212:N217 O1:O197 O243:O1048576">
    <cfRule type="cellIs" dxfId="26" priority="732" operator="equal">
      <formula>"zeer goed"</formula>
    </cfRule>
    <cfRule type="cellIs" dxfId="25" priority="733" operator="equal">
      <formula>"Goed"</formula>
    </cfRule>
    <cfRule type="cellIs" dxfId="24" priority="734" operator="equal">
      <formula>"onvoldoende"</formula>
    </cfRule>
    <cfRule type="cellIs" dxfId="23" priority="735" operator="equal">
      <formula>"slecht"</formula>
    </cfRule>
    <cfRule type="cellIs" dxfId="22" priority="736" operator="equal">
      <formula>"zeer slecht"</formula>
    </cfRule>
  </conditionalFormatting>
  <conditionalFormatting sqref="N208:N211 O204:O220 O226:O237">
    <cfRule type="cellIs" dxfId="21" priority="11" operator="equal">
      <formula>"zeer goed"</formula>
    </cfRule>
    <cfRule type="cellIs" dxfId="20" priority="12" operator="equal">
      <formula>"Goed"</formula>
    </cfRule>
    <cfRule type="cellIs" dxfId="19" priority="13" operator="equal">
      <formula>"onvoldoende"</formula>
    </cfRule>
    <cfRule type="cellIs" dxfId="18" priority="14" operator="equal">
      <formula>"slecht"</formula>
    </cfRule>
    <cfRule type="cellIs" dxfId="17" priority="15" operator="equal">
      <formula>"zeer slecht"</formula>
    </cfRule>
  </conditionalFormatting>
  <conditionalFormatting sqref="P1:Q197 Q198:Q203 P204:Q221 P234:P237 P243 N244 P245:P1048576 P226:Q233 Q222:Q225">
    <cfRule type="cellIs" dxfId="16" priority="352" operator="equal">
      <formula>"ja"</formula>
    </cfRule>
  </conditionalFormatting>
  <conditionalFormatting sqref="B222 B225">
    <cfRule type="cellIs" dxfId="15" priority="8" operator="equal">
      <formula>"ja"</formula>
    </cfRule>
  </conditionalFormatting>
  <conditionalFormatting sqref="B223:B224">
    <cfRule type="duplicateValues" dxfId="14" priority="7"/>
  </conditionalFormatting>
  <conditionalFormatting sqref="P222:P225">
    <cfRule type="cellIs" dxfId="13" priority="1" operator="equal">
      <formula>"zeer goed"</formula>
    </cfRule>
    <cfRule type="cellIs" dxfId="12" priority="2" operator="equal">
      <formula>"Goed"</formula>
    </cfRule>
    <cfRule type="cellIs" dxfId="11" priority="3" operator="equal">
      <formula>"onvoldoende"</formula>
    </cfRule>
    <cfRule type="cellIs" dxfId="10" priority="4" operator="equal">
      <formula>"slecht"</formula>
    </cfRule>
    <cfRule type="cellIs" dxfId="9" priority="5" operator="equal">
      <formula>"zeer slecht"</formula>
    </cfRule>
  </conditionalFormatting>
  <conditionalFormatting sqref="P222:P225">
    <cfRule type="duplicateValues" dxfId="8" priority="6"/>
  </conditionalFormatting>
  <conditionalFormatting sqref="O2:O231">
    <cfRule type="containsText" dxfId="7" priority="24" operator="containsText" text="zeer slecht">
      <formula>NOT(ISERROR(SEARCH("zeer slecht",O2)))</formula>
    </cfRule>
    <cfRule type="containsText" dxfId="6" priority="25" operator="containsText" text="slecht">
      <formula>NOT(ISERROR(SEARCH("slecht",O2)))</formula>
    </cfRule>
    <cfRule type="containsText" dxfId="5" priority="26" operator="containsText" text="onvoldoende">
      <formula>NOT(ISERROR(SEARCH("onvoldoende",O2)))</formula>
    </cfRule>
    <cfRule type="containsText" dxfId="4" priority="27" operator="containsText" text="voldoende">
      <formula>NOT(ISERROR(SEARCH("voldoende",O2)))</formula>
    </cfRule>
    <cfRule type="containsText" dxfId="3" priority="28" operator="containsText" text="goed">
      <formula>NOT(ISERROR(SEARCH("goed",O2)))</formula>
    </cfRule>
    <cfRule type="containsText" dxfId="2" priority="29" operator="containsText" text="zeer goed">
      <formula>NOT(ISERROR(SEARCH("zeer goed",O2)))</formula>
    </cfRule>
    <cfRule type="cellIs" dxfId="1" priority="356" operator="equal">
      <formula>"voldoende"</formula>
    </cfRule>
    <cfRule type="duplicateValues" dxfId="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173</v>
      </c>
      <c r="B1" t="s">
        <v>8</v>
      </c>
      <c r="D1" t="s">
        <v>174</v>
      </c>
      <c r="E1" t="s">
        <v>175</v>
      </c>
    </row>
    <row r="2" spans="1:5" x14ac:dyDescent="0.25">
      <c r="A2" s="3">
        <f>COUNTIF(Coaching!I1:I9940,Tabel1[[#This Row],[Teamcoach]])</f>
        <v>10</v>
      </c>
      <c r="B2" s="3" t="s">
        <v>176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25">
      <c r="A3" s="3">
        <f>COUNTIF(Coaching!I2:I9941,Tabel1[[#This Row],[Teamcoach]])</f>
        <v>17</v>
      </c>
      <c r="B3" s="3" t="s">
        <v>177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COUNTIF(Coaching!I2:I9942,Tabel1[[#This Row],[Teamcoach]])</f>
        <v>13</v>
      </c>
      <c r="B4" s="3" t="s">
        <v>58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25">
      <c r="A5" s="3">
        <f>COUNTIF(Coaching!I2:I9943,Tabel1[[#This Row],[Teamcoach]])</f>
        <v>9</v>
      </c>
      <c r="B5" s="3" t="s">
        <v>178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25">
      <c r="A6" s="3">
        <f>COUNTIF(Coaching!I3:I9944,Tabel1[[#This Row],[Teamcoach]])</f>
        <v>9</v>
      </c>
      <c r="B6" s="3" t="s">
        <v>179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25">
      <c r="A7" s="3">
        <f>COUNTIF(Coaching!I4:I9945,Tabel1[[#This Row],[Teamcoach]])</f>
        <v>6</v>
      </c>
      <c r="B7" s="3" t="s">
        <v>180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 x14ac:dyDescent="0.25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25">
      <c r="A9" s="3">
        <f>COUNTIF(Coaching!I5:I9947,Tabel1[[#This Row],[Teamcoach]])</f>
        <v>10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25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25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25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25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25">
      <c r="E6" t="s">
        <v>198</v>
      </c>
      <c r="F6" t="s">
        <v>65</v>
      </c>
      <c r="G6" t="s">
        <v>35</v>
      </c>
      <c r="H6" t="s">
        <v>61</v>
      </c>
    </row>
    <row r="7" spans="1:9" x14ac:dyDescent="0.25">
      <c r="E7" t="s">
        <v>33</v>
      </c>
      <c r="G7" t="s">
        <v>171</v>
      </c>
      <c r="H7" t="s">
        <v>53</v>
      </c>
    </row>
    <row r="8" spans="1:9" x14ac:dyDescent="0.25">
      <c r="E8" t="s">
        <v>55</v>
      </c>
      <c r="G8" t="s">
        <v>199</v>
      </c>
    </row>
    <row r="9" spans="1:9" x14ac:dyDescent="0.25">
      <c r="E9" t="s">
        <v>52</v>
      </c>
      <c r="G9" t="s">
        <v>83</v>
      </c>
    </row>
    <row r="10" spans="1:9" x14ac:dyDescent="0.25">
      <c r="E10" t="s">
        <v>200</v>
      </c>
      <c r="G10" t="s">
        <v>148</v>
      </c>
    </row>
    <row r="11" spans="1:9" x14ac:dyDescent="0.25">
      <c r="E11" t="s">
        <v>101</v>
      </c>
      <c r="G11" t="s">
        <v>201</v>
      </c>
    </row>
    <row r="12" spans="1:9" x14ac:dyDescent="0.25">
      <c r="E12" t="s">
        <v>97</v>
      </c>
      <c r="G12" t="s">
        <v>202</v>
      </c>
    </row>
    <row r="13" spans="1:9" x14ac:dyDescent="0.25">
      <c r="E13" t="s">
        <v>203</v>
      </c>
      <c r="G13" t="s">
        <v>204</v>
      </c>
    </row>
    <row r="14" spans="1:9" x14ac:dyDescent="0.25">
      <c r="E14" t="s">
        <v>80</v>
      </c>
      <c r="G14" t="s">
        <v>205</v>
      </c>
    </row>
    <row r="15" spans="1:9" x14ac:dyDescent="0.25">
      <c r="E15" t="s">
        <v>90</v>
      </c>
      <c r="G15" t="s">
        <v>65</v>
      </c>
    </row>
    <row r="16" spans="1:9" x14ac:dyDescent="0.25">
      <c r="E16" t="s">
        <v>126</v>
      </c>
    </row>
    <row r="17" spans="5:5" x14ac:dyDescent="0.25">
      <c r="E17" t="s">
        <v>142</v>
      </c>
    </row>
    <row r="18" spans="5:5" x14ac:dyDescent="0.25">
      <c r="E18" t="s">
        <v>111</v>
      </c>
    </row>
    <row r="19" spans="5:5" x14ac:dyDescent="0.25">
      <c r="E19" t="s">
        <v>206</v>
      </c>
    </row>
    <row r="20" spans="5:5" x14ac:dyDescent="0.25">
      <c r="E20" t="s">
        <v>207</v>
      </c>
    </row>
    <row r="21" spans="5:5" x14ac:dyDescent="0.25">
      <c r="E21" t="s">
        <v>208</v>
      </c>
    </row>
    <row r="22" spans="5:5" x14ac:dyDescent="0.25">
      <c r="E22" t="s">
        <v>209</v>
      </c>
    </row>
    <row r="23" spans="5:5" x14ac:dyDescent="0.25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25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25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25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25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25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25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25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25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25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25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25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25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25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25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25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25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25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25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25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25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25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25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25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25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25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25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25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25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25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25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25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25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25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25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25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25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25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25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25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25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25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25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25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25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25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25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25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25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25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25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25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25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25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25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25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25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25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25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25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25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25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25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25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25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25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25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25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25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25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25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25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25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25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25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25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25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25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25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25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25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25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25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25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25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25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25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25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25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25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25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25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25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25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25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25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25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25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25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25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25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25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25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25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25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25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25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25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25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25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25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25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25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25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25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25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25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25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25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25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25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25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25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25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25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25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25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25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25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25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25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25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25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25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25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25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25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25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25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25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25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25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25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25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25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25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25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25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25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25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25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25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25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25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25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25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25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25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25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25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25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25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25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25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25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25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25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25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25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25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25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25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25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25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25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25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25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25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25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25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25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25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25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25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25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25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25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25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25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25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25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25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25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25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25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25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25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25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25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25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25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25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25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25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25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25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25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25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25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25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25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25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25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25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25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25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25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25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25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25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25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25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25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25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25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25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25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25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25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25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25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25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25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25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25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25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25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25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25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25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25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25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25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25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25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25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25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25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25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25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25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25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25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25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25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25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25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25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25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25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25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25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25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25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25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25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25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25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25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25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25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25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25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25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25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25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25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25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25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25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25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25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25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25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25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25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25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25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25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25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25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25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25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25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25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25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25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25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25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25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25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25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25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25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25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25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25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25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25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25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25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25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25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25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25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25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25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25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25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25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25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25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25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25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25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25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25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25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25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25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25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25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25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25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25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25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25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25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25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25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25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25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25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25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25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25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25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25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25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25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25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25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25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25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25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25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25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25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25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25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25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25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25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25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25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25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25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25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25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25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25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25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25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25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25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25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25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25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25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25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25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25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25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25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25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25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25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25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25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25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25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25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25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25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25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25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25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25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25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25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25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25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25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25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25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25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25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25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25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25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25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25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25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25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25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25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25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25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25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25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25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25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25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25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25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25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25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25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25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25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25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25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25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25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25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25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25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25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25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25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25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25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25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25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25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25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25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25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25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25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25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25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25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25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25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25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25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25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25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25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25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25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25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25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25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25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25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25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25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25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25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25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25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25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25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25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25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25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25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25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25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25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25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25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25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25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25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25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25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25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25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25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25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25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25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25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25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25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25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25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25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25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25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25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25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25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25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25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25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25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25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25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25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25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25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25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25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25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25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25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25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25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25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25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25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25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25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25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25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25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25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25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25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25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25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25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25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25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25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25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25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25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25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25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25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25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25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25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25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25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25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25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25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25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25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25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25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25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25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25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25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25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25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25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25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25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25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25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25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25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25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25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25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25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25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25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25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25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25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25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25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25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25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25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25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25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25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25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25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25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25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25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25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25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25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25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25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25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2025-11-05T10:07:42Z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