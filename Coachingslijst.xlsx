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51" documentId="13_ncr:1_{51182797-F005-4DB1-88AE-A2BD37A2289A}" xr6:coauthVersionLast="47" xr6:coauthVersionMax="47" xr10:uidLastSave="{B8C2EC26-4D50-40EA-98F0-F0A62096BD11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F79" i="6"/>
  <c r="I79" i="6"/>
  <c r="J79" i="6"/>
  <c r="E80" i="6"/>
  <c r="F80" i="6"/>
  <c r="I80" i="6"/>
  <c r="J80" i="6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7" i="6" l="1"/>
  <c r="G17" i="6"/>
  <c r="G80" i="6"/>
  <c r="G79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<sst xmlns="http://schemas.openxmlformats.org/spreadsheetml/2006/main" count="4524" uniqueCount="1186">
  <si>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</si>
  <si>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</si>
  <si>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</si>
  <si>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</si>
  <si>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</si>
  <si>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</si>
  <si>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</si>
  <si>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</si>
  <si>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</si>
  <si>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</si>
  <si>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</si>
  <si>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</si>
  <si>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</si>
  <si>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</si>
  <si>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</si>
  <si>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</si>
  <si>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</si>
  <si>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</si>
  <si>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</si>
  <si>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</si>
  <si>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</si>
  <si>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</si>
  <si>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</si>
  <si>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</si>
  <si>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</si>
  <si>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</si>
  <si>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</si>
  <si>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</si>
  <si>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</si>
  <si>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</si>
  <si>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</si>
  <si>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</si>
  <si>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</si>
  <si>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</si>
  <si>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</si>
  <si>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</si>
  <si>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</si>
  <si>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</si>
  <si>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</si>
  <si>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</si>
  <si>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</si>
  <si>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</si>
  <si>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</si>
  <si>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ongevallen/ rijstijl</t>
  </si>
  <si>
    <t>snelheid/ rijstijl</t>
  </si>
  <si>
    <t>agressie tov fietser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</si>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</sst>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8" zoomScale="112" zoomScaleNormal="112" workbookViewId="0">
      <selection activeCell="N67" sqref="N67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43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44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45</v>
      </c>
      <c r="L41" s="2" t="s">
        <v>34</v>
      </c>
      <c r="M41" t="s">
        <v>42</v>
      </c>
      <c r="N41" s="11">
        <v>45966</v>
      </c>
      <c r="O41" t="s">
        <v>46</v>
      </c>
      <c r="P41" t="s">
        <v>47</v>
      </c>
      <c r="Q41" t="s">
        <v>48</v>
      </c>
      <c r="R41" t="s">
        <v>49</v>
      </c>
    </row>
    <row r="42" spans="1:18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8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8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8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8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50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8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8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50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50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50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50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50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50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50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50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  <c r="M66" t="s">
        <v>42</v>
      </c>
      <c r="N66" s="11">
        <v>45966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50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50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51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50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52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50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50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50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53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50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50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54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55</v>
      </c>
      <c r="L79" s="2" t="s">
        <v>34</v>
      </c>
      <c r="M79" t="s">
        <v>56</v>
      </c>
      <c r="N79" s="11">
        <v>45965</v>
      </c>
      <c r="O79" t="s">
        <v>47</v>
      </c>
      <c r="P79" t="s">
        <v>57</v>
      </c>
      <c r="Q79" t="s">
        <v>58</v>
      </c>
      <c r="R79" t="s">
        <v>49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50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55</v>
      </c>
      <c r="L80" s="2" t="s">
        <v>23</v>
      </c>
      <c r="M80" t="s">
        <v>56</v>
      </c>
      <c r="N80" s="11">
        <v>45965</v>
      </c>
      <c r="O80" t="s">
        <v>59</v>
      </c>
      <c r="Q80" t="s">
        <v>60</v>
      </c>
      <c r="R80" t="s">
        <v>31</v>
      </c>
    </row>
    <row r="81" spans="4:17">
      <c r="D81">
        <v>24472</v>
      </c>
      <c r="E81" t="s">
        <v>61</v>
      </c>
      <c r="F81" t="s">
        <v>62</v>
      </c>
      <c r="G81" t="str">
        <f>_xlfn.CONCAT(Tabel2[[#This Row],[P-nr]]," ",Tabel2[[#This Row],[Naam]]," ",Tabel2[[#This Row],[Voornaam]]," ",)</f>
        <v xml:space="preserve">24472 Davut Gok </v>
      </c>
      <c r="H81" t="s">
        <v>50</v>
      </c>
      <c r="K81" s="8" t="s">
        <v>55</v>
      </c>
      <c r="L81" s="2" t="s">
        <v>23</v>
      </c>
      <c r="M81" t="s">
        <v>56</v>
      </c>
      <c r="N81" s="11">
        <v>45965</v>
      </c>
      <c r="O81" t="s">
        <v>59</v>
      </c>
      <c r="Q81" t="s">
        <v>63</v>
      </c>
    </row>
    <row r="82" spans="4:17">
      <c r="D82">
        <v>20705</v>
      </c>
      <c r="E82" t="s">
        <v>64</v>
      </c>
      <c r="F82" t="s">
        <v>65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50</v>
      </c>
      <c r="K82" s="8" t="s">
        <v>55</v>
      </c>
      <c r="L82" s="2" t="s">
        <v>34</v>
      </c>
      <c r="M82" t="s">
        <v>56</v>
      </c>
      <c r="N82" s="11">
        <v>45965</v>
      </c>
      <c r="O82" t="s">
        <v>47</v>
      </c>
      <c r="P82" t="s">
        <v>57</v>
      </c>
      <c r="Q82" t="s">
        <v>48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49</v>
      </c>
      <c r="Q2" s="23"/>
      <c r="R2" s="23" t="s">
        <v>78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42</v>
      </c>
      <c r="L3" s="38">
        <v>45715</v>
      </c>
      <c r="M3" s="29" t="s">
        <v>80</v>
      </c>
      <c r="N3" s="23" t="s">
        <v>25</v>
      </c>
      <c r="O3" s="23" t="s">
        <v>81</v>
      </c>
      <c r="P3" s="23" t="s">
        <v>49</v>
      </c>
      <c r="Q3" s="23"/>
      <c r="R3" s="23" t="s">
        <v>78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42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49</v>
      </c>
      <c r="Q4" s="23"/>
      <c r="R4" s="23" t="s">
        <v>78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42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42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85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85</v>
      </c>
      <c r="L8" s="38">
        <v>45726</v>
      </c>
      <c r="M8" s="29"/>
      <c r="N8" s="23"/>
      <c r="O8" s="23" t="s">
        <v>81</v>
      </c>
      <c r="P8" s="23" t="s">
        <v>49</v>
      </c>
      <c r="Q8" s="23"/>
      <c r="R8" s="23" t="s">
        <v>78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85</v>
      </c>
      <c r="L9" s="38">
        <v>45727</v>
      </c>
      <c r="M9" s="29" t="s">
        <v>80</v>
      </c>
      <c r="N9" s="23"/>
      <c r="O9" s="23" t="s">
        <v>87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49</v>
      </c>
      <c r="Q10" s="23"/>
      <c r="R10" s="23" t="s">
        <v>78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42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49</v>
      </c>
      <c r="Q11" s="23"/>
      <c r="R11" s="23" t="s">
        <v>78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42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42</v>
      </c>
      <c r="L13" s="38">
        <v>45740</v>
      </c>
      <c r="M13" s="29"/>
      <c r="N13" s="23"/>
      <c r="O13" s="23" t="s">
        <v>77</v>
      </c>
      <c r="P13" s="23" t="s">
        <v>49</v>
      </c>
      <c r="Q13" s="23"/>
      <c r="R13" s="23" t="s">
        <v>78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49</v>
      </c>
      <c r="Q14" s="23"/>
      <c r="R14" s="23" t="s">
        <v>78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42</v>
      </c>
      <c r="L15" s="38">
        <v>45743</v>
      </c>
      <c r="M15" s="29" t="s">
        <v>80</v>
      </c>
      <c r="N15" s="23" t="s">
        <v>89</v>
      </c>
      <c r="O15" s="23" t="s">
        <v>83</v>
      </c>
      <c r="P15" s="23" t="s">
        <v>49</v>
      </c>
      <c r="Q15" s="23"/>
      <c r="R15" s="23" t="s">
        <v>78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83</v>
      </c>
      <c r="P16" s="23"/>
      <c r="Q16" s="23"/>
      <c r="R16" s="23" t="s">
        <v>78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80</v>
      </c>
      <c r="N17" s="23" t="s">
        <v>25</v>
      </c>
      <c r="O17" s="23" t="s">
        <v>83</v>
      </c>
      <c r="P17" s="23" t="s">
        <v>49</v>
      </c>
      <c r="Q17" s="23"/>
      <c r="R17" s="23" t="s">
        <v>78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83</v>
      </c>
      <c r="P18" s="23"/>
      <c r="Q18" s="23"/>
      <c r="R18" s="23" t="s">
        <v>78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80</v>
      </c>
      <c r="N19" s="23" t="s">
        <v>93</v>
      </c>
      <c r="O19" s="23" t="s">
        <v>81</v>
      </c>
      <c r="P19" s="23"/>
      <c r="Q19" s="23"/>
      <c r="R19" s="23" t="s">
        <v>78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42</v>
      </c>
      <c r="L21" s="38">
        <v>45744</v>
      </c>
      <c r="M21" s="29" t="s">
        <v>95</v>
      </c>
      <c r="N21" s="23" t="s">
        <v>96</v>
      </c>
      <c r="O21" s="23" t="s">
        <v>83</v>
      </c>
      <c r="P21" s="23" t="s">
        <v>49</v>
      </c>
      <c r="Q21" s="23"/>
      <c r="R21" s="23" t="s">
        <v>78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42</v>
      </c>
      <c r="L22" s="38">
        <v>45744</v>
      </c>
      <c r="M22" s="29" t="s">
        <v>80</v>
      </c>
      <c r="N22" s="23" t="s">
        <v>25</v>
      </c>
      <c r="O22" s="23" t="s">
        <v>83</v>
      </c>
      <c r="P22" s="23" t="s">
        <v>49</v>
      </c>
      <c r="Q22" s="23"/>
      <c r="R22" s="23" t="s">
        <v>78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42</v>
      </c>
      <c r="L23" s="38">
        <v>45744</v>
      </c>
      <c r="M23" s="29" t="s">
        <v>80</v>
      </c>
      <c r="N23" s="23" t="s">
        <v>25</v>
      </c>
      <c r="O23" s="23" t="s">
        <v>83</v>
      </c>
      <c r="P23" s="23" t="s">
        <v>49</v>
      </c>
      <c r="Q23" s="23"/>
      <c r="R23" s="23" t="s">
        <v>78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49</v>
      </c>
      <c r="Q24" s="23"/>
      <c r="R24" s="23" t="s">
        <v>78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81</v>
      </c>
      <c r="P25" s="23" t="s">
        <v>31</v>
      </c>
      <c r="Q25" s="23"/>
      <c r="R25" s="23" t="s">
        <v>78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42</v>
      </c>
      <c r="L26" s="38">
        <v>45749</v>
      </c>
      <c r="M26" s="29" t="s">
        <v>80</v>
      </c>
      <c r="N26" s="23" t="s">
        <v>25</v>
      </c>
      <c r="O26" s="23" t="s">
        <v>83</v>
      </c>
      <c r="P26" s="23" t="s">
        <v>49</v>
      </c>
      <c r="Q26" s="23"/>
      <c r="R26" s="23" t="s">
        <v>78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31</v>
      </c>
      <c r="Q27" s="23"/>
      <c r="R27" s="23" t="s">
        <v>78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79</v>
      </c>
      <c r="K28" s="29" t="s">
        <v>42</v>
      </c>
      <c r="L28" s="38">
        <v>45749</v>
      </c>
      <c r="M28" s="29" t="s">
        <v>96</v>
      </c>
      <c r="N28" s="23"/>
      <c r="O28" s="23" t="s">
        <v>83</v>
      </c>
      <c r="P28" s="23" t="s">
        <v>49</v>
      </c>
      <c r="Q28" s="23"/>
      <c r="R28" s="23" t="s">
        <v>78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83</v>
      </c>
      <c r="P32" t="s">
        <v>49</v>
      </c>
      <c r="R32" s="23" t="s">
        <v>78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42</v>
      </c>
      <c r="L34" s="38">
        <v>45762</v>
      </c>
      <c r="M34" s="29"/>
      <c r="N34" s="23"/>
      <c r="O34" s="23" t="s">
        <v>83</v>
      </c>
      <c r="P34" s="23" t="s">
        <v>49</v>
      </c>
      <c r="Q34" s="23"/>
      <c r="R34" s="23" t="s">
        <v>78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80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49</v>
      </c>
      <c r="Q36" s="23"/>
      <c r="R36" s="23" t="s">
        <v>78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83</v>
      </c>
      <c r="P37" s="23" t="s">
        <v>49</v>
      </c>
      <c r="Q37" s="23"/>
      <c r="R37" s="23" t="s">
        <v>78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83</v>
      </c>
      <c r="P38" s="23" t="s">
        <v>49</v>
      </c>
      <c r="Q38" s="23"/>
      <c r="R38" s="23" t="s">
        <v>78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42</v>
      </c>
      <c r="L39" s="38">
        <v>45763</v>
      </c>
      <c r="M39" s="29"/>
      <c r="N39" s="23"/>
      <c r="O39" s="23" t="s">
        <v>83</v>
      </c>
      <c r="P39" s="23" t="s">
        <v>49</v>
      </c>
      <c r="Q39" s="23"/>
      <c r="R39" s="23" t="s">
        <v>78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49</v>
      </c>
      <c r="Q40" s="23"/>
      <c r="R40" s="23" t="s">
        <v>78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79</v>
      </c>
      <c r="K41" s="29" t="s">
        <v>42</v>
      </c>
      <c r="L41" s="38">
        <v>45765</v>
      </c>
      <c r="M41" s="29" t="s">
        <v>80</v>
      </c>
      <c r="N41" s="23" t="s">
        <v>82</v>
      </c>
      <c r="O41" s="23" t="s">
        <v>108</v>
      </c>
      <c r="P41" s="23" t="s">
        <v>49</v>
      </c>
      <c r="Q41" s="23"/>
      <c r="R41" s="23" t="s">
        <v>78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42</v>
      </c>
      <c r="L42" s="38">
        <v>45770</v>
      </c>
      <c r="M42" s="29" t="s">
        <v>80</v>
      </c>
      <c r="N42" s="23" t="s">
        <v>82</v>
      </c>
      <c r="O42" s="23" t="s">
        <v>87</v>
      </c>
      <c r="P42" s="23" t="s">
        <v>49</v>
      </c>
      <c r="Q42" s="23"/>
      <c r="R42" s="23" t="s">
        <v>78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42</v>
      </c>
      <c r="L43" s="38">
        <v>45770</v>
      </c>
      <c r="M43" s="29" t="s">
        <v>95</v>
      </c>
      <c r="N43" s="23"/>
      <c r="O43" s="23" t="s">
        <v>83</v>
      </c>
      <c r="P43" s="23" t="s">
        <v>31</v>
      </c>
      <c r="Q43" s="23"/>
      <c r="R43" s="23" t="s">
        <v>78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83</v>
      </c>
      <c r="P44" t="s">
        <v>49</v>
      </c>
      <c r="R44" s="23" t="s">
        <v>78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49</v>
      </c>
      <c r="R45" s="23" t="s">
        <v>78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49</v>
      </c>
      <c r="R46" s="23" t="s">
        <v>78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83</v>
      </c>
      <c r="R47" s="23" t="s">
        <v>78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83</v>
      </c>
      <c r="P48" t="s">
        <v>49</v>
      </c>
      <c r="R48" s="23" t="s">
        <v>78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81</v>
      </c>
      <c r="P49" t="s">
        <v>49</v>
      </c>
      <c r="R49" s="23" t="s">
        <v>78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83</v>
      </c>
      <c r="P50" t="s">
        <v>49</v>
      </c>
      <c r="R50" s="23" t="s">
        <v>78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81</v>
      </c>
      <c r="P51" t="s">
        <v>49</v>
      </c>
      <c r="R51" s="23" t="s">
        <v>78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49</v>
      </c>
      <c r="R52" s="23" t="s">
        <v>78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83</v>
      </c>
      <c r="P53" t="s">
        <v>49</v>
      </c>
      <c r="R53" s="23" t="s">
        <v>78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85</v>
      </c>
      <c r="L54" s="37">
        <v>45789</v>
      </c>
      <c r="O54" t="s">
        <v>83</v>
      </c>
      <c r="R54" s="23" t="s">
        <v>78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81</v>
      </c>
      <c r="R55" s="23" t="s">
        <v>78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83</v>
      </c>
      <c r="P56" t="s">
        <v>49</v>
      </c>
      <c r="R56" s="23" t="s">
        <v>78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49</v>
      </c>
      <c r="R57" s="23" t="s">
        <v>78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83</v>
      </c>
      <c r="P59" t="s">
        <v>49</v>
      </c>
      <c r="R59" s="23" t="s">
        <v>78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81</v>
      </c>
      <c r="P60" t="s">
        <v>49</v>
      </c>
      <c r="R60" s="23" t="s">
        <v>78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83</v>
      </c>
      <c r="P62" t="s">
        <v>49</v>
      </c>
      <c r="R62" s="23" t="s">
        <v>78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83</v>
      </c>
      <c r="P63" t="s">
        <v>49</v>
      </c>
      <c r="R63" s="2" t="s">
        <v>78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83</v>
      </c>
      <c r="R64" s="2" t="s">
        <v>78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81</v>
      </c>
      <c r="P65" t="s">
        <v>31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83</v>
      </c>
      <c r="P66" t="s">
        <v>49</v>
      </c>
      <c r="R66" s="2" t="s">
        <v>78</v>
      </c>
    </row>
    <row r="67" spans="1:18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83</v>
      </c>
      <c r="R67" s="2" t="s">
        <v>78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87</v>
      </c>
      <c r="P68" t="s">
        <v>31</v>
      </c>
      <c r="R68" s="23" t="s">
        <v>78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42</v>
      </c>
      <c r="L69" s="37">
        <v>45812</v>
      </c>
      <c r="M69" s="30" t="s">
        <v>80</v>
      </c>
      <c r="N69" t="s">
        <v>25</v>
      </c>
      <c r="O69" t="s">
        <v>83</v>
      </c>
      <c r="P69" t="s">
        <v>49</v>
      </c>
      <c r="R69" s="23" t="s">
        <v>78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80</v>
      </c>
      <c r="O70" t="s">
        <v>81</v>
      </c>
      <c r="P70" t="s">
        <v>49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83</v>
      </c>
      <c r="P71" t="s">
        <v>49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49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81</v>
      </c>
      <c r="P73" t="s">
        <v>49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42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42</v>
      </c>
      <c r="L76" s="38">
        <v>45824</v>
      </c>
      <c r="M76" s="29" t="s">
        <v>95</v>
      </c>
      <c r="N76" s="23" t="s">
        <v>25</v>
      </c>
      <c r="O76" s="23" t="s">
        <v>83</v>
      </c>
      <c r="P76" s="23" t="s">
        <v>49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49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49</v>
      </c>
      <c r="R78" s="2" t="s">
        <v>78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42</v>
      </c>
      <c r="L79" s="37">
        <v>45826</v>
      </c>
      <c r="M79" s="30" t="s">
        <v>105</v>
      </c>
      <c r="N79" t="s">
        <v>136</v>
      </c>
      <c r="O79" t="s">
        <v>83</v>
      </c>
      <c r="P79" t="s">
        <v>49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79</v>
      </c>
      <c r="K80" s="30" t="s">
        <v>42</v>
      </c>
      <c r="L80" s="37">
        <v>45826</v>
      </c>
      <c r="O80" t="s">
        <v>77</v>
      </c>
      <c r="R80" s="2" t="s">
        <v>78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49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25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42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42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138</v>
      </c>
      <c r="O87" t="s">
        <v>87</v>
      </c>
      <c r="P87" t="s">
        <v>31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139</v>
      </c>
      <c r="N88" t="s">
        <v>140</v>
      </c>
      <c r="O88" t="s">
        <v>83</v>
      </c>
      <c r="P88" t="s">
        <v>49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141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141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85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85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101</v>
      </c>
      <c r="L93" s="37">
        <v>45841</v>
      </c>
      <c r="M93" s="30" t="s">
        <v>80</v>
      </c>
      <c r="N93" t="s">
        <v>25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79</v>
      </c>
      <c r="K96" s="30" t="s">
        <v>85</v>
      </c>
      <c r="L96" s="37">
        <v>45841</v>
      </c>
      <c r="N96" s="10"/>
      <c r="O96" t="s">
        <v>81</v>
      </c>
      <c r="R96" s="2" t="s">
        <v>78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79</v>
      </c>
      <c r="K97" s="30" t="s">
        <v>145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42</v>
      </c>
      <c r="L98" s="37">
        <v>45852</v>
      </c>
      <c r="M98" s="30" t="s">
        <v>99</v>
      </c>
      <c r="N98" s="10" t="s">
        <v>89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42</v>
      </c>
      <c r="L99" s="37">
        <v>45852</v>
      </c>
      <c r="M99" s="30" t="s">
        <v>99</v>
      </c>
      <c r="N99" s="10" t="s">
        <v>89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141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85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141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141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80</v>
      </c>
      <c r="N109" t="s">
        <v>25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80</v>
      </c>
      <c r="N110" t="s">
        <v>146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147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49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81</v>
      </c>
      <c r="P117" t="s">
        <v>49</v>
      </c>
      <c r="R117" s="2" t="s">
        <v>78</v>
      </c>
      <c r="S117" t="s">
        <v>49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141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141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141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141</v>
      </c>
      <c r="L121" s="37">
        <v>45875</v>
      </c>
      <c r="O121" t="s">
        <v>77</v>
      </c>
      <c r="R121" s="2" t="s">
        <v>78</v>
      </c>
      <c r="S121" t="s">
        <v>149</v>
      </c>
      <c r="T121" t="s">
        <v>63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141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141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141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83</v>
      </c>
      <c r="R129" s="2" t="s">
        <v>78</v>
      </c>
      <c r="S129" t="s">
        <v>49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79</v>
      </c>
      <c r="K130" s="30" t="s">
        <v>147</v>
      </c>
      <c r="L130" s="37">
        <v>45882</v>
      </c>
      <c r="O130" t="s">
        <v>77</v>
      </c>
      <c r="P130" t="s">
        <v>49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79</v>
      </c>
      <c r="K131" s="30" t="s">
        <v>147</v>
      </c>
      <c r="L131" s="37">
        <v>45882</v>
      </c>
      <c r="O131" t="s">
        <v>81</v>
      </c>
      <c r="P131" t="s">
        <v>49</v>
      </c>
      <c r="R131" s="2" t="s">
        <v>78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147</v>
      </c>
      <c r="L132" s="37">
        <v>45882</v>
      </c>
      <c r="M132" s="30" t="s">
        <v>80</v>
      </c>
      <c r="O132" t="s">
        <v>81</v>
      </c>
      <c r="P132" t="s">
        <v>49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79</v>
      </c>
      <c r="K133" s="30" t="s">
        <v>42</v>
      </c>
      <c r="L133" s="37">
        <v>45888</v>
      </c>
      <c r="O133" t="s">
        <v>83</v>
      </c>
      <c r="P133" t="s">
        <v>49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42</v>
      </c>
      <c r="L134" s="37">
        <v>45891</v>
      </c>
      <c r="M134" s="30" t="s">
        <v>105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42</v>
      </c>
      <c r="L135" s="37">
        <v>45891</v>
      </c>
      <c r="M135" s="30" t="s">
        <v>105</v>
      </c>
      <c r="N135" t="s">
        <v>146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80</v>
      </c>
      <c r="N136" t="s">
        <v>158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145</v>
      </c>
      <c r="L137" s="37">
        <v>45895</v>
      </c>
      <c r="O137" t="s">
        <v>77</v>
      </c>
      <c r="P137" t="s">
        <v>49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145</v>
      </c>
      <c r="L138" s="37">
        <v>45895</v>
      </c>
      <c r="O138" t="s">
        <v>77</v>
      </c>
      <c r="P138" t="s">
        <v>49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145</v>
      </c>
      <c r="L139" s="37">
        <v>45895</v>
      </c>
      <c r="O139" t="s">
        <v>77</v>
      </c>
      <c r="P139" t="s">
        <v>49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42</v>
      </c>
      <c r="L140" s="37">
        <v>45901</v>
      </c>
      <c r="M140" s="30" t="s">
        <v>99</v>
      </c>
      <c r="N140" t="s">
        <v>136</v>
      </c>
      <c r="O140" t="s">
        <v>83</v>
      </c>
      <c r="R140" s="2" t="s">
        <v>78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85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49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79</v>
      </c>
      <c r="K142" s="30" t="s">
        <v>42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79</v>
      </c>
      <c r="K143" s="30" t="s">
        <v>42</v>
      </c>
      <c r="L143" s="37">
        <v>45922</v>
      </c>
      <c r="M143" s="30" t="s">
        <v>80</v>
      </c>
      <c r="N143" t="s">
        <v>25</v>
      </c>
      <c r="O143" t="s">
        <v>87</v>
      </c>
      <c r="R143" s="2" t="s">
        <v>78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42</v>
      </c>
      <c r="L144" s="37">
        <v>45922</v>
      </c>
      <c r="M144" s="30" t="s">
        <v>80</v>
      </c>
      <c r="N144" t="s">
        <v>25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42</v>
      </c>
      <c r="L145" s="37">
        <v>45922</v>
      </c>
      <c r="M145" s="30" t="s">
        <v>80</v>
      </c>
      <c r="N145" t="s">
        <v>162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85</v>
      </c>
      <c r="L151" s="37">
        <v>45925</v>
      </c>
      <c r="M151" s="30" t="s">
        <v>105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79</v>
      </c>
      <c r="K152" s="30" t="s">
        <v>85</v>
      </c>
      <c r="L152" s="37">
        <v>45925</v>
      </c>
      <c r="M152" s="30" t="s">
        <v>95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79</v>
      </c>
      <c r="K153" s="30" t="s">
        <v>85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42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42</v>
      </c>
      <c r="L155" s="37">
        <v>45932</v>
      </c>
      <c r="O155" t="s">
        <v>77</v>
      </c>
      <c r="P155" t="s">
        <v>49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49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79</v>
      </c>
      <c r="K160" s="30" t="s">
        <v>85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42</v>
      </c>
      <c r="L163" s="37">
        <v>45938</v>
      </c>
      <c r="M163" s="30" t="s">
        <v>105</v>
      </c>
      <c r="N163" t="s">
        <v>117</v>
      </c>
      <c r="O163" t="s">
        <v>81</v>
      </c>
      <c r="P163" t="s">
        <v>49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42</v>
      </c>
      <c r="L164" s="37">
        <v>45938</v>
      </c>
      <c r="M164" s="30" t="s">
        <v>99</v>
      </c>
      <c r="O164" t="s">
        <v>83</v>
      </c>
      <c r="P164" t="s">
        <v>49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49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49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42</v>
      </c>
      <c r="L167" s="37">
        <v>45939</v>
      </c>
      <c r="M167" s="30" t="s">
        <v>25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166</v>
      </c>
      <c r="O169" t="s">
        <v>87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25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49</v>
      </c>
      <c r="R171" s="2" t="s">
        <v>78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79</v>
      </c>
      <c r="K172" s="29" t="s">
        <v>42</v>
      </c>
      <c r="L172" s="38">
        <v>45749</v>
      </c>
      <c r="M172" s="29" t="s">
        <v>167</v>
      </c>
      <c r="N172" s="23"/>
      <c r="O172" s="23" t="s">
        <v>83</v>
      </c>
      <c r="P172" s="23" t="s">
        <v>49</v>
      </c>
      <c r="Q172" s="23"/>
      <c r="R172" s="2" t="s">
        <v>78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49</v>
      </c>
      <c r="Q173" s="23"/>
      <c r="R173" s="2" t="s">
        <v>78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83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80</v>
      </c>
      <c r="O176" s="23" t="s">
        <v>108</v>
      </c>
      <c r="P176" s="23" t="s">
        <v>31</v>
      </c>
      <c r="Q176" s="23" t="s">
        <v>49</v>
      </c>
      <c r="R176" s="23" t="s">
        <v>78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49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49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85</v>
      </c>
      <c r="L183" s="37">
        <v>45789</v>
      </c>
      <c r="O183" t="s">
        <v>77</v>
      </c>
      <c r="P183" t="s">
        <v>49</v>
      </c>
      <c r="R183" s="23" t="s">
        <v>78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49</v>
      </c>
      <c r="R184" s="23" t="s">
        <v>78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49</v>
      </c>
      <c r="R185" s="23" t="s">
        <v>78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49</v>
      </c>
      <c r="R186" s="23" t="s">
        <v>78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49</v>
      </c>
      <c r="R187" s="23" t="s">
        <v>78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49</v>
      </c>
      <c r="R188" s="23" t="s">
        <v>78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83</v>
      </c>
      <c r="P189" t="s">
        <v>49</v>
      </c>
      <c r="R189" s="23" t="s">
        <v>78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80</v>
      </c>
      <c r="N191" t="s">
        <v>25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80</v>
      </c>
      <c r="N192" t="s">
        <v>170</v>
      </c>
      <c r="O192" t="s">
        <v>81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83</v>
      </c>
      <c r="R193" s="23" t="s">
        <v>78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145</v>
      </c>
      <c r="L194" s="37">
        <v>45945</v>
      </c>
      <c r="O194" t="s">
        <v>83</v>
      </c>
      <c r="R194" s="23" t="s">
        <v>78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79</v>
      </c>
      <c r="K195" s="30" t="s">
        <v>145</v>
      </c>
      <c r="L195" s="37">
        <v>45945</v>
      </c>
      <c r="O195" t="s">
        <v>83</v>
      </c>
      <c r="R195" s="23" t="s">
        <v>78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79</v>
      </c>
      <c r="K196" s="30" t="s">
        <v>145</v>
      </c>
      <c r="L196" s="37">
        <v>45945</v>
      </c>
      <c r="M196" s="30" t="s">
        <v>105</v>
      </c>
      <c r="O196" t="s">
        <v>81</v>
      </c>
      <c r="R196" s="23" t="s">
        <v>78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79</v>
      </c>
      <c r="K197" s="30" t="s">
        <v>85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78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46</v>
      </c>
      <c r="N199" t="s">
        <v>171</v>
      </c>
      <c r="O199" t="s">
        <v>63</v>
      </c>
      <c r="P199" t="s">
        <v>49</v>
      </c>
      <c r="R199" s="23" t="s">
        <v>78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78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172</v>
      </c>
      <c r="N201" t="s">
        <v>173</v>
      </c>
      <c r="O201" t="s">
        <v>48</v>
      </c>
      <c r="P201" t="s">
        <v>49</v>
      </c>
      <c r="R201" s="23" t="s">
        <v>78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172</v>
      </c>
      <c r="N202" t="s">
        <v>174</v>
      </c>
      <c r="O202" t="s">
        <v>63</v>
      </c>
      <c r="P202" t="s">
        <v>31</v>
      </c>
      <c r="R202" s="23" t="s">
        <v>78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78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79</v>
      </c>
      <c r="K205" s="51" t="s">
        <v>85</v>
      </c>
      <c r="L205" s="37">
        <v>45951</v>
      </c>
      <c r="O205" t="s">
        <v>83</v>
      </c>
      <c r="R205" s="23" t="s">
        <v>78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147</v>
      </c>
      <c r="L207" s="37">
        <v>45957</v>
      </c>
      <c r="O207" t="s">
        <v>77</v>
      </c>
      <c r="R207" s="23" t="s">
        <v>78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79</v>
      </c>
      <c r="K208" s="30" t="s">
        <v>85</v>
      </c>
      <c r="L208" s="37">
        <v>45957</v>
      </c>
      <c r="M208" t="s">
        <v>59</v>
      </c>
      <c r="O208" t="s">
        <v>77</v>
      </c>
      <c r="R208" s="23" t="s">
        <v>78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145</v>
      </c>
      <c r="L209" s="37">
        <v>45957</v>
      </c>
      <c r="M209" t="s">
        <v>172</v>
      </c>
      <c r="N209" t="s">
        <v>176</v>
      </c>
      <c r="O209" t="s">
        <v>87</v>
      </c>
      <c r="R209" s="23" t="s">
        <v>78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46</v>
      </c>
      <c r="N210" t="s">
        <v>171</v>
      </c>
      <c r="O210" t="s">
        <v>83</v>
      </c>
      <c r="R210" s="23" t="s">
        <v>78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77</v>
      </c>
      <c r="R211" s="23" t="s">
        <v>78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145</v>
      </c>
      <c r="L212" s="37">
        <v>45957</v>
      </c>
      <c r="M212" s="30" t="s">
        <v>80</v>
      </c>
      <c r="N212" t="s">
        <v>25</v>
      </c>
      <c r="O212" t="s">
        <v>87</v>
      </c>
      <c r="P212" t="s">
        <v>31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47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47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47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47</v>
      </c>
      <c r="N216" t="s">
        <v>183</v>
      </c>
      <c r="O216" t="s">
        <v>83</v>
      </c>
      <c r="P216" t="s">
        <v>49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117</v>
      </c>
      <c r="H2" t="s">
        <v>201</v>
      </c>
      <c r="I2" t="s">
        <v>202</v>
      </c>
    </row>
    <row r="3" spans="1:9">
      <c r="A3" t="s">
        <v>203</v>
      </c>
      <c r="B3" t="s">
        <v>49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49</v>
      </c>
    </row>
    <row r="4" spans="1:9">
      <c r="A4" t="s">
        <v>208</v>
      </c>
      <c r="E4" t="s">
        <v>209</v>
      </c>
      <c r="F4" t="s">
        <v>59</v>
      </c>
      <c r="G4" t="s">
        <v>171</v>
      </c>
      <c r="H4" t="s">
        <v>60</v>
      </c>
    </row>
    <row r="5" spans="1:9">
      <c r="A5" t="s">
        <v>49</v>
      </c>
      <c r="E5" t="s">
        <v>103</v>
      </c>
      <c r="F5" t="s">
        <v>95</v>
      </c>
      <c r="G5" t="s">
        <v>210</v>
      </c>
      <c r="H5" t="s">
        <v>63</v>
      </c>
    </row>
    <row r="6" spans="1:9">
      <c r="E6" t="s">
        <v>56</v>
      </c>
      <c r="F6" t="s">
        <v>47</v>
      </c>
      <c r="G6" t="s">
        <v>173</v>
      </c>
      <c r="H6" t="s">
        <v>48</v>
      </c>
    </row>
    <row r="7" spans="1:9">
      <c r="E7" t="s">
        <v>145</v>
      </c>
      <c r="G7" t="s">
        <v>174</v>
      </c>
      <c r="H7" t="s">
        <v>58</v>
      </c>
    </row>
    <row r="8" spans="1:9">
      <c r="E8" t="s">
        <v>85</v>
      </c>
      <c r="G8" t="s">
        <v>211</v>
      </c>
    </row>
    <row r="9" spans="1:9">
      <c r="E9" t="s">
        <v>147</v>
      </c>
      <c r="G9" t="s">
        <v>82</v>
      </c>
    </row>
    <row r="10" spans="1:9">
      <c r="E10" t="s">
        <v>212</v>
      </c>
      <c r="G10" t="s">
        <v>149</v>
      </c>
    </row>
    <row r="11" spans="1:9">
      <c r="E11" t="s">
        <v>101</v>
      </c>
      <c r="G11" t="s">
        <v>213</v>
      </c>
    </row>
    <row r="12" spans="1:9">
      <c r="E12" t="s">
        <v>97</v>
      </c>
      <c r="G12" t="s">
        <v>57</v>
      </c>
    </row>
    <row r="13" spans="1:9">
      <c r="E13" t="s">
        <v>214</v>
      </c>
      <c r="G13" t="s">
        <v>215</v>
      </c>
    </row>
    <row r="14" spans="1:9">
      <c r="E14" t="s">
        <v>42</v>
      </c>
      <c r="G14" t="s">
        <v>216</v>
      </c>
    </row>
    <row r="15" spans="1:9">
      <c r="E15" t="s">
        <v>90</v>
      </c>
      <c r="G15" t="s">
        <v>47</v>
      </c>
    </row>
    <row r="16" spans="1:9">
      <c r="E16" t="s">
        <v>126</v>
      </c>
    </row>
    <row r="17" spans="5:5">
      <c r="E17" t="s">
        <v>141</v>
      </c>
    </row>
    <row r="18" spans="5:5">
      <c r="E18" t="s">
        <v>111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125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64</v>
      </c>
      <c r="C223" t="s">
        <v>65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61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128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131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127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2025-11-05T06:51:34Z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