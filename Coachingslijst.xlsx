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29" documentId="13_ncr:1_{51182797-F005-4DB1-88AE-A2BD37A2289A}" xr6:coauthVersionLast="47" xr6:coauthVersionMax="47" xr10:uidLastSave="{99586133-E253-4550-BFCB-7065351E1C1E}"/>
  <bookViews>
    <workbookView xWindow="-108" yWindow="-108" windowWidth="30456" windowHeight="17628" tabRatio="456" xr2:uid="{F593FE5F-E761-4E50-85A0-6D382CBE16EB}"/>
  </bookViews>
  <sheets>
    <sheet name="Blad1" sheetId="7" r:id="rId1"/>
    <sheet name="Coaching" sheetId="6" r:id="rId2"/>
    <sheet name="Voltooide coachings" sheetId="4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<sst xmlns="http://schemas.openxmlformats.org/spreadsheetml/2006/main" count="4656" uniqueCount="1188">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</sst>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62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</cellXfs>
  <cellStyles count="1">
    <cellStyle name="Standaard" xfId="0" builtinId="0"/>
  </cellStyles>
  <dxfs count="7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0.77278078704" createdVersion="8" refreshedVersion="8" minRefreshableVersion="3" recordCount="78" xr:uid="{51F1CCE7-E48C-45FC-8312-660DA054B7B5}">
  <cacheSource type="worksheet">
    <worksheetSource name="Tabel2"/>
  </cacheSource>
  <cacheFields count="20">
    <cacheField name="Prioriteit" numFmtId="0">
      <sharedItems containsBlank="1"/>
    </cacheField>
    <cacheField name="Coaching rijschool" numFmtId="0">
      <sharedItems containsBlank="1"/>
    </cacheField>
    <cacheField name="aanvraagsdatum" numFmtId="14">
      <sharedItems containsSemiMixedTypes="0" containsNonDate="0" containsDate="1" containsString="0" minDate="2024-02-12T00:00:00" maxDate="2025-11-06T00:00:00"/>
    </cacheField>
    <cacheField name="P-nr" numFmtId="0">
      <sharedItems containsSemiMixedTypes="0" containsString="0" containsNumber="1" containsInteger="1" minValue="5718" maxValue="42252"/>
    </cacheField>
    <cacheField name="Naam" numFmtId="0">
      <sharedItems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Rooster" numFmtId="0">
      <sharedItems/>
    </cacheField>
    <cacheField name="Opmerkingen" numFmtId="0">
      <sharedItems containsBlank="1"/>
    </cacheField>
    <cacheField name="Bus/Tram" numFmtId="0">
      <sharedItems containsBlank="1"/>
    </cacheField>
    <cacheField name="Instructeur" numFmtId="0">
      <sharedItems containsNonDate="0" containsString="0" containsBlank="1"/>
    </cacheField>
    <cacheField name="Datum Coaching" numFmtId="0">
      <sharedItems containsNonDate="0" containsString="0" containsBlank="1"/>
    </cacheField>
    <cacheField name="Werkpunten 1" numFmtId="0">
      <sharedItems containsNonDate="0" containsString="0" containsBlank="1"/>
    </cacheField>
    <cacheField name="Werkpunten 2" numFmtId="0">
      <sharedItems containsNonDate="0" containsString="0" containsBlank="1"/>
    </cacheField>
    <cacheField name="Beoordeling rijschool" numFmtId="0">
      <sharedItems containsNonDate="0" containsString="0" containsBlank="1"/>
    </cacheField>
    <cacheField name="hercoaching noodzakelijk" numFmtId="0">
      <sharedItems containsNonDate="0" containsString="0" containsBlank="1"/>
    </cacheField>
    <cacheField name="ingevoerd in SS" numFmtId="0">
      <sharedItems containsNonDate="0" containsString="0" containsBlank="1"/>
    </cacheField>
    <cacheField name="Kolom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">
  <r>
    <m/>
    <m/>
    <d v="2024-02-12T00:00:00"/>
    <n v="37936"/>
    <s v="Detaeye"/>
    <s v="Alexander"/>
    <s v="37936 Detaeye Alexander "/>
    <s v="Gent stad"/>
    <s v="Steven Storm"/>
    <s v="BN24"/>
    <s v="ongevallen + aandacht zwakke weggebruiker"/>
    <m/>
    <m/>
    <m/>
    <m/>
    <m/>
    <m/>
    <m/>
    <m/>
    <m/>
  </r>
  <r>
    <m/>
    <m/>
    <d v="2024-05-22T00:00:00"/>
    <n v="36625"/>
    <s v="Carion"/>
    <s v="Rojet"/>
    <s v="36625 Carion Rojet "/>
    <s v="Gent stad"/>
    <s v="Kenneth De Rick"/>
    <s v="BR15"/>
    <s v="eco score"/>
    <m/>
    <m/>
    <m/>
    <m/>
    <m/>
    <m/>
    <m/>
    <m/>
    <m/>
  </r>
  <r>
    <m/>
    <m/>
    <d v="2024-08-02T00:00:00"/>
    <n v="34325"/>
    <s v="Eid"/>
    <s v="Mathyn"/>
    <s v="34325 Eid Mathyn "/>
    <s v="Gent stad"/>
    <s v="Steven Storm"/>
    <s v="B09"/>
    <s v="eco score en ongevallen"/>
    <s v="Tram"/>
    <m/>
    <m/>
    <m/>
    <m/>
    <m/>
    <m/>
    <m/>
    <m/>
  </r>
  <r>
    <m/>
    <m/>
    <d v="2024-08-02T00:00:00"/>
    <n v="33757"/>
    <s v="Vergucht"/>
    <s v="Hugo"/>
    <s v="33757 Vergucht Hugo "/>
    <s v="Gent stad"/>
    <s v="Steven Storm"/>
    <s v="BN24"/>
    <s v="meer dan 5 ongevallen (6 ongevallen)"/>
    <m/>
    <m/>
    <m/>
    <m/>
    <m/>
    <m/>
    <m/>
    <m/>
    <m/>
  </r>
  <r>
    <s v="ja"/>
    <s v="ja"/>
    <d v="2024-08-20T00:00:00"/>
    <n v="36228"/>
    <s v="Kilinc"/>
    <s v="Atilay"/>
    <s v="36228 Kilinc Atilay "/>
    <s v="Gent stad"/>
    <s v="Els Vanhoe"/>
    <s v="RESF"/>
    <s v="snelheid/rijstijl"/>
    <s v="Tram"/>
    <m/>
    <m/>
    <m/>
    <m/>
    <m/>
    <m/>
    <m/>
    <m/>
  </r>
  <r>
    <m/>
    <m/>
    <d v="2024-10-04T00:00:00"/>
    <n v="27607"/>
    <s v="Frans"/>
    <s v="Gabriella"/>
    <s v="27607 Frans Gabriella "/>
    <s v="Gent stad"/>
    <s v="Kenneth De Rick"/>
    <s v="TN24"/>
    <m/>
    <m/>
    <m/>
    <m/>
    <m/>
    <m/>
    <m/>
    <m/>
    <m/>
    <m/>
  </r>
  <r>
    <m/>
    <m/>
    <d v="2024-10-28T00:00:00"/>
    <n v="36428"/>
    <s v="Abdi Shaiye"/>
    <s v="Rashid"/>
    <s v="36428 Abdi Shaiye Rashid "/>
    <s v="Gent stad"/>
    <s v="Lucie Vande Velde"/>
    <s v="MN24"/>
    <m/>
    <m/>
    <m/>
    <m/>
    <m/>
    <m/>
    <m/>
    <m/>
    <m/>
    <m/>
  </r>
  <r>
    <m/>
    <m/>
    <d v="2025-02-12T00:00:00"/>
    <n v="10324"/>
    <s v="Eggermont"/>
    <s v="Wim"/>
    <s v="10324 Eggermont Wim "/>
    <s v="Gent stad"/>
    <s v="Bart Van Der Beken"/>
    <s v="TL12"/>
    <s v="meer dan 5 ongevallen (6 ongevallen)"/>
    <m/>
    <m/>
    <m/>
    <m/>
    <m/>
    <m/>
    <m/>
    <m/>
    <m/>
  </r>
  <r>
    <m/>
    <m/>
    <d v="2025-02-26T00:00:00"/>
    <n v="37794"/>
    <s v="Demirkaya"/>
    <s v="Kâzim"/>
    <s v="37794 Demirkaya Kâzim "/>
    <s v="Gent stad"/>
    <s v="Steven Storm"/>
    <s v="RESF"/>
    <s v="bruusk remmen/ snelheid"/>
    <m/>
    <m/>
    <m/>
    <m/>
    <m/>
    <m/>
    <m/>
    <m/>
    <m/>
  </r>
  <r>
    <m/>
    <m/>
    <d v="2025-02-26T00:00:00"/>
    <n v="37662"/>
    <s v="Van den Meerssche"/>
    <s v="Steven"/>
    <s v="37662 Van den Meerssche Steven "/>
    <s v="Gent stad"/>
    <s v="Bart Van Der Beken"/>
    <s v="BN24"/>
    <s v="ongevallen"/>
    <m/>
    <m/>
    <m/>
    <m/>
    <m/>
    <m/>
    <m/>
    <m/>
    <m/>
  </r>
  <r>
    <m/>
    <m/>
    <d v="2025-02-26T00:00:00"/>
    <n v="37313"/>
    <s v="Dedeci"/>
    <s v="Mecit"/>
    <s v="37313 Dedeci Mecit "/>
    <s v="Gent stad"/>
    <s v="Bart Van Der Beken"/>
    <s v="B09"/>
    <s v="ongevallen (7 op 1 jaar"/>
    <m/>
    <m/>
    <m/>
    <m/>
    <m/>
    <m/>
    <m/>
    <m/>
    <m/>
  </r>
  <r>
    <m/>
    <m/>
    <d v="2025-02-26T00:00:00"/>
    <n v="34328"/>
    <s v="Kerremans"/>
    <s v="Jürgen"/>
    <s v="34328 Kerremans Jürgen "/>
    <s v="Gent stad"/>
    <s v="Kenneth De Rick"/>
    <s v="TN24"/>
    <s v="meer dan 5 ongevallen (6 ongevallen)"/>
    <m/>
    <m/>
    <m/>
    <m/>
    <m/>
    <m/>
    <m/>
    <m/>
    <m/>
  </r>
  <r>
    <m/>
    <m/>
    <d v="2025-02-27T00:00:00"/>
    <n v="5718"/>
    <s v="Dejonckheere"/>
    <s v="Inge"/>
    <s v="5718 Dejonckheere Inge "/>
    <s v="Gent stad"/>
    <s v="Kenneth De Rick"/>
    <s v="M15"/>
    <s v="geen gebruik vrijloop, veel volle tractie en volle remming, niet aangenaam gevoel"/>
    <s v="Tram"/>
    <m/>
    <m/>
    <m/>
    <m/>
    <m/>
    <m/>
    <m/>
    <m/>
  </r>
  <r>
    <s v="ja"/>
    <s v="ja"/>
    <d v="2025-10-29T00:00:00"/>
    <n v="36543"/>
    <s v="Babaian"/>
    <s v="Sammy"/>
    <s v="36543 Babaian Sammy "/>
    <s v="Gent stad"/>
    <s v="Lucie Vande Velde"/>
    <s v="RESF"/>
    <s v="rijstijl"/>
    <m/>
    <m/>
    <m/>
    <m/>
    <m/>
    <m/>
    <m/>
    <m/>
    <m/>
  </r>
  <r>
    <m/>
    <m/>
    <d v="2025-03-05T00:00:00"/>
    <n v="38931"/>
    <s v="Sancak"/>
    <s v="Eyuphan"/>
    <s v="38931 Sancak Eyuphan "/>
    <s v="Gent stad"/>
    <s v="Bart Van Der Beken"/>
    <s v="RESF"/>
    <s v="ongevallen"/>
    <m/>
    <m/>
    <m/>
    <m/>
    <m/>
    <m/>
    <m/>
    <m/>
    <m/>
  </r>
  <r>
    <m/>
    <m/>
    <d v="2025-03-05T00:00:00"/>
    <n v="37600"/>
    <s v="Smesman"/>
    <s v="Nico"/>
    <s v="37600 Smesman Nico "/>
    <s v="Gent stad"/>
    <s v="Lucie Vande Velde"/>
    <s v="BN24"/>
    <s v="ongevallen"/>
    <m/>
    <m/>
    <m/>
    <m/>
    <m/>
    <m/>
    <m/>
    <m/>
    <m/>
  </r>
  <r>
    <m/>
    <m/>
    <d v="2025-03-05T00:00:00"/>
    <n v="39859"/>
    <s v="Costers"/>
    <s v="Kelly"/>
    <s v="39859 Costers Kelly "/>
    <s v="Gent stad"/>
    <s v="Bart Van Der Beken"/>
    <s v="RESF"/>
    <s v="6 aanrijdingen in 2024"/>
    <s v="Bus"/>
    <m/>
    <m/>
    <m/>
    <m/>
    <m/>
    <m/>
    <m/>
    <m/>
  </r>
  <r>
    <m/>
    <m/>
    <d v="2025-03-05T00:00:00"/>
    <n v="35588"/>
    <s v="Smesman"/>
    <s v="Glenn"/>
    <s v="35588 Smesman Glenn "/>
    <s v="Gent stad"/>
    <s v="Lucie Vande Velde"/>
    <s v="B09"/>
    <m/>
    <s v="Bus/Tram"/>
    <m/>
    <m/>
    <m/>
    <m/>
    <m/>
    <m/>
    <m/>
    <m/>
  </r>
  <r>
    <m/>
    <m/>
    <d v="2025-03-05T00:00:00"/>
    <n v="28737"/>
    <s v="El-Mohamed"/>
    <s v="Mohamed"/>
    <s v="28737 El-Mohamed Mohamed "/>
    <s v="Gent stad"/>
    <s v="Lucie Vande Velde"/>
    <s v="ML12"/>
    <s v="schadegevallen"/>
    <s v="Bus/Tram"/>
    <m/>
    <m/>
    <m/>
    <m/>
    <m/>
    <m/>
    <m/>
    <m/>
  </r>
  <r>
    <m/>
    <m/>
    <d v="2025-03-05T00:00:00"/>
    <n v="11866"/>
    <s v="Bolle"/>
    <s v="Pascal"/>
    <s v="11866 Bolle Pascal "/>
    <s v="Gent stad"/>
    <s v="Lucie Vande Velde"/>
    <s v="TD12"/>
    <m/>
    <s v="Tram"/>
    <m/>
    <m/>
    <m/>
    <m/>
    <m/>
    <m/>
    <m/>
    <m/>
  </r>
  <r>
    <m/>
    <m/>
    <d v="2025-03-11T00:00:00"/>
    <n v="34445"/>
    <s v="Wulleput"/>
    <s v="Illya"/>
    <s v="34445 Wulleput Illya "/>
    <s v="Gent stad"/>
    <s v="Dominique De Clercq"/>
    <s v="TO15"/>
    <s v="algemene rijstijl/ houding"/>
    <s v="Tram"/>
    <m/>
    <m/>
    <m/>
    <m/>
    <m/>
    <m/>
    <m/>
    <m/>
  </r>
  <r>
    <m/>
    <m/>
    <d v="2025-03-13T00:00:00"/>
    <n v="9065"/>
    <s v="Dewispelaere"/>
    <s v="Danny"/>
    <s v="9065 Dewispelaere Danny "/>
    <s v="Gent stad"/>
    <s v="Els Vanhoe"/>
    <s v="TV12"/>
    <s v="algemene rijstijl/ klantvriendelijkheid"/>
    <s v="Tram"/>
    <m/>
    <m/>
    <m/>
    <m/>
    <m/>
    <m/>
    <m/>
    <m/>
  </r>
  <r>
    <m/>
    <m/>
    <d v="2025-03-20T00:00:00"/>
    <n v="39532"/>
    <s v="Sahin"/>
    <s v="Orhan"/>
    <s v="39532 Sahin Orhan "/>
    <s v="Gent stad"/>
    <s v="Christoff Rotty"/>
    <s v="RESF"/>
    <s v="ongevallen"/>
    <m/>
    <m/>
    <m/>
    <m/>
    <m/>
    <m/>
    <m/>
    <m/>
    <m/>
  </r>
  <r>
    <m/>
    <m/>
    <d v="2025-03-20T00:00:00"/>
    <n v="37509"/>
    <s v="Abdulkader"/>
    <s v="Sabah"/>
    <s v="37509 Abdulkader Sabah "/>
    <s v="Gent stad"/>
    <s v="Bart Van Der Beken"/>
    <s v="MN24"/>
    <s v="ongevallen"/>
    <m/>
    <m/>
    <m/>
    <m/>
    <m/>
    <m/>
    <m/>
    <m/>
    <m/>
  </r>
  <r>
    <m/>
    <m/>
    <d v="2025-03-20T00:00:00"/>
    <n v="27711"/>
    <s v="De Schenkel"/>
    <s v="David"/>
    <s v="27711 De Schenkel David "/>
    <s v="Gent stad"/>
    <s v="Christoff Rotty"/>
    <s v="TR15"/>
    <s v="slechte eco score optrekken/afremmen"/>
    <s v="Bus"/>
    <m/>
    <m/>
    <m/>
    <m/>
    <m/>
    <m/>
    <m/>
    <m/>
  </r>
  <r>
    <m/>
    <m/>
    <d v="2025-03-20T00:00:00"/>
    <n v="25487"/>
    <s v="Devos"/>
    <s v="Stefaan"/>
    <s v="25487 Devos Stefaan "/>
    <s v="Gent stad"/>
    <s v="Steven Storm"/>
    <s v="TL12"/>
    <s v="negatieve klantreactie. Kan opgevraagd worden bij teamcoach"/>
    <s v="Bus/Tram"/>
    <m/>
    <m/>
    <m/>
    <m/>
    <m/>
    <m/>
    <m/>
    <m/>
  </r>
  <r>
    <m/>
    <m/>
    <d v="2025-03-20T00:00:00"/>
    <n v="18051"/>
    <s v="Van Wittenberge"/>
    <s v="Filip"/>
    <s v="18051 Van Wittenberge Filip "/>
    <s v="Gent stad"/>
    <s v="Christoff Rotty"/>
    <s v="M15"/>
    <s v="slechte eco score optrekken/afremmen"/>
    <s v="Bus"/>
    <m/>
    <m/>
    <m/>
    <m/>
    <m/>
    <m/>
    <m/>
    <m/>
  </r>
  <r>
    <m/>
    <m/>
    <d v="2025-03-27T00:00:00"/>
    <n v="32951"/>
    <s v="De Bruyne"/>
    <s v="Sonia"/>
    <s v="32951 De Bruyne Sonia "/>
    <s v="Gent stad"/>
    <s v="Lucie Vande Velde"/>
    <s v="B24"/>
    <s v="snelheid"/>
    <m/>
    <m/>
    <m/>
    <m/>
    <m/>
    <m/>
    <m/>
    <m/>
    <m/>
  </r>
  <r>
    <m/>
    <s v="ja"/>
    <d v="2025-03-28T00:00:00"/>
    <n v="36289"/>
    <s v="Van Rentergem"/>
    <s v="Steve"/>
    <s v="36289 Van Rentergem Steve "/>
    <s v="Gent stad"/>
    <s v="Els Vanhoe"/>
    <s v="MN24"/>
    <s v="algemene rijstijl"/>
    <m/>
    <m/>
    <m/>
    <m/>
    <m/>
    <m/>
    <m/>
    <m/>
    <m/>
  </r>
  <r>
    <m/>
    <m/>
    <d v="2025-04-02T00:00:00"/>
    <n v="39267"/>
    <s v="Van Holsbeeck"/>
    <s v="Jens"/>
    <s v="39267 Van Holsbeeck Jens "/>
    <s v="Gent stad"/>
    <s v="Christoff Rotty"/>
    <s v="RESF"/>
    <s v="coaching na ontsporing"/>
    <m/>
    <m/>
    <m/>
    <m/>
    <m/>
    <m/>
    <m/>
    <m/>
    <m/>
  </r>
  <r>
    <m/>
    <m/>
    <d v="2025-04-02T00:00:00"/>
    <n v="33986"/>
    <s v="Göktas"/>
    <s v="Muharrem"/>
    <s v="33986 Göktas Muharrem "/>
    <s v="Gent stad"/>
    <s v="Kenneth De Rick"/>
    <s v="GW10"/>
    <s v="hercoaching"/>
    <m/>
    <m/>
    <m/>
    <m/>
    <m/>
    <m/>
    <m/>
    <m/>
    <m/>
  </r>
  <r>
    <m/>
    <m/>
    <d v="2025-04-25T00:00:00"/>
    <n v="35645"/>
    <s v="Jalili"/>
    <s v="Yaseeb"/>
    <s v="35645 Jalili Yaseeb "/>
    <s v="Gent stad"/>
    <s v="Steven Storm"/>
    <s v="BN24"/>
    <s v="ongevallen"/>
    <m/>
    <m/>
    <m/>
    <m/>
    <m/>
    <m/>
    <m/>
    <m/>
    <m/>
  </r>
  <r>
    <s v="ja"/>
    <s v="ja"/>
    <d v="2025-05-15T00:00:00"/>
    <n v="30967"/>
    <s v="Taser"/>
    <s v="Fatih"/>
    <s v="30967 Taser Fatih "/>
    <s v="Gent stad"/>
    <s v="Dominique De Clercq"/>
    <s v="BD12"/>
    <s v="ongevallen/ rijstijl"/>
    <s v="Bus/Tram"/>
    <m/>
    <m/>
    <m/>
    <m/>
    <m/>
    <m/>
    <m/>
    <m/>
  </r>
  <r>
    <s v="ja"/>
    <s v="ja"/>
    <d v="2025-05-16T00:00:00"/>
    <n v="15220"/>
    <s v="Dejonghe"/>
    <s v="Katleen"/>
    <s v="15220 Dejonghe Katleen "/>
    <s v="Gent stad"/>
    <s v="Dominique De Clercq"/>
    <s v="TD12"/>
    <s v="snelheid/ rijstijl"/>
    <s v="Tram"/>
    <m/>
    <m/>
    <m/>
    <m/>
    <m/>
    <m/>
    <m/>
    <m/>
  </r>
  <r>
    <s v="ja"/>
    <m/>
    <d v="2025-05-19T00:00:00"/>
    <n v="19917"/>
    <s v="Vandevyvere"/>
    <s v="Frank"/>
    <s v="19917 Vandevyvere Frank "/>
    <s v="Gent stad"/>
    <s v="Bart Van Der Beken"/>
    <s v="GW09"/>
    <s v="hercoaching"/>
    <s v="Bus"/>
    <m/>
    <m/>
    <m/>
    <m/>
    <m/>
    <m/>
    <m/>
    <m/>
  </r>
  <r>
    <m/>
    <m/>
    <d v="2025-06-05T00:00:00"/>
    <n v="41032"/>
    <s v="Rocabado Hinojosa"/>
    <s v="Lukas"/>
    <s v="41032 Rocabado Hinojosa Lukas "/>
    <s v="Gent stad"/>
    <s v="Els Vanhoe"/>
    <s v="RESF"/>
    <s v="ongevallen"/>
    <m/>
    <m/>
    <m/>
    <m/>
    <m/>
    <m/>
    <m/>
    <m/>
    <m/>
  </r>
  <r>
    <m/>
    <m/>
    <d v="2025-07-02T00:00:00"/>
    <n v="38648"/>
    <s v="Uckuyulu"/>
    <s v="Muhammet Emin"/>
    <s v="38648 Uckuyulu Muhammet Emin "/>
    <s v="Gent stad"/>
    <s v="Lucie Vande Velde"/>
    <s v="RESF"/>
    <s v="schadegevallen"/>
    <m/>
    <m/>
    <m/>
    <m/>
    <m/>
    <m/>
    <m/>
    <m/>
    <m/>
  </r>
  <r>
    <m/>
    <m/>
    <d v="2025-07-11T00:00:00"/>
    <n v="40362"/>
    <s v="Kuru"/>
    <s v="Cetin"/>
    <s v="40362 Kuru Cetin "/>
    <s v="Gent stad"/>
    <s v="Kenneth De Rick"/>
    <s v="BO15"/>
    <s v="schadegevallen"/>
    <m/>
    <m/>
    <m/>
    <m/>
    <m/>
    <m/>
    <m/>
    <m/>
    <m/>
  </r>
  <r>
    <m/>
    <m/>
    <d v="2025-07-15T00:00:00"/>
    <n v="35246"/>
    <s v="De Meyer"/>
    <s v="Karel"/>
    <s v="35246 De Meyer Karel "/>
    <s v="Gent stad"/>
    <s v="Els Vanhoe"/>
    <s v="BN24"/>
    <s v="algemene rijstijl"/>
    <s v="Bus"/>
    <m/>
    <m/>
    <m/>
    <m/>
    <m/>
    <m/>
    <m/>
    <m/>
  </r>
  <r>
    <m/>
    <m/>
    <d v="2025-07-30T00:00:00"/>
    <n v="12684"/>
    <s v="Van Den Bossche"/>
    <s v="Martine"/>
    <s v="12684 Van Den Bossche Martine "/>
    <s v="Gent stad"/>
    <s v="Els Vanhoe"/>
    <s v="G09"/>
    <s v="schadegevallen"/>
    <m/>
    <m/>
    <m/>
    <m/>
    <m/>
    <m/>
    <m/>
    <m/>
    <m/>
  </r>
  <r>
    <m/>
    <m/>
    <d v="2025-08-01T00:00:00"/>
    <n v="38633"/>
    <s v="Stomphorst"/>
    <s v="Mattanja"/>
    <s v="38633 Stomphorst Mattanja "/>
    <s v="Gent stad"/>
    <s v="Els Dewulf"/>
    <s v="RESF"/>
    <s v="schadegevallen"/>
    <s v="Bus/Tram"/>
    <m/>
    <m/>
    <m/>
    <m/>
    <m/>
    <m/>
    <m/>
    <m/>
  </r>
  <r>
    <m/>
    <m/>
    <d v="2025-08-12T00:00:00"/>
    <n v="21382"/>
    <s v="De Volder"/>
    <s v="Marc"/>
    <s v="21382 De Volder Marc "/>
    <s v="Gent stad"/>
    <s v="Els Dewulf"/>
    <s v="TW24"/>
    <s v="schadegevallen"/>
    <m/>
    <m/>
    <m/>
    <m/>
    <m/>
    <m/>
    <m/>
    <m/>
    <m/>
  </r>
  <r>
    <m/>
    <m/>
    <d v="2025-08-14T00:00:00"/>
    <n v="39929"/>
    <s v="Staneva"/>
    <s v="Mariyana"/>
    <s v="39929 Staneva Mariyana "/>
    <s v="Gent stad"/>
    <s v="Christoff Rotty"/>
    <s v="RESF"/>
    <s v="schadegevallen"/>
    <m/>
    <m/>
    <m/>
    <m/>
    <m/>
    <m/>
    <m/>
    <m/>
    <m/>
  </r>
  <r>
    <m/>
    <m/>
    <d v="2025-08-29T00:00:00"/>
    <n v="17931"/>
    <s v="Idrisi"/>
    <s v="Hasana"/>
    <s v="17931 Idrisi Hasana "/>
    <s v="Gent stad"/>
    <s v="Els Dewulf"/>
    <s v="TW24"/>
    <s v="schadegevallen"/>
    <m/>
    <m/>
    <m/>
    <m/>
    <m/>
    <m/>
    <m/>
    <m/>
    <m/>
  </r>
  <r>
    <m/>
    <m/>
    <d v="2025-08-29T00:00:00"/>
    <n v="21424"/>
    <s v="Verstichel"/>
    <s v="Jethro"/>
    <s v="21424 Verstichel Jethro "/>
    <s v="Gent stad"/>
    <s v="Els Dewulf"/>
    <s v="MV12"/>
    <s v="schadegevallen"/>
    <m/>
    <m/>
    <m/>
    <m/>
    <m/>
    <m/>
    <m/>
    <m/>
    <m/>
  </r>
  <r>
    <m/>
    <m/>
    <d v="2025-08-29T00:00:00"/>
    <n v="29478"/>
    <s v="Priwall"/>
    <s v="Heike"/>
    <s v="29478 Priwall Heike "/>
    <s v="Gent stad"/>
    <s v="Els Dewulf"/>
    <s v="RESV"/>
    <s v="schadegevallen"/>
    <m/>
    <m/>
    <m/>
    <m/>
    <m/>
    <m/>
    <m/>
    <m/>
    <m/>
  </r>
  <r>
    <m/>
    <m/>
    <d v="2025-08-29T00:00:00"/>
    <n v="35450"/>
    <s v="Roos"/>
    <s v="Hugo"/>
    <s v="35450 Roos Hugo "/>
    <s v="Gent stad"/>
    <s v="Els Dewulf"/>
    <s v="BR15"/>
    <s v="schadegevallen"/>
    <m/>
    <m/>
    <m/>
    <m/>
    <m/>
    <m/>
    <m/>
    <m/>
    <m/>
  </r>
  <r>
    <m/>
    <m/>
    <d v="2025-08-29T00:00:00"/>
    <n v="36358"/>
    <s v="De Nys"/>
    <s v="Elise"/>
    <s v="36358 De Nys Elise "/>
    <s v="Gent stad"/>
    <s v="Els Dewulf"/>
    <s v="RESF"/>
    <s v="schadegevallen"/>
    <m/>
    <m/>
    <m/>
    <m/>
    <m/>
    <m/>
    <m/>
    <m/>
    <m/>
  </r>
  <r>
    <m/>
    <m/>
    <d v="2025-08-29T00:00:00"/>
    <n v="36627"/>
    <s v="Dobbelaere"/>
    <s v="David"/>
    <s v="36627 Dobbelaere David "/>
    <s v="Gent stad"/>
    <s v="Els Dewulf"/>
    <s v="B24"/>
    <s v="schadegevallen"/>
    <m/>
    <m/>
    <m/>
    <m/>
    <m/>
    <m/>
    <m/>
    <m/>
    <m/>
  </r>
  <r>
    <m/>
    <m/>
    <d v="2025-08-29T00:00:00"/>
    <n v="38475"/>
    <s v="Verschraegen"/>
    <s v="Katleen"/>
    <s v="38475 Verschraegen Katleen "/>
    <s v="Gent stad"/>
    <s v="Els Dewulf"/>
    <s v="BR15"/>
    <s v="schadegevallen"/>
    <m/>
    <m/>
    <m/>
    <m/>
    <m/>
    <m/>
    <m/>
    <m/>
    <m/>
  </r>
  <r>
    <m/>
    <m/>
    <d v="2025-08-29T00:00:00"/>
    <n v="38529"/>
    <s v="Huyghe"/>
    <s v="Jan"/>
    <s v="38529 Huyghe Jan "/>
    <s v="Gent stad"/>
    <s v="Els Dewulf"/>
    <s v="RESF"/>
    <s v="schadegevallen"/>
    <m/>
    <m/>
    <m/>
    <m/>
    <m/>
    <m/>
    <m/>
    <m/>
    <m/>
  </r>
  <r>
    <m/>
    <m/>
    <d v="2025-08-29T00:00:00"/>
    <n v="38688"/>
    <s v="Basgurboga"/>
    <s v="Selahattin"/>
    <s v="38688 Basgurboga Selahattin "/>
    <s v="Gent stad"/>
    <s v="Els Dewulf"/>
    <s v="BN24"/>
    <s v="schadegevallen"/>
    <m/>
    <m/>
    <m/>
    <m/>
    <m/>
    <m/>
    <m/>
    <m/>
    <m/>
  </r>
  <r>
    <m/>
    <m/>
    <d v="2025-08-29T00:00:00"/>
    <n v="40856"/>
    <s v="Neissi"/>
    <s v="Sadegh"/>
    <s v="40856 Neissi Sadegh "/>
    <s v="Gent stad"/>
    <s v="Kenneth De Rick"/>
    <s v="RESF"/>
    <s v="schadegevallen"/>
    <m/>
    <m/>
    <m/>
    <m/>
    <m/>
    <m/>
    <m/>
    <m/>
    <m/>
  </r>
  <r>
    <m/>
    <m/>
    <d v="2025-08-29T00:00:00"/>
    <n v="39651"/>
    <s v="Kallenbach"/>
    <s v="Sunny"/>
    <s v="39651 Kallenbach Sunny "/>
    <s v="Gent stad"/>
    <s v="Kenneth De Rick"/>
    <s v="RESF"/>
    <s v="schadegevallen"/>
    <m/>
    <m/>
    <m/>
    <m/>
    <m/>
    <m/>
    <m/>
    <m/>
    <m/>
  </r>
  <r>
    <m/>
    <m/>
    <d v="2025-08-29T00:00:00"/>
    <n v="40591"/>
    <s v="Hiloui"/>
    <s v="Mahmoud"/>
    <s v="40591 Hiloui Mahmoud "/>
    <s v="Gent stad"/>
    <s v="Dominique De Clercq"/>
    <s v="RESF"/>
    <s v="schadegevallen"/>
    <m/>
    <m/>
    <m/>
    <m/>
    <m/>
    <m/>
    <m/>
    <m/>
    <m/>
  </r>
  <r>
    <m/>
    <m/>
    <d v="2025-08-29T00:00:00"/>
    <n v="23918"/>
    <s v="D'Haeyere"/>
    <s v="Bernard"/>
    <s v="23918 D'Haeyere Bernard "/>
    <s v="Gent stad"/>
    <s v="Els Vanhoe"/>
    <s v="SW05"/>
    <s v="schadegevallen"/>
    <m/>
    <m/>
    <m/>
    <m/>
    <m/>
    <m/>
    <m/>
    <m/>
    <m/>
  </r>
  <r>
    <m/>
    <m/>
    <d v="2025-08-29T00:00:00"/>
    <n v="41619"/>
    <s v="Bachiri"/>
    <s v="Ousama"/>
    <s v="41619 Bachiri Ousama "/>
    <s v="Gent stad"/>
    <s v="Bart Van Der Beken"/>
    <s v="RESF"/>
    <s v="schadegevallen"/>
    <m/>
    <m/>
    <m/>
    <m/>
    <m/>
    <m/>
    <m/>
    <m/>
    <m/>
  </r>
  <r>
    <m/>
    <m/>
    <d v="2025-08-29T00:00:00"/>
    <n v="35397"/>
    <s v="Minbari"/>
    <s v="Ako"/>
    <s v="35397 Minbari Ako "/>
    <s v="Gent stad"/>
    <s v="Lucie Vande Velde"/>
    <s v="MN24"/>
    <s v="schadegevallen"/>
    <m/>
    <m/>
    <m/>
    <m/>
    <m/>
    <m/>
    <m/>
    <m/>
    <m/>
  </r>
  <r>
    <m/>
    <m/>
    <d v="2025-08-29T00:00:00"/>
    <n v="15412"/>
    <s v="Dhondt"/>
    <s v="Frank"/>
    <s v="15412 Dhondt Frank "/>
    <s v="Gent stad"/>
    <s v="Bart Van Der Beken"/>
    <s v="G09"/>
    <s v="schadegevallen"/>
    <m/>
    <m/>
    <m/>
    <m/>
    <m/>
    <m/>
    <m/>
    <m/>
    <m/>
  </r>
  <r>
    <m/>
    <m/>
    <d v="2025-08-29T00:00:00"/>
    <n v="11236"/>
    <s v="Baert"/>
    <s v="Freddy"/>
    <s v="11236 Baert Freddy "/>
    <s v="Gent stad"/>
    <s v="Bart Van Der Beken"/>
    <s v="G09"/>
    <s v="schadegevallen"/>
    <m/>
    <m/>
    <m/>
    <m/>
    <m/>
    <m/>
    <m/>
    <m/>
    <m/>
  </r>
  <r>
    <m/>
    <m/>
    <d v="2025-09-03T00:00:00"/>
    <n v="39831"/>
    <s v="Dolgiev"/>
    <s v="Mukhamed"/>
    <s v="39831 Dolgiev Mukhamed "/>
    <s v="Gent stad"/>
    <s v="Els Dewulf"/>
    <s v="RESF"/>
    <s v="Planner meegereden en zeer oncomfortabele rit. Zijn eco-score verraadt zijn rijgedrag, remmingen barslecht."/>
    <s v="Bus"/>
    <m/>
    <m/>
    <m/>
    <m/>
    <m/>
    <m/>
    <m/>
    <m/>
  </r>
  <r>
    <s v="ja"/>
    <m/>
    <d v="2025-09-10T00:00:00"/>
    <n v="16895"/>
    <s v="Van Lauwe"/>
    <s v="Freddy"/>
    <s v="16895 Van Lauwe Freddy "/>
    <s v="Gent stad"/>
    <s v="Bart Van Der Beken"/>
    <s v="TW24"/>
    <s v="door onveilig signaal, rijstijl, schade bij doorsteken, wissel negeren, agressief"/>
    <s v="Tram"/>
    <m/>
    <m/>
    <m/>
    <m/>
    <m/>
    <m/>
    <m/>
    <m/>
  </r>
  <r>
    <m/>
    <m/>
    <d v="2025-09-11T00:00:00"/>
    <n v="37132"/>
    <s v="Dacic"/>
    <s v="Esmir"/>
    <s v="37132 Dacic Esmir "/>
    <s v="Gent stad"/>
    <s v="Dominique De Clercq"/>
    <s v="RESF"/>
    <s v="schadegevallen"/>
    <m/>
    <m/>
    <m/>
    <m/>
    <m/>
    <m/>
    <m/>
    <m/>
    <m/>
  </r>
  <r>
    <m/>
    <m/>
    <d v="2025-09-17T00:00:00"/>
    <n v="21509"/>
    <s v="De Craemer"/>
    <s v="Kris"/>
    <s v="21509 De Craemer Kris "/>
    <s v="Gent stad"/>
    <s v="Dominique De Clercq"/>
    <s v="TL12"/>
    <s v="schadegevallen"/>
    <m/>
    <m/>
    <m/>
    <m/>
    <m/>
    <m/>
    <m/>
    <m/>
    <m/>
  </r>
  <r>
    <m/>
    <m/>
    <d v="2025-09-17T00:00:00"/>
    <n v="32002"/>
    <s v="Hasni"/>
    <s v="Helmi"/>
    <s v="32002 Hasni Helmi "/>
    <s v="Gent stad"/>
    <s v="Steven Storm"/>
    <s v="TN24"/>
    <s v="schadegevallen"/>
    <m/>
    <m/>
    <m/>
    <m/>
    <m/>
    <m/>
    <m/>
    <m/>
    <m/>
  </r>
  <r>
    <m/>
    <m/>
    <d v="2025-09-17T00:00:00"/>
    <n v="41384"/>
    <s v="Hillaert"/>
    <s v="Thimo"/>
    <s v="41384 Hillaert Thimo "/>
    <s v="Gent stad"/>
    <s v="Christoff Rotty"/>
    <s v="RESF"/>
    <s v="schadegevallen"/>
    <m/>
    <m/>
    <m/>
    <m/>
    <m/>
    <m/>
    <m/>
    <m/>
    <m/>
  </r>
  <r>
    <m/>
    <m/>
    <d v="2025-09-26T00:00:00"/>
    <n v="42252"/>
    <s v="Sular"/>
    <s v="Abdullah"/>
    <s v="42252 Sular Abdullah "/>
    <s v="Gent stad"/>
    <s v="Christoff Rotty"/>
    <s v="RESF2"/>
    <s v="schadegevallen"/>
    <m/>
    <m/>
    <m/>
    <m/>
    <m/>
    <m/>
    <m/>
    <m/>
    <m/>
  </r>
  <r>
    <m/>
    <m/>
    <d v="2025-10-11T00:00:00"/>
    <n v="41064"/>
    <s v="Ardic"/>
    <s v="Atilla"/>
    <s v="41064 Ardic Atilla "/>
    <s v="Gent stad"/>
    <s v="Dominique De Clercq"/>
    <s v="RESF"/>
    <s v="schadegevallen/ hercoaching "/>
    <m/>
    <m/>
    <m/>
    <m/>
    <m/>
    <m/>
    <m/>
    <m/>
    <m/>
  </r>
  <r>
    <m/>
    <m/>
    <d v="2025-10-15T00:00:00"/>
    <n v="40744"/>
    <s v="Gözüküçük"/>
    <s v="Ugur"/>
    <s v="40744 Gözüküçük Ugur "/>
    <s v="Gent stad"/>
    <s v="Bart Van Der Beken"/>
    <s v="RESF"/>
    <s v="schadegevallen"/>
    <m/>
    <m/>
    <m/>
    <m/>
    <m/>
    <m/>
    <m/>
    <m/>
    <m/>
  </r>
  <r>
    <m/>
    <m/>
    <d v="2025-10-20T00:00:00"/>
    <n v="26524"/>
    <s v="Bolle"/>
    <s v="Cynthia"/>
    <s v="26524 Bolle Cynthia "/>
    <s v="Gent stad"/>
    <s v="Els Vanhoe"/>
    <s v="RESV"/>
    <s v="rijstijl"/>
    <s v="Tram"/>
    <m/>
    <m/>
    <m/>
    <m/>
    <m/>
    <m/>
    <m/>
    <m/>
  </r>
  <r>
    <m/>
    <m/>
    <d v="2025-10-24T00:00:00"/>
    <n v="39928"/>
    <s v="Momand"/>
    <s v="Abdullah"/>
    <s v="39928 Momand Abdullah "/>
    <s v="Gent stad"/>
    <s v="Bart Van Der Beken"/>
    <s v="RESF2"/>
    <s v="remtechniek - ecoscore - verkeersinzicht"/>
    <m/>
    <m/>
    <m/>
    <m/>
    <m/>
    <m/>
    <m/>
    <m/>
    <m/>
  </r>
  <r>
    <m/>
    <m/>
    <d v="2025-11-05T00:00:00"/>
    <n v="20653"/>
    <s v="Mestdag"/>
    <s v="Marius"/>
    <s v="20653 Mestdag Marius "/>
    <s v="Gent stad"/>
    <s v="Bart Van Der Beken"/>
    <s v="TW24"/>
    <s v="schade"/>
    <m/>
    <m/>
    <m/>
    <m/>
    <m/>
    <m/>
    <m/>
    <m/>
    <m/>
  </r>
  <r>
    <m/>
    <m/>
    <d v="2025-11-05T00:00:00"/>
    <n v="28910"/>
    <s v="Gassa"/>
    <s v="Osmane"/>
    <s v="28910 Gassa Osmane "/>
    <s v="Gent stad"/>
    <s v="Bart Van Der Beken"/>
    <s v="BD12"/>
    <s v="schade"/>
    <m/>
    <m/>
    <m/>
    <m/>
    <m/>
    <m/>
    <m/>
    <m/>
    <m/>
  </r>
  <r>
    <m/>
    <m/>
    <d v="2025-11-05T00:00:00"/>
    <n v="32611"/>
    <s v="Özer"/>
    <s v="Özgur"/>
    <s v="32611 Özer Özgur "/>
    <s v="Gent stad"/>
    <s v="Kenneth De Rick"/>
    <s v="ML12"/>
    <s v="schade"/>
    <m/>
    <m/>
    <m/>
    <m/>
    <m/>
    <m/>
    <m/>
    <m/>
    <m/>
  </r>
  <r>
    <m/>
    <m/>
    <d v="2025-11-05T00:00:00"/>
    <n v="37345"/>
    <s v="Walleyn"/>
    <s v="Renaat"/>
    <s v="37345 Walleyn Renaat "/>
    <s v="Gent stad"/>
    <s v="Lucie Vande Velde"/>
    <s v="RESF"/>
    <s v="schade"/>
    <m/>
    <m/>
    <m/>
    <m/>
    <m/>
    <m/>
    <m/>
    <m/>
    <m/>
  </r>
  <r>
    <m/>
    <m/>
    <d v="2025-11-05T00:00:00"/>
    <n v="39856"/>
    <s v="Curukcu"/>
    <s v="Bayram"/>
    <s v="39856 Curukcu Bayram "/>
    <s v="Gent stad"/>
    <s v="Kenneth De Rick"/>
    <s v="RESF"/>
    <s v="schade"/>
    <m/>
    <m/>
    <m/>
    <m/>
    <m/>
    <m/>
    <m/>
    <m/>
    <m/>
  </r>
  <r>
    <m/>
    <m/>
    <d v="2025-11-05T00:00:00"/>
    <n v="40058"/>
    <s v="Sögüt"/>
    <s v="Can"/>
    <s v="40058 Sögüt Can "/>
    <s v="Gent stad"/>
    <s v="Christoff Rotty"/>
    <s v="RESF"/>
    <s v="schade"/>
    <m/>
    <m/>
    <m/>
    <m/>
    <m/>
    <m/>
    <m/>
    <m/>
    <m/>
  </r>
  <r>
    <m/>
    <m/>
    <d v="2025-11-05T00:00:00"/>
    <n v="41482"/>
    <s v="Özdemir"/>
    <s v="Osman"/>
    <s v="41482 Özdemir Osman "/>
    <s v="Gent stad"/>
    <s v="Bart Van Der Beken"/>
    <s v="RESF"/>
    <s v="schade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1A88CD-9EB9-4B96-BAB9-E8CD8DC48E61}" name="Draaitabel1" cacheId="2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3:C20" firstHeaderRow="1" firstDataRow="1" firstDataCol="0"/>
  <pivotFields count="20"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78"/>
    <tableColumn id="2" xr3:uid="{B49F914A-1FEE-4A75-9CD6-E94916B19C46}" name="Coaching rijschool" dataDxfId="77"/>
    <tableColumn id="3" xr3:uid="{7B74AF4D-F69C-4007-A6A0-421FFFF384B0}" name="aanvraagsdatum" dataDxfId="76"/>
    <tableColumn id="4" xr3:uid="{8AC34D33-B5AC-45FC-9CA7-A867F963543A}" name="P-nr" dataDxfId="75"/>
    <tableColumn id="5" xr3:uid="{F4EF036B-C2F8-4026-A2A9-AD2B883FBCA0}" name="Naam" dataDxfId="74"/>
    <tableColumn id="6" xr3:uid="{35DA4508-064A-468B-B6AB-413C038B8A1C}" name="Voornaam" dataDxfId="73"/>
    <tableColumn id="7" xr3:uid="{1DF84F60-8CE2-4D75-A697-8993441A24AE}" name="Volledige naam" dataDxfId="7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1"/>
    <tableColumn id="9" xr3:uid="{55439308-91C5-4F17-A0C7-B1F6312B9742}" name="Teamcoach" dataDxfId="70"/>
    <tableColumn id="10" xr3:uid="{2D4A733F-4F63-4CA5-BD3C-7B49FC1F3FFF}" name="Rooster" dataDxfId="69"/>
    <tableColumn id="11" xr3:uid="{61C0CBEA-E79D-414F-8B84-D7AED8AC3B32}" name="Opmerkingen" dataDxfId="68"/>
    <tableColumn id="12" xr3:uid="{456ABA1C-1C62-4168-AD5C-BFD9C05C8542}" name="Bus/Tram" dataDxfId="6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66" tableBorderDxfId="65">
  <autoFilter ref="A1:R243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64"/>
    <tableColumn id="3" xr3:uid="{52A951B9-B59E-44E6-8A45-E1DDDAE59F2B}" name="P-nr" dataDxfId="63"/>
    <tableColumn id="4" xr3:uid="{BD9BF6D0-9641-488E-9B97-616DB79C04E7}" name="Naam" dataDxfId="62">
      <calculatedColumnFormula>VLOOKUP(Tabel3[[#This Row],[P-nr]],'data Chauffeur'!A:F,2,FALSE)</calculatedColumnFormula>
    </tableColumn>
    <tableColumn id="5" xr3:uid="{73FB442E-689C-47F2-A972-8C747CA4D1FE}" name="Voornaam" dataDxfId="61">
      <calculatedColumnFormula>VLOOKUP(Tabel3[[#This Row],[P-nr]],'data Chauffeur'!A:F,3,FALSE)</calculatedColumnFormula>
    </tableColumn>
    <tableColumn id="19" xr3:uid="{0E7C4C2C-8FAF-4AF8-B74A-A795E82D70BF}" name="volledige naam" dataDxfId="60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9">
      <calculatedColumnFormula>VLOOKUP(Tabel3[[#This Row],[P-nr]],'data Chauffeur'!A:F,6)</calculatedColumnFormula>
    </tableColumn>
    <tableColumn id="7" xr3:uid="{2B5863C0-7E79-493F-9444-D5813C7509BD}" name="Teamcoach" dataDxfId="58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7"/>
    <tableColumn id="10" xr3:uid="{FD8BD468-4F49-4A26-BDC9-C5D447E8B706}" name="Bus/Tram" dataDxfId="56"/>
    <tableColumn id="11" xr3:uid="{765E0419-27CF-4DAE-B015-F02637B854A5}" name="Instructeur" dataDxfId="55"/>
    <tableColumn id="12" xr3:uid="{7EA98E72-E042-4EC4-B413-6AE982845CBC}" name="Datum coaching" dataDxfId="54"/>
    <tableColumn id="13" xr3:uid="{E8F2DBEE-8058-4D04-9096-2337D0AACDE1}" name="Werkpunten 1" dataDxfId="53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2" tableBorderDxfId="51">
  <autoFilter ref="A1:B9" xr:uid="{5069B2ED-DA4E-49BE-95FC-145C55EFE18A}"/>
  <tableColumns count="2">
    <tableColumn id="1" xr3:uid="{E1CCD3C9-4705-4AD5-BC57-858AF9DED01A}" name="Ingepland" dataDxfId="50">
      <calculatedColumnFormula>COUNTIF(Coaching!#REF!,B2)</calculatedColumnFormula>
    </tableColumn>
    <tableColumn id="2" xr3:uid="{7123B93F-DC90-4741-9407-C3AA2A7BE734}" name="Teamcoach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8">
      <calculatedColumnFormula>COUNTIF('Voltooide coachings'!G:G,Tabel1[[#This Row],[Teamcoach]])</calculatedColumnFormula>
    </tableColumn>
    <tableColumn id="2" xr3:uid="{E5C53CA5-6DE4-400B-937E-6E61F5467E68}" name="teamcoach" dataDxfId="47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F4DE-7CF2-459E-B172-D7373004D953}">
  <dimension ref="A3:C20"/>
  <sheetViews>
    <sheetView tabSelected="1" workbookViewId="0">
      <selection activeCell="A3" sqref="A3"/>
    </sheetView>
  </sheetViews>
  <sheetFormatPr defaultRowHeight="14.4" x14ac:dyDescent="0.3"/>
  <sheetData>
    <row r="3" spans="1:3" x14ac:dyDescent="0.3">
      <c r="A3" s="53"/>
      <c r="B3" s="54"/>
      <c r="C3" s="55"/>
    </row>
    <row r="4" spans="1:3" x14ac:dyDescent="0.3">
      <c r="A4" s="56"/>
      <c r="B4" s="57"/>
      <c r="C4" s="58"/>
    </row>
    <row r="5" spans="1:3" x14ac:dyDescent="0.3">
      <c r="A5" s="56"/>
      <c r="B5" s="57"/>
      <c r="C5" s="58"/>
    </row>
    <row r="6" spans="1:3" x14ac:dyDescent="0.3">
      <c r="A6" s="56"/>
      <c r="B6" s="57"/>
      <c r="C6" s="58"/>
    </row>
    <row r="7" spans="1:3" x14ac:dyDescent="0.3">
      <c r="A7" s="56"/>
      <c r="B7" s="57"/>
      <c r="C7" s="58"/>
    </row>
    <row r="8" spans="1:3" x14ac:dyDescent="0.3">
      <c r="A8" s="56"/>
      <c r="B8" s="57"/>
      <c r="C8" s="58"/>
    </row>
    <row r="9" spans="1:3" x14ac:dyDescent="0.3">
      <c r="A9" s="56"/>
      <c r="B9" s="57"/>
      <c r="C9" s="58"/>
    </row>
    <row r="10" spans="1:3" x14ac:dyDescent="0.3">
      <c r="A10" s="56"/>
      <c r="B10" s="57"/>
      <c r="C10" s="58"/>
    </row>
    <row r="11" spans="1:3" x14ac:dyDescent="0.3">
      <c r="A11" s="56"/>
      <c r="B11" s="57"/>
      <c r="C11" s="58"/>
    </row>
    <row r="12" spans="1:3" x14ac:dyDescent="0.3">
      <c r="A12" s="56"/>
      <c r="B12" s="57"/>
      <c r="C12" s="58"/>
    </row>
    <row r="13" spans="1:3" x14ac:dyDescent="0.3">
      <c r="A13" s="56"/>
      <c r="B13" s="57"/>
      <c r="C13" s="58"/>
    </row>
    <row r="14" spans="1:3" x14ac:dyDescent="0.3">
      <c r="A14" s="56"/>
      <c r="B14" s="57"/>
      <c r="C14" s="58"/>
    </row>
    <row r="15" spans="1:3" x14ac:dyDescent="0.3">
      <c r="A15" s="56"/>
      <c r="B15" s="57"/>
      <c r="C15" s="58"/>
    </row>
    <row r="16" spans="1:3" x14ac:dyDescent="0.3">
      <c r="A16" s="56"/>
      <c r="B16" s="57"/>
      <c r="C16" s="58"/>
    </row>
    <row r="17" spans="1:3" x14ac:dyDescent="0.3">
      <c r="A17" s="56"/>
      <c r="B17" s="57"/>
      <c r="C17" s="58"/>
    </row>
    <row r="18" spans="1:3" x14ac:dyDescent="0.3">
      <c r="A18" s="56"/>
      <c r="B18" s="57"/>
      <c r="C18" s="58"/>
    </row>
    <row r="19" spans="1:3" x14ac:dyDescent="0.3">
      <c r="A19" s="56"/>
      <c r="B19" s="57"/>
      <c r="C19" s="58"/>
    </row>
    <row r="20" spans="1:3" x14ac:dyDescent="0.3">
      <c r="A20" s="59"/>
      <c r="B20" s="60"/>
      <c r="C20" s="6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opLeftCell="A2" zoomScale="90" zoomScaleNormal="90" workbookViewId="0">
      <selection activeCell="C68" sqref="C68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x14ac:dyDescent="0.3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2" x14ac:dyDescent="0.3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3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3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3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3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3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3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3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3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x14ac:dyDescent="0.3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3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3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8" x14ac:dyDescent="0.3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8" x14ac:dyDescent="0.3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8" x14ac:dyDescent="0.3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3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3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3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3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3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3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3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3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3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3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3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3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3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3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3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3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3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3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3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3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3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3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3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3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3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3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3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3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3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3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3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3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3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 x14ac:dyDescent="0.3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8" x14ac:dyDescent="0.3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3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3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3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3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3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3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3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3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8" x14ac:dyDescent="0.3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3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3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3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3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3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3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3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</sheetData>
  <phoneticPr fontId="3" type="noConversion"/>
  <conditionalFormatting sqref="A1:B1048576">
    <cfRule type="containsText" dxfId="46" priority="45" operator="containsText" text="ja">
      <formula>NOT(ISERROR(SEARCH("ja",A1)))</formula>
    </cfRule>
  </conditionalFormatting>
  <conditionalFormatting sqref="D6">
    <cfRule type="containsText" dxfId="45" priority="3" operator="containsText" text="ja">
      <formula>NOT(ISERROR(SEARCH("ja",D6)))</formula>
    </cfRule>
  </conditionalFormatting>
  <conditionalFormatting sqref="D81:D1048576 D7:D79 D1:D5">
    <cfRule type="duplicateValues" dxfId="44" priority="587"/>
  </conditionalFormatting>
  <conditionalFormatting sqref="Q1:Q1048576">
    <cfRule type="containsText" dxfId="43" priority="46" operator="containsText" text="zeer slecht">
      <formula>NOT(ISERROR(SEARCH("zeer slecht",Q1)))</formula>
    </cfRule>
    <cfRule type="containsText" dxfId="42" priority="47" operator="containsText" text="slecht">
      <formula>NOT(ISERROR(SEARCH("slecht",Q1)))</formula>
    </cfRule>
    <cfRule type="containsText" dxfId="41" priority="48" operator="containsText" text="onvoldoende">
      <formula>NOT(ISERROR(SEARCH("onvoldoende",Q1)))</formula>
    </cfRule>
    <cfRule type="containsText" dxfId="40" priority="49" operator="containsText" text="voldoende">
      <formula>NOT(ISERROR(SEARCH("voldoende",Q1)))</formula>
    </cfRule>
    <cfRule type="containsText" dxfId="39" priority="50" operator="containsText" text="goed">
      <formula>NOT(ISERROR(SEARCH("goed",Q1)))</formula>
    </cfRule>
    <cfRule type="containsText" dxfId="38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H81:H1048576 H1:H79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L81:L1048576 L1:L79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M81:M1048576 M1:M79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zoomScale="86" zoomScaleNormal="86" workbookViewId="0">
      <selection activeCell="M32" sqref="M32:M243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6" x14ac:dyDescent="0.3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6" x14ac:dyDescent="0.3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x14ac:dyDescent="0.3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x14ac:dyDescent="0.3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x14ac:dyDescent="0.3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x14ac:dyDescent="0.3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6" x14ac:dyDescent="0.3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x14ac:dyDescent="0.3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x14ac:dyDescent="0.3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6" x14ac:dyDescent="0.3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6" x14ac:dyDescent="0.3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3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3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3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3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3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3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x14ac:dyDescent="0.3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x14ac:dyDescent="0.3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x14ac:dyDescent="0.3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x14ac:dyDescent="0.3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x14ac:dyDescent="0.3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x14ac:dyDescent="0.3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3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x14ac:dyDescent="0.3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x14ac:dyDescent="0.3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28.8" x14ac:dyDescent="0.3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3">
      <c r="E244" s="30"/>
      <c r="F244" s="30"/>
      <c r="K244" s="30"/>
      <c r="L244" s="11"/>
    </row>
    <row r="245" spans="1:16" x14ac:dyDescent="0.3">
      <c r="A245" s="41"/>
      <c r="E245" s="30"/>
      <c r="F245" s="30"/>
      <c r="K245" s="30"/>
      <c r="L245" s="11"/>
    </row>
    <row r="246" spans="1:16" x14ac:dyDescent="0.3">
      <c r="A246" s="41"/>
      <c r="E246" s="30"/>
      <c r="F246" s="30"/>
      <c r="K246" s="30"/>
      <c r="L246" s="11"/>
    </row>
    <row r="247" spans="1:16" x14ac:dyDescent="0.3">
      <c r="A247" s="39"/>
      <c r="E247" s="30"/>
      <c r="F247" s="30"/>
      <c r="K247" s="30"/>
      <c r="M247" s="44"/>
    </row>
    <row r="248" spans="1:16" x14ac:dyDescent="0.3">
      <c r="A248" s="45"/>
      <c r="E248" s="30"/>
      <c r="F248" s="30"/>
      <c r="K248" s="30"/>
      <c r="M248" s="44"/>
    </row>
    <row r="249" spans="1:16" x14ac:dyDescent="0.3">
      <c r="A249" s="11"/>
      <c r="M249" s="44"/>
    </row>
    <row r="251" spans="1:16" x14ac:dyDescent="0.3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3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3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3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37" priority="374" operator="equal">
      <formula>"ja"</formula>
    </cfRule>
  </conditionalFormatting>
  <conditionalFormatting sqref="B219:B221 B230:B239">
    <cfRule type="duplicateValues" dxfId="36" priority="832"/>
  </conditionalFormatting>
  <conditionalFormatting sqref="B222 B225">
    <cfRule type="cellIs" dxfId="35" priority="29" operator="equal">
      <formula>"ja"</formula>
    </cfRule>
  </conditionalFormatting>
  <conditionalFormatting sqref="B223:B224">
    <cfRule type="duplicateValues" dxfId="34" priority="28"/>
  </conditionalFormatting>
  <conditionalFormatting sqref="B240:B242">
    <cfRule type="duplicateValues" dxfId="33" priority="14"/>
  </conditionalFormatting>
  <conditionalFormatting sqref="B243">
    <cfRule type="duplicateValues" dxfId="32" priority="7"/>
  </conditionalFormatting>
  <conditionalFormatting sqref="N208:N217">
    <cfRule type="duplicateValues" dxfId="31" priority="37"/>
  </conditionalFormatting>
  <conditionalFormatting sqref="O2:O239">
    <cfRule type="containsText" dxfId="30" priority="49" operator="containsText" text="goed">
      <formula>NOT(ISERROR(SEARCH("goed",O2)))</formula>
    </cfRule>
    <cfRule type="containsText" dxfId="29" priority="50" operator="containsText" text="zeer goed">
      <formula>NOT(ISERROR(SEARCH("zeer goed",O2)))</formula>
    </cfRule>
    <cfRule type="cellIs" dxfId="28" priority="377" operator="equal">
      <formula>"voldoende"</formula>
    </cfRule>
    <cfRule type="cellIs" dxfId="27" priority="753" operator="equal">
      <formula>"zeer goed"</formula>
    </cfRule>
    <cfRule type="cellIs" dxfId="26" priority="754" operator="equal">
      <formula>"Goed"</formula>
    </cfRule>
    <cfRule type="cellIs" dxfId="25" priority="755" operator="equal">
      <formula>"onvoldoende"</formula>
    </cfRule>
    <cfRule type="cellIs" dxfId="24" priority="756" operator="equal">
      <formula>"slecht"</formula>
    </cfRule>
    <cfRule type="cellIs" dxfId="23" priority="757" operator="equal">
      <formula>"zeer slecht"</formula>
    </cfRule>
    <cfRule type="duplicateValues" dxfId="22" priority="829"/>
    <cfRule type="cellIs" dxfId="21" priority="32" operator="equal">
      <formula>"zeer goed"</formula>
    </cfRule>
    <cfRule type="cellIs" dxfId="20" priority="33" operator="equal">
      <formula>"Goed"</formula>
    </cfRule>
    <cfRule type="cellIs" dxfId="19" priority="34" operator="equal">
      <formula>"onvoldoende"</formula>
    </cfRule>
    <cfRule type="cellIs" dxfId="18" priority="35" operator="equal">
      <formula>"slecht"</formula>
    </cfRule>
    <cfRule type="cellIs" dxfId="17" priority="36" operator="equal">
      <formula>"zeer slecht"</formula>
    </cfRule>
    <cfRule type="containsText" dxfId="16" priority="45" operator="containsText" text="zeer slecht">
      <formula>NOT(ISERROR(SEARCH("zeer slecht",O2)))</formula>
    </cfRule>
    <cfRule type="containsText" dxfId="15" priority="46" operator="containsText" text="slecht">
      <formula>NOT(ISERROR(SEARCH("slecht",O2)))</formula>
    </cfRule>
    <cfRule type="containsText" dxfId="14" priority="47" operator="containsText" text="onvoldoende">
      <formula>NOT(ISERROR(SEARCH("onvoldoende",O2)))</formula>
    </cfRule>
    <cfRule type="containsText" dxfId="13" priority="48" operator="containsText" text="voldoende">
      <formula>NOT(ISERROR(SEARCH("voldoende",O2)))</formula>
    </cfRule>
  </conditionalFormatting>
  <conditionalFormatting sqref="O240:O243">
    <cfRule type="containsText" dxfId="12" priority="2" operator="containsText" text="slecht">
      <formula>NOT(ISERROR(SEARCH("slecht",O240)))</formula>
    </cfRule>
    <cfRule type="containsText" dxfId="11" priority="3" operator="containsText" text="onvoldoende">
      <formula>NOT(ISERROR(SEARCH("onvoldoende",O240)))</formula>
    </cfRule>
    <cfRule type="containsText" dxfId="10" priority="4" operator="containsText" text="voldoende">
      <formula>NOT(ISERROR(SEARCH("voldoende",O240)))</formula>
    </cfRule>
    <cfRule type="containsText" dxfId="9" priority="5" operator="containsText" text="goed">
      <formula>NOT(ISERROR(SEARCH("goed",O240)))</formula>
    </cfRule>
    <cfRule type="containsText" dxfId="8" priority="6" operator="containsText" text="zeer goed">
      <formula>NOT(ISERROR(SEARCH("zeer goed",O240)))</formula>
    </cfRule>
    <cfRule type="containsText" dxfId="7" priority="1" operator="containsText" text="zeer slecht">
      <formula>NOT(ISERROR(SEARCH("zeer slecht",O240)))</formula>
    </cfRule>
  </conditionalFormatting>
  <conditionalFormatting sqref="O231:Q239 P1:Q197 Q198:Q203 P204:Q221 Q222:Q229 P226:P229 P230:Q230 Q240:Q243 P244:Q246 P247:P250 P256 N257 P258:P1048576">
    <cfRule type="cellIs" dxfId="6" priority="373" operator="equal">
      <formula>"ja"</formula>
    </cfRule>
  </conditionalFormatting>
  <conditionalFormatting sqref="P222:P225">
    <cfRule type="cellIs" dxfId="5" priority="22" operator="equal">
      <formula>"zeer goed"</formula>
    </cfRule>
    <cfRule type="cellIs" dxfId="4" priority="23" operator="equal">
      <formula>"Goed"</formula>
    </cfRule>
    <cfRule type="cellIs" dxfId="3" priority="24" operator="equal">
      <formula>"onvoldoende"</formula>
    </cfRule>
    <cfRule type="cellIs" dxfId="2" priority="25" operator="equal">
      <formula>"slecht"</formula>
    </cfRule>
    <cfRule type="cellIs" dxfId="1" priority="26" operator="equal">
      <formula>"zeer slecht"</formula>
    </cfRule>
    <cfRule type="duplicateValues" dxfId="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186</v>
      </c>
      <c r="B1" t="s">
        <v>8</v>
      </c>
      <c r="D1" t="s">
        <v>187</v>
      </c>
      <c r="E1" t="s">
        <v>188</v>
      </c>
    </row>
    <row r="2" spans="1:5" x14ac:dyDescent="0.3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3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3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3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3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3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3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3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3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3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3">
      <c r="E6" t="s">
        <v>177</v>
      </c>
      <c r="F6" t="s">
        <v>159</v>
      </c>
      <c r="G6" t="s">
        <v>165</v>
      </c>
      <c r="H6" t="s">
        <v>163</v>
      </c>
    </row>
    <row r="7" spans="1:9" x14ac:dyDescent="0.3">
      <c r="E7" t="s">
        <v>132</v>
      </c>
      <c r="G7" t="s">
        <v>166</v>
      </c>
      <c r="H7" t="s">
        <v>160</v>
      </c>
    </row>
    <row r="8" spans="1:9" x14ac:dyDescent="0.3">
      <c r="E8" t="s">
        <v>71</v>
      </c>
      <c r="G8" t="s">
        <v>211</v>
      </c>
    </row>
    <row r="9" spans="1:9" x14ac:dyDescent="0.3">
      <c r="E9" t="s">
        <v>134</v>
      </c>
      <c r="G9" t="s">
        <v>68</v>
      </c>
    </row>
    <row r="10" spans="1:9" x14ac:dyDescent="0.3">
      <c r="E10" t="s">
        <v>212</v>
      </c>
      <c r="G10" t="s">
        <v>136</v>
      </c>
    </row>
    <row r="11" spans="1:9" x14ac:dyDescent="0.3">
      <c r="E11" t="s">
        <v>87</v>
      </c>
      <c r="G11" t="s">
        <v>213</v>
      </c>
    </row>
    <row r="12" spans="1:9" x14ac:dyDescent="0.3">
      <c r="E12" t="s">
        <v>83</v>
      </c>
      <c r="G12" t="s">
        <v>178</v>
      </c>
    </row>
    <row r="13" spans="1:9" x14ac:dyDescent="0.3">
      <c r="E13" t="s">
        <v>214</v>
      </c>
      <c r="G13" t="s">
        <v>180</v>
      </c>
    </row>
    <row r="14" spans="1:9" x14ac:dyDescent="0.3">
      <c r="E14" t="s">
        <v>65</v>
      </c>
      <c r="G14" t="s">
        <v>215</v>
      </c>
    </row>
    <row r="15" spans="1:9" x14ac:dyDescent="0.3">
      <c r="E15" t="s">
        <v>76</v>
      </c>
      <c r="G15" t="s">
        <v>159</v>
      </c>
    </row>
    <row r="16" spans="1:9" x14ac:dyDescent="0.3">
      <c r="E16" t="s">
        <v>112</v>
      </c>
    </row>
    <row r="17" spans="5:5" x14ac:dyDescent="0.3">
      <c r="E17" t="s">
        <v>128</v>
      </c>
    </row>
    <row r="18" spans="5:5" x14ac:dyDescent="0.3">
      <c r="E18" t="s">
        <v>97</v>
      </c>
    </row>
    <row r="19" spans="5:5" x14ac:dyDescent="0.3">
      <c r="E19" t="s">
        <v>216</v>
      </c>
    </row>
    <row r="20" spans="5:5" x14ac:dyDescent="0.3">
      <c r="E20" t="s">
        <v>217</v>
      </c>
    </row>
    <row r="21" spans="5:5" x14ac:dyDescent="0.3">
      <c r="E21" t="s">
        <v>218</v>
      </c>
    </row>
    <row r="22" spans="5:5" x14ac:dyDescent="0.3">
      <c r="E22" t="s">
        <v>219</v>
      </c>
    </row>
    <row r="23" spans="5:5" x14ac:dyDescent="0.3">
      <c r="E23" t="s">
        <v>220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3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3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3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3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3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3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3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3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3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3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3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3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3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3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3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3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3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3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3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3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3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3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3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3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3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3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3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3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3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3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3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3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3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3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3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3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3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3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3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3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3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3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3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3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3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3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3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3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3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3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3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3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3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3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3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3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3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3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3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3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3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3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3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3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3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3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3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3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3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3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3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3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3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3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3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3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3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3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3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3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3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3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3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3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3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3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3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3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3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3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3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3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3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3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3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3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3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3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3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3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3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3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3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3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3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3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3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3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3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3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3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3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3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3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3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3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3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3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3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3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3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3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3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3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3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3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3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3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3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3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3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3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3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3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3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3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3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3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3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3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3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3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3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3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3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3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3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3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3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3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3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3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3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3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3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3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3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3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3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3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3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3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3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3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3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3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3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3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3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3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3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3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3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3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3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3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3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3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3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3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3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3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3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3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3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3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3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3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3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3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3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3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3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3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3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3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3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3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3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3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3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3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3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3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3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3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3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3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3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3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3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3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3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3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3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3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3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3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3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3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3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3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3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3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3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3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3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3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3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3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3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3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3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3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3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3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3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3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3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3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3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3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3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3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3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3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3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3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3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3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3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3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3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3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3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3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3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3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3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3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3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3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3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3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3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3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3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3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3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3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3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3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3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3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3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3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3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3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3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3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3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3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3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3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3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3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3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3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3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3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3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3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3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3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3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3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3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3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3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3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3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3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3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3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3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3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3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3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3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3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3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3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3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3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3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3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3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3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3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3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3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3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3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3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3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3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3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3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3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3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3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3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3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3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3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3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3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3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3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3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3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3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3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3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3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3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3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3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3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3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3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3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3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3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3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3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3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3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3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3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3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3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3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3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3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3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3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3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3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3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3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3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3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3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3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3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3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3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3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3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3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3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3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3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3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3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3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3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3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3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3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3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3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3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3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3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3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3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3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3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3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3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3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3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3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3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3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3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3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3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3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3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3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3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3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3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3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3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3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3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3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3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3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3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3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3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3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3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3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3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3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3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3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3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3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3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3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3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3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3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3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3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3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3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3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3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3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3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3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3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3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3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3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3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3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3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3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3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3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3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3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3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3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3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3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3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3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3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3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3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3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3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3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3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3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3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3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3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3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3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3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3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3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3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3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3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3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3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3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3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3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3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3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3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3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3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3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3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3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3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3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3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3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3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3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3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3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3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3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3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3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3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3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3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3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3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3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3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3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3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3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3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3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3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3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3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3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3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3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3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3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3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3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3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3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3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3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3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3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3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3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3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3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3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3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3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3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3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3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3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3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3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3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3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3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3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3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3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3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3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3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3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3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3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3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3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3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3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3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3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3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3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3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3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3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3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3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3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3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3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3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3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3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3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3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3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3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3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3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3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3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3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3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3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3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3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3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Blad1</vt:lpstr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2025-11-29T17:32:49Z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